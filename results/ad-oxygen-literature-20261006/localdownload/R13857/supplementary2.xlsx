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nyang Research\pretreatment Microalgae Anaerobic digestion\Second submission\fwdyoursubmissionbited2100171\"/>
    </mc:Choice>
  </mc:AlternateContent>
  <bookViews>
    <workbookView xWindow="0" yWindow="0" windowWidth="23040" windowHeight="8616"/>
  </bookViews>
  <sheets>
    <sheet name="RawData" sheetId="1" r:id="rId1"/>
    <sheet name="BasicStat" sheetId="3" r:id="rId2"/>
    <sheet name="Pearson_Correlation" sheetId="5" r:id="rId3"/>
    <sheet name="EigenValue&amp;Graphs" sheetId="4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21" i="1"/>
  <c r="H22" i="1"/>
  <c r="H23" i="1"/>
  <c r="H24" i="1"/>
  <c r="H25" i="1"/>
  <c r="H26" i="1"/>
  <c r="H27" i="1"/>
  <c r="H19" i="1"/>
  <c r="J20" i="1"/>
  <c r="J21" i="1"/>
  <c r="J22" i="1"/>
  <c r="J23" i="1"/>
  <c r="J24" i="1"/>
  <c r="J25" i="1"/>
  <c r="J26" i="1"/>
  <c r="J27" i="1"/>
  <c r="J19" i="1"/>
  <c r="I20" i="1"/>
  <c r="I21" i="1"/>
  <c r="I22" i="1"/>
  <c r="I23" i="1"/>
  <c r="I24" i="1"/>
  <c r="I25" i="1"/>
  <c r="I26" i="1"/>
  <c r="I27" i="1"/>
  <c r="I19" i="1"/>
  <c r="Q30" i="1" l="1"/>
  <c r="N30" i="1"/>
  <c r="O30" i="1"/>
  <c r="P30" i="1"/>
  <c r="R30" i="1"/>
  <c r="M30" i="1"/>
  <c r="N29" i="1"/>
  <c r="O29" i="1"/>
  <c r="P29" i="1"/>
  <c r="Q29" i="1"/>
  <c r="R29" i="1"/>
  <c r="M29" i="1"/>
  <c r="P26" i="1"/>
  <c r="N21" i="1"/>
  <c r="O21" i="1"/>
  <c r="P21" i="1"/>
  <c r="Q21" i="1"/>
  <c r="R21" i="1"/>
  <c r="N22" i="1"/>
  <c r="O22" i="1"/>
  <c r="P22" i="1"/>
  <c r="Q22" i="1"/>
  <c r="R22" i="1"/>
  <c r="N23" i="1"/>
  <c r="O23" i="1"/>
  <c r="P23" i="1"/>
  <c r="Q23" i="1"/>
  <c r="R23" i="1"/>
  <c r="N24" i="1"/>
  <c r="O24" i="1"/>
  <c r="P24" i="1"/>
  <c r="Q24" i="1"/>
  <c r="R24" i="1"/>
  <c r="N25" i="1"/>
  <c r="O25" i="1"/>
  <c r="P25" i="1"/>
  <c r="Q25" i="1"/>
  <c r="R25" i="1"/>
  <c r="N26" i="1"/>
  <c r="O26" i="1"/>
  <c r="Q26" i="1"/>
  <c r="R26" i="1"/>
  <c r="N27" i="1"/>
  <c r="O27" i="1"/>
  <c r="P27" i="1"/>
  <c r="Q27" i="1"/>
  <c r="R27" i="1"/>
  <c r="N28" i="1"/>
  <c r="O28" i="1"/>
  <c r="P28" i="1"/>
  <c r="Q28" i="1"/>
  <c r="R28" i="1"/>
  <c r="N20" i="1"/>
  <c r="O20" i="1"/>
  <c r="P20" i="1"/>
  <c r="Q20" i="1"/>
  <c r="R20" i="1"/>
  <c r="M21" i="1"/>
  <c r="M22" i="1"/>
  <c r="M23" i="1"/>
  <c r="M24" i="1"/>
  <c r="M25" i="1"/>
  <c r="M26" i="1"/>
  <c r="M27" i="1"/>
  <c r="M28" i="1"/>
  <c r="M20" i="1"/>
</calcChain>
</file>

<file path=xl/sharedStrings.xml><?xml version="1.0" encoding="utf-8"?>
<sst xmlns="http://schemas.openxmlformats.org/spreadsheetml/2006/main" count="149" uniqueCount="102">
  <si>
    <t>Methane (mL-CH4/g-VS_removed)</t>
  </si>
  <si>
    <t>Methane (mL-CH4/g-VS_added)</t>
  </si>
  <si>
    <t>VS  (g/L)</t>
  </si>
  <si>
    <t>tCOD  (g/L)</t>
  </si>
  <si>
    <t>sCOD (g/L)</t>
  </si>
  <si>
    <t>Protein (mg/L)</t>
  </si>
  <si>
    <t>Carbohydrate (mg/L)</t>
  </si>
  <si>
    <t>Lipid (mg/L)</t>
  </si>
  <si>
    <t>Propionic acid (mg/L)</t>
  </si>
  <si>
    <t>Isobutyric acid (mg/L)</t>
  </si>
  <si>
    <t>Butyric acid (mg/L)</t>
  </si>
  <si>
    <t>Isovaleric acid (mg/L)</t>
  </si>
  <si>
    <t>Valeric acid (mg/L)</t>
  </si>
  <si>
    <t>Total VFA (mg/L)</t>
  </si>
  <si>
    <t>Ammonia (mg/L)</t>
  </si>
  <si>
    <t>Firmicutes (%)</t>
  </si>
  <si>
    <t>Proteobacteria (%)</t>
  </si>
  <si>
    <t>Bacteroidetes (%)</t>
  </si>
  <si>
    <t>Chloroflexi (%)</t>
  </si>
  <si>
    <t>Thermotogae (%)</t>
  </si>
  <si>
    <t>Soluble Nitrogen (mg/L)</t>
  </si>
  <si>
    <t>Soluble Phospherous  (mg/L)</t>
  </si>
  <si>
    <t>Type of pretreatement method</t>
  </si>
  <si>
    <t>Microbial diversity @phylum</t>
  </si>
  <si>
    <t>Methane_Added</t>
  </si>
  <si>
    <t>sCOD</t>
  </si>
  <si>
    <t>VS</t>
  </si>
  <si>
    <t>Protein</t>
  </si>
  <si>
    <t>Carbohydrate</t>
  </si>
  <si>
    <t>Lipid</t>
  </si>
  <si>
    <t>SN</t>
  </si>
  <si>
    <t>SP</t>
  </si>
  <si>
    <t>Acetic acid</t>
  </si>
  <si>
    <t>Propionic acid</t>
  </si>
  <si>
    <t>Isobutyric acid</t>
  </si>
  <si>
    <t>Butyric acid</t>
  </si>
  <si>
    <t>Isovaleric acid</t>
  </si>
  <si>
    <t>Valeric acid</t>
  </si>
  <si>
    <t>Total VFA</t>
  </si>
  <si>
    <t>Ammonia</t>
  </si>
  <si>
    <t>Firmicutes</t>
  </si>
  <si>
    <t>Proteobacteria</t>
  </si>
  <si>
    <t>Bacteroidetes</t>
  </si>
  <si>
    <t>Chloroflexi</t>
  </si>
  <si>
    <t>Thermotogae</t>
  </si>
  <si>
    <t xml:space="preserve">1. Raw data </t>
  </si>
  <si>
    <t>Methane 
(mL-CH4/g-VS_added)</t>
  </si>
  <si>
    <t>Methane 
(mL-CH4/g-VS_removed)</t>
  </si>
  <si>
    <t>VS 
 (g/L)</t>
  </si>
  <si>
    <t>tCOD  
(g/L)</t>
  </si>
  <si>
    <t>sCOD 
(g/L)</t>
  </si>
  <si>
    <t>Protein
 (mg/L)</t>
  </si>
  <si>
    <t>Carbohydrate 
(mg/L)</t>
  </si>
  <si>
    <t>Lipid
 (mg/L)</t>
  </si>
  <si>
    <t>Soluble Nitrogen
 (mg/L)</t>
  </si>
  <si>
    <t>Soluble Phospherous 
 (mg/L)</t>
  </si>
  <si>
    <t xml:space="preserve">Acetic acid
 (mg/L) </t>
  </si>
  <si>
    <t>Propionic acid 
(mg/L)</t>
  </si>
  <si>
    <t>Isobutyric acid 
(mg/L)</t>
  </si>
  <si>
    <t>Butyric acid 
(mg/L)</t>
  </si>
  <si>
    <t>Isovaleric acid
 (mg/L)</t>
  </si>
  <si>
    <t>Valeric acid
 (mg/L)</t>
  </si>
  <si>
    <t>Total VFA
 (mg/L)</t>
  </si>
  <si>
    <t>Ammonia 
(mg/L)</t>
  </si>
  <si>
    <t>Firmicutes
 (%)</t>
  </si>
  <si>
    <t>Proteobacteria
 (%)</t>
  </si>
  <si>
    <t>Bacteroidetes
 (%)</t>
  </si>
  <si>
    <t>Chloroflexi 
(%)</t>
  </si>
  <si>
    <t>Thermotogae
 (%)</t>
  </si>
  <si>
    <t>N analysis</t>
  </si>
  <si>
    <t>N missing</t>
  </si>
  <si>
    <t>Mean</t>
  </si>
  <si>
    <t>Standard Deviation</t>
  </si>
  <si>
    <t>2. Descriptive Statistics</t>
  </si>
  <si>
    <t>Parameters</t>
  </si>
  <si>
    <t>Eigenvalue</t>
  </si>
  <si>
    <t>Percentage of Variance</t>
  </si>
  <si>
    <t>Cumulative</t>
  </si>
  <si>
    <t>4. Eigen values of the Correlation Matrix</t>
  </si>
  <si>
    <t>HAn3</t>
  </si>
  <si>
    <t>HAn2</t>
  </si>
  <si>
    <t>HAn1</t>
  </si>
  <si>
    <t>TAn3</t>
  </si>
  <si>
    <t>TAn2</t>
  </si>
  <si>
    <t>TAn1</t>
  </si>
  <si>
    <t>TA3</t>
  </si>
  <si>
    <t>TA2</t>
  </si>
  <si>
    <t>TA1</t>
  </si>
  <si>
    <t>Coefficients of PC1</t>
  </si>
  <si>
    <t>Coefficients of PC2</t>
  </si>
  <si>
    <t>5. Extracted Eigenvectors</t>
  </si>
  <si>
    <t>6. Scree Plot</t>
  </si>
  <si>
    <t>7. Biplot</t>
  </si>
  <si>
    <t>Acetic acid (mg/L)</t>
  </si>
  <si>
    <t>3. Correlation</t>
  </si>
  <si>
    <t>VS_removed</t>
  </si>
  <si>
    <t xml:space="preserve">Anaerobic </t>
  </si>
  <si>
    <t>Aerobic</t>
  </si>
  <si>
    <t>VS_dest 
 (g/L)</t>
  </si>
  <si>
    <t>Percentage contribution of each VFAs</t>
  </si>
  <si>
    <t>Table 1. Average values for different parameters of anaerobic digestion responces obtained during pretreatment and mesophilic digestion</t>
  </si>
  <si>
    <t xml:space="preserve">Release of macromolecules (X-folds wrt control)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</si>
</sst>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22"/>
      <color theme="1"/>
      <name val="Arial Narrow"/>
      <family val="2"/>
    </font>
    <font>
      <sz val="10"/>
      <name val="Arial"/>
      <family val="2"/>
    </font>
    <font>
      <b/>
      <sz val="22"/>
      <name val="Arial Narrow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sz val="11"/>
      <name val="Arial Narrow"/>
      <family val="2"/>
    </font>
    <font>
      <b/>
      <u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 style="thin">
        <color indexed="64"/>
      </left>
      <right style="thin">
        <color indexed="63"/>
      </right>
      <top style="thin">
        <color indexed="64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1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 style="thin">
        <color indexed="61"/>
      </bottom>
      <diagonal/>
    </border>
    <border>
      <left style="thin">
        <color indexed="64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4"/>
      </right>
      <top style="thin">
        <color indexed="61"/>
      </top>
      <bottom style="thin">
        <color indexed="22"/>
      </bottom>
      <diagonal/>
    </border>
    <border>
      <left style="thin">
        <color indexed="64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3"/>
      </right>
      <top style="thin">
        <color indexed="22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8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1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10" fontId="1" fillId="0" borderId="0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0" fontId="1" fillId="0" borderId="0" xfId="0" applyFont="1" applyFill="1" applyAlignment="1">
      <alignment vertical="center"/>
    </xf>
    <xf numFmtId="2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/>
    <xf numFmtId="0" fontId="7" fillId="3" borderId="9" xfId="1" applyFont="1" applyFill="1" applyBorder="1" applyAlignment="1">
      <alignment vertical="top" wrapText="1"/>
    </xf>
    <xf numFmtId="0" fontId="7" fillId="0" borderId="15" xfId="1" applyFont="1" applyBorder="1" applyAlignment="1">
      <alignment horizontal="center" wrapText="1"/>
    </xf>
    <xf numFmtId="0" fontId="7" fillId="0" borderId="16" xfId="1" applyFont="1" applyBorder="1" applyAlignment="1">
      <alignment horizontal="center" wrapText="1"/>
    </xf>
    <xf numFmtId="0" fontId="7" fillId="0" borderId="17" xfId="1" applyFont="1" applyBorder="1" applyAlignment="1">
      <alignment horizontal="center" wrapText="1"/>
    </xf>
    <xf numFmtId="0" fontId="7" fillId="3" borderId="10" xfId="1" applyFont="1" applyFill="1" applyBorder="1" applyAlignment="1">
      <alignment horizontal="left" vertical="top" wrapText="1"/>
    </xf>
    <xf numFmtId="164" fontId="7" fillId="4" borderId="18" xfId="1" applyNumberFormat="1" applyFont="1" applyFill="1" applyBorder="1" applyAlignment="1">
      <alignment horizontal="right" vertical="top"/>
    </xf>
    <xf numFmtId="164" fontId="7" fillId="4" borderId="11" xfId="1" applyNumberFormat="1" applyFont="1" applyFill="1" applyBorder="1" applyAlignment="1">
      <alignment horizontal="right" vertical="top"/>
    </xf>
    <xf numFmtId="164" fontId="7" fillId="4" borderId="19" xfId="1" applyNumberFormat="1" applyFont="1" applyFill="1" applyBorder="1" applyAlignment="1">
      <alignment horizontal="right" vertical="top"/>
    </xf>
    <xf numFmtId="0" fontId="7" fillId="3" borderId="12" xfId="1" applyFont="1" applyFill="1" applyBorder="1" applyAlignment="1">
      <alignment horizontal="left" vertical="top" wrapText="1"/>
    </xf>
    <xf numFmtId="164" fontId="7" fillId="4" borderId="20" xfId="1" applyNumberFormat="1" applyFont="1" applyFill="1" applyBorder="1" applyAlignment="1">
      <alignment horizontal="right" vertical="top"/>
    </xf>
    <xf numFmtId="164" fontId="7" fillId="4" borderId="13" xfId="1" applyNumberFormat="1" applyFont="1" applyFill="1" applyBorder="1" applyAlignment="1">
      <alignment horizontal="right" vertical="top"/>
    </xf>
    <xf numFmtId="164" fontId="7" fillId="4" borderId="21" xfId="1" applyNumberFormat="1" applyFont="1" applyFill="1" applyBorder="1" applyAlignment="1">
      <alignment horizontal="right" vertical="top"/>
    </xf>
    <xf numFmtId="0" fontId="7" fillId="3" borderId="14" xfId="1" applyFont="1" applyFill="1" applyBorder="1" applyAlignment="1">
      <alignment horizontal="left" vertical="top" wrapText="1"/>
    </xf>
    <xf numFmtId="164" fontId="7" fillId="4" borderId="22" xfId="1" applyNumberFormat="1" applyFont="1" applyFill="1" applyBorder="1" applyAlignment="1">
      <alignment horizontal="right" vertical="top"/>
    </xf>
    <xf numFmtId="164" fontId="7" fillId="4" borderId="23" xfId="1" applyNumberFormat="1" applyFont="1" applyFill="1" applyBorder="1" applyAlignment="1">
      <alignment horizontal="right" vertical="top"/>
    </xf>
    <xf numFmtId="164" fontId="7" fillId="4" borderId="24" xfId="1" applyNumberFormat="1" applyFont="1" applyFill="1" applyBorder="1" applyAlignment="1">
      <alignment horizontal="right" vertical="top"/>
    </xf>
    <xf numFmtId="0" fontId="1" fillId="0" borderId="0" xfId="0" applyFont="1" applyFill="1" applyBorder="1"/>
    <xf numFmtId="0" fontId="0" fillId="0" borderId="0" xfId="0" applyBorder="1"/>
    <xf numFmtId="0" fontId="1" fillId="0" borderId="4" xfId="0" applyFont="1" applyFill="1" applyBorder="1"/>
    <xf numFmtId="10" fontId="1" fillId="0" borderId="0" xfId="2" applyNumberFormat="1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2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2" fontId="9" fillId="0" borderId="0" xfId="0" applyNumberFormat="1" applyFont="1" applyAlignment="1">
      <alignment vertical="center"/>
    </xf>
    <xf numFmtId="10" fontId="1" fillId="0" borderId="0" xfId="2" applyNumberFormat="1" applyFont="1" applyFill="1" applyAlignment="1">
      <alignment horizontal="center" vertical="center"/>
    </xf>
    <xf numFmtId="10" fontId="1" fillId="0" borderId="0" xfId="2" applyNumberFormat="1" applyFont="1" applyBorder="1" applyAlignment="1">
      <alignment horizontal="center" vertical="center"/>
    </xf>
    <xf numFmtId="10" fontId="1" fillId="0" borderId="4" xfId="2" applyNumberFormat="1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2" fontId="10" fillId="0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2" fontId="11" fillId="5" borderId="0" xfId="0" applyNumberFormat="1" applyFont="1" applyFill="1" applyAlignment="1">
      <alignment horizontal="center" vertical="center"/>
    </xf>
    <xf numFmtId="2" fontId="12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3">
    <cellStyle name="Normal" xfId="0" builtinId="0"/>
    <cellStyle name="Percent" xfId="2" builtinId="5"/>
    <cellStyle name="표준_Sheet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487680</xdr:colOff>
      <xdr:row>1</xdr:row>
      <xdr:rowOff>266700</xdr:rowOff>
    </xdr:from>
    <xdr:to>
      <xdr:col>17</xdr:col>
      <xdr:colOff>487680</xdr:colOff>
      <xdr:row>19</xdr:row>
      <xdr:rowOff>53340</xdr:rowOff>
    </xdr:to>
    <xdr:pic>
      <xdr:nvPicPr>
        <xdr:cNvPr id="5" name="Picture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88" t="9483" r="12664"/>
        <a:stretch/>
      </xdr:blipFill>
      <xdr:spPr bwMode="auto">
        <a:xfrm>
          <a:off x="8679180" y="624840"/>
          <a:ext cx="365760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289559</xdr:colOff>
      <xdr:row>2</xdr:row>
      <xdr:rowOff>22859</xdr:rowOff>
    </xdr:from>
    <xdr:to>
      <xdr:col>28</xdr:col>
      <xdr:colOff>548640</xdr:colOff>
      <xdr:row>25</xdr:row>
      <xdr:rowOff>109110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7859" y="685799"/>
          <a:ext cx="5745481" cy="4292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42"/>
  <sheetViews>
    <sheetView showGridLines="0" tabSelected="1" zoomScaleNormal="100" workbookViewId="0">
      <selection activeCell="G17" sqref="G17"/>
    </sheetView>
  </sheetViews>
  <sheetFormatPr defaultRowHeight="13.8" x14ac:dyDescent="0.3"/>
  <cols>
    <col min="1" max="1" width="14.109375" style="1" customWidth="1"/>
    <col min="2" max="2" width="9.5546875" style="1" bestFit="1" customWidth="1"/>
    <col min="3" max="3" width="20" style="1" bestFit="1" customWidth="1"/>
    <col min="4" max="4" width="4.77734375" style="1" bestFit="1" customWidth="1"/>
    <col min="5" max="5" width="4.77734375" style="1" customWidth="1"/>
    <col min="6" max="6" width="5.109375" style="1" bestFit="1" customWidth="1"/>
    <col min="7" max="7" width="5.44140625" style="1" bestFit="1" customWidth="1"/>
    <col min="8" max="8" width="7.44140625" style="1" bestFit="1" customWidth="1"/>
    <col min="9" max="9" width="11.5546875" style="1" bestFit="1" customWidth="1"/>
    <col min="10" max="10" width="6.5546875" style="1" bestFit="1" customWidth="1"/>
    <col min="11" max="11" width="14" style="1" bestFit="1" customWidth="1"/>
    <col min="12" max="12" width="17.77734375" style="1" bestFit="1" customWidth="1"/>
    <col min="13" max="13" width="31" style="1" bestFit="1" customWidth="1"/>
    <col min="14" max="14" width="12" style="1" bestFit="1" customWidth="1"/>
    <col min="15" max="15" width="12.21875" style="1" bestFit="1" customWidth="1"/>
    <col min="16" max="16" width="10.109375" style="1" bestFit="1" customWidth="1"/>
    <col min="17" max="17" width="11.77734375" style="1" bestFit="1" customWidth="1"/>
    <col min="18" max="18" width="9.77734375" style="1" bestFit="1" customWidth="1"/>
    <col min="19" max="19" width="8.44140625" style="1" bestFit="1" customWidth="1"/>
    <col min="20" max="20" width="8" style="1" bestFit="1" customWidth="1"/>
    <col min="21" max="21" width="8.88671875" style="1" bestFit="1" customWidth="1"/>
    <col min="22" max="22" width="12.21875" style="1" bestFit="1" customWidth="1"/>
    <col min="23" max="23" width="11.5546875" style="1" bestFit="1" customWidth="1"/>
    <col min="24" max="24" width="9.33203125" style="1" bestFit="1" customWidth="1"/>
    <col min="25" max="25" width="11" style="1" bestFit="1" customWidth="1"/>
    <col min="26" max="26" width="8.88671875" style="29"/>
    <col min="27" max="16384" width="8.88671875" style="1"/>
  </cols>
  <sheetData>
    <row r="2" spans="1:26" ht="28.2" x14ac:dyDescent="0.3">
      <c r="A2" s="5" t="s">
        <v>45</v>
      </c>
    </row>
    <row r="4" spans="1:26" x14ac:dyDescent="0.3">
      <c r="A4" s="3" t="s">
        <v>100</v>
      </c>
    </row>
    <row r="5" spans="1:26" x14ac:dyDescent="0.3">
      <c r="A5" s="3"/>
      <c r="K5" s="1">
        <v>240</v>
      </c>
      <c r="L5" s="1">
        <v>38</v>
      </c>
    </row>
    <row r="6" spans="1:26" s="61" customFormat="1" ht="14.4" customHeight="1" x14ac:dyDescent="0.3">
      <c r="A6" s="69" t="s">
        <v>22</v>
      </c>
      <c r="B6" s="68" t="s">
        <v>46</v>
      </c>
      <c r="C6" s="68" t="s">
        <v>47</v>
      </c>
      <c r="D6" s="68" t="s">
        <v>48</v>
      </c>
      <c r="E6" s="68" t="s">
        <v>98</v>
      </c>
      <c r="F6" s="68" t="s">
        <v>49</v>
      </c>
      <c r="G6" s="68" t="s">
        <v>50</v>
      </c>
      <c r="H6" s="68" t="s">
        <v>51</v>
      </c>
      <c r="I6" s="68" t="s">
        <v>52</v>
      </c>
      <c r="J6" s="68" t="s">
        <v>53</v>
      </c>
      <c r="K6" s="68" t="s">
        <v>54</v>
      </c>
      <c r="L6" s="68" t="s">
        <v>55</v>
      </c>
      <c r="M6" s="68" t="s">
        <v>56</v>
      </c>
      <c r="N6" s="68" t="s">
        <v>57</v>
      </c>
      <c r="O6" s="68" t="s">
        <v>58</v>
      </c>
      <c r="P6" s="68" t="s">
        <v>59</v>
      </c>
      <c r="Q6" s="68" t="s">
        <v>60</v>
      </c>
      <c r="R6" s="68" t="s">
        <v>61</v>
      </c>
      <c r="S6" s="68" t="s">
        <v>62</v>
      </c>
      <c r="T6" s="68" t="s">
        <v>63</v>
      </c>
      <c r="U6" s="68" t="s">
        <v>23</v>
      </c>
      <c r="V6" s="68"/>
      <c r="W6" s="68"/>
      <c r="X6" s="68"/>
      <c r="Y6" s="68"/>
      <c r="Z6" s="60"/>
    </row>
    <row r="7" spans="1:26" s="61" customFormat="1" ht="39" customHeight="1" x14ac:dyDescent="0.3">
      <c r="A7" s="69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" t="s">
        <v>64</v>
      </c>
      <c r="V7" s="6" t="s">
        <v>65</v>
      </c>
      <c r="W7" s="6" t="s">
        <v>66</v>
      </c>
      <c r="X7" s="6" t="s">
        <v>67</v>
      </c>
      <c r="Y7" s="6" t="s">
        <v>68</v>
      </c>
      <c r="Z7" s="60"/>
    </row>
    <row r="8" spans="1:26" x14ac:dyDescent="0.3">
      <c r="A8" s="1" t="s">
        <v>79</v>
      </c>
      <c r="B8" s="2">
        <v>241.89559</v>
      </c>
      <c r="C8" s="2">
        <v>880.95438999999999</v>
      </c>
      <c r="D8" s="2">
        <v>53.16</v>
      </c>
      <c r="E8" s="2">
        <v>0.94</v>
      </c>
      <c r="F8" s="2">
        <v>78.849999999999994</v>
      </c>
      <c r="G8" s="2">
        <v>19.154170000000001</v>
      </c>
      <c r="H8" s="2">
        <v>5435.1851900000001</v>
      </c>
      <c r="I8" s="2">
        <v>34611.742420000002</v>
      </c>
      <c r="J8" s="2">
        <v>462.96296000000001</v>
      </c>
      <c r="K8" s="2">
        <v>1252.6829299999999</v>
      </c>
      <c r="L8" s="2">
        <v>182.28049999999999</v>
      </c>
      <c r="M8" s="2">
        <v>472.06792000000002</v>
      </c>
      <c r="N8" s="2">
        <v>680.63121999999998</v>
      </c>
      <c r="O8" s="2">
        <v>157.84157999999999</v>
      </c>
      <c r="P8" s="2">
        <v>317.78113999999999</v>
      </c>
      <c r="Q8" s="2">
        <v>165.76271</v>
      </c>
      <c r="R8" s="2">
        <v>162.36376999999999</v>
      </c>
      <c r="S8" s="2">
        <v>1953.3259700000001</v>
      </c>
      <c r="T8" s="2">
        <v>192.60400000000001</v>
      </c>
      <c r="U8" s="2">
        <v>69.419978817102404</v>
      </c>
      <c r="V8" s="2">
        <v>29.363398182730364</v>
      </c>
      <c r="W8" s="2">
        <v>0.12681866324767269</v>
      </c>
      <c r="X8" s="2">
        <v>0.86543285578906293</v>
      </c>
      <c r="Y8" s="2">
        <v>4.4595573889291487E-2</v>
      </c>
    </row>
    <row r="9" spans="1:26" x14ac:dyDescent="0.3">
      <c r="A9" s="1" t="s">
        <v>80</v>
      </c>
      <c r="B9" s="2">
        <v>177.48519999999999</v>
      </c>
      <c r="C9" s="2">
        <v>839.38765999999998</v>
      </c>
      <c r="D9" s="2">
        <v>52.758000000000003</v>
      </c>
      <c r="E9" s="2">
        <v>1.3420000000000001</v>
      </c>
      <c r="F9" s="2">
        <v>85.75</v>
      </c>
      <c r="G9" s="2">
        <v>13.516069999999999</v>
      </c>
      <c r="H9" s="2">
        <v>3423.5119</v>
      </c>
      <c r="I9" s="2">
        <v>18899.82993</v>
      </c>
      <c r="J9" s="2">
        <v>314.28570999999999</v>
      </c>
      <c r="K9" s="2">
        <v>1009.26829</v>
      </c>
      <c r="L9" s="2">
        <v>163.86545000000001</v>
      </c>
      <c r="M9" s="2">
        <v>255.9281</v>
      </c>
      <c r="N9" s="2">
        <v>8.4471299999999996</v>
      </c>
      <c r="O9" s="2">
        <v>355.57420999999999</v>
      </c>
      <c r="P9" s="2">
        <v>392.00832000000003</v>
      </c>
      <c r="Q9" s="2">
        <v>360.26760999999999</v>
      </c>
      <c r="R9" s="2">
        <v>356.45094999999998</v>
      </c>
      <c r="S9" s="2">
        <v>1728.67632</v>
      </c>
      <c r="T9" s="2">
        <v>332.39884000000001</v>
      </c>
      <c r="U9" s="2">
        <v>45.032341129946971</v>
      </c>
      <c r="V9" s="2">
        <v>54.452653198859636</v>
      </c>
      <c r="W9" s="2">
        <v>0.15634100732656878</v>
      </c>
      <c r="X9" s="2">
        <v>0.19925814659268568</v>
      </c>
      <c r="Y9" s="2">
        <v>7.8170503663284388E-2</v>
      </c>
    </row>
    <row r="10" spans="1:26" x14ac:dyDescent="0.3">
      <c r="A10" s="1" t="s">
        <v>81</v>
      </c>
      <c r="B10" s="2">
        <v>80.171260000000004</v>
      </c>
      <c r="C10" s="2">
        <v>246.51557</v>
      </c>
      <c r="D10" s="2">
        <v>57.072000000000003</v>
      </c>
      <c r="E10" s="2">
        <v>-2.972</v>
      </c>
      <c r="F10" s="2">
        <v>91.174999999999997</v>
      </c>
      <c r="G10" s="2">
        <v>15.10192</v>
      </c>
      <c r="H10" s="2">
        <v>6036.3636399999996</v>
      </c>
      <c r="I10" s="2">
        <v>34944.230770000002</v>
      </c>
      <c r="J10" s="2">
        <v>434.61538000000002</v>
      </c>
      <c r="K10" s="2">
        <v>932</v>
      </c>
      <c r="L10" s="2">
        <v>60.005699999999997</v>
      </c>
      <c r="M10" s="2">
        <v>452.80867000000001</v>
      </c>
      <c r="N10" s="2">
        <v>39.421520000000001</v>
      </c>
      <c r="O10" s="2">
        <v>425.09433000000001</v>
      </c>
      <c r="P10" s="2">
        <v>560.94259</v>
      </c>
      <c r="Q10" s="2">
        <v>424.02427</v>
      </c>
      <c r="R10" s="2">
        <v>425.78183000000001</v>
      </c>
      <c r="S10" s="2">
        <v>2328.0731999999998</v>
      </c>
      <c r="T10" s="2">
        <v>46.46443</v>
      </c>
      <c r="U10" s="2">
        <v>95.528302673841409</v>
      </c>
      <c r="V10" s="2">
        <v>0.62709437005520097</v>
      </c>
      <c r="W10" s="2">
        <v>0.10567443929976779</v>
      </c>
      <c r="X10" s="2">
        <v>3.1549381943575412</v>
      </c>
      <c r="Y10" s="2">
        <v>3.0589969270985416E-2</v>
      </c>
    </row>
    <row r="11" spans="1:26" x14ac:dyDescent="0.3">
      <c r="A11" s="1" t="s">
        <v>82</v>
      </c>
      <c r="B11" s="2">
        <v>218.67328000000001</v>
      </c>
      <c r="C11" s="2">
        <v>473.27233999999999</v>
      </c>
      <c r="D11" s="2">
        <v>43.314</v>
      </c>
      <c r="E11" s="2">
        <v>10.786</v>
      </c>
      <c r="F11" s="2">
        <v>80.075000000000003</v>
      </c>
      <c r="G11" s="2">
        <v>21.016670000000001</v>
      </c>
      <c r="H11" s="2">
        <v>2647.2222200000001</v>
      </c>
      <c r="I11" s="2">
        <v>27293.56061</v>
      </c>
      <c r="J11" s="2">
        <v>560.55556000000001</v>
      </c>
      <c r="K11" s="2">
        <v>1631.02439</v>
      </c>
      <c r="L11" s="2">
        <v>187.06385</v>
      </c>
      <c r="M11" s="2">
        <v>1037.68848</v>
      </c>
      <c r="N11" s="2">
        <v>1837.0579600000001</v>
      </c>
      <c r="O11" s="2">
        <v>10.19538</v>
      </c>
      <c r="P11" s="2">
        <v>1725.49639</v>
      </c>
      <c r="Q11" s="2">
        <v>17.183810000000001</v>
      </c>
      <c r="R11" s="2">
        <v>77.749129999999994</v>
      </c>
      <c r="S11" s="2">
        <v>4705.3711400000002</v>
      </c>
      <c r="T11" s="2">
        <v>940.92259000000001</v>
      </c>
      <c r="U11" s="2">
        <v>42.47925010157293</v>
      </c>
      <c r="V11" s="2">
        <v>0.84595739741134124</v>
      </c>
      <c r="W11" s="2">
        <v>21.51024435544721</v>
      </c>
      <c r="X11" s="2">
        <v>3.9598932033199836</v>
      </c>
      <c r="Y11" s="2">
        <v>29.538858900690695</v>
      </c>
    </row>
    <row r="12" spans="1:26" x14ac:dyDescent="0.3">
      <c r="A12" s="1" t="s">
        <v>83</v>
      </c>
      <c r="B12" s="2">
        <v>200.10235</v>
      </c>
      <c r="C12" s="2">
        <v>994.36335999999994</v>
      </c>
      <c r="D12" s="2">
        <v>45.287999999999997</v>
      </c>
      <c r="E12" s="2">
        <v>8.8119999999999994</v>
      </c>
      <c r="F12" s="2">
        <v>82.1</v>
      </c>
      <c r="G12" s="2">
        <v>16.68571</v>
      </c>
      <c r="H12" s="2">
        <v>2233.8293699999999</v>
      </c>
      <c r="I12" s="2">
        <v>4770.1530599999996</v>
      </c>
      <c r="J12" s="2">
        <v>364.28570999999999</v>
      </c>
      <c r="K12" s="2">
        <v>1408.0975599999999</v>
      </c>
      <c r="L12" s="2">
        <v>166.97263000000001</v>
      </c>
      <c r="M12" s="2">
        <v>267.29027000000002</v>
      </c>
      <c r="N12" s="2">
        <v>555.66480999999999</v>
      </c>
      <c r="O12" s="2">
        <v>43.38758</v>
      </c>
      <c r="P12" s="2">
        <v>1840.40807</v>
      </c>
      <c r="Q12" s="2">
        <v>1.9903999999999999</v>
      </c>
      <c r="R12" s="2">
        <v>50.509920000000001</v>
      </c>
      <c r="S12" s="2">
        <v>2759.2510400000001</v>
      </c>
      <c r="T12" s="2">
        <v>813.81790999999998</v>
      </c>
      <c r="U12" s="2">
        <v>51.618662782502469</v>
      </c>
      <c r="V12" s="2">
        <v>0.93031997368791997</v>
      </c>
      <c r="W12" s="2">
        <v>4.8113517831132828</v>
      </c>
      <c r="X12" s="2">
        <v>13.353380632429641</v>
      </c>
      <c r="Y12" s="2">
        <v>26.077150777615937</v>
      </c>
    </row>
    <row r="13" spans="1:26" x14ac:dyDescent="0.3">
      <c r="A13" s="1" t="s">
        <v>84</v>
      </c>
      <c r="B13" s="2">
        <v>113.49502</v>
      </c>
      <c r="C13" s="2">
        <v>263.06261000000001</v>
      </c>
      <c r="D13" s="2">
        <v>46.344000000000001</v>
      </c>
      <c r="E13" s="2">
        <v>7.7560000000000002</v>
      </c>
      <c r="F13" s="2">
        <v>84.7</v>
      </c>
      <c r="G13" s="2">
        <v>17.209620000000001</v>
      </c>
      <c r="H13" s="2">
        <v>3228.2051299999998</v>
      </c>
      <c r="I13" s="2">
        <v>4964.9572600000001</v>
      </c>
      <c r="J13" s="2">
        <v>461.53845999999999</v>
      </c>
      <c r="K13" s="2">
        <v>1162.73171</v>
      </c>
      <c r="L13" s="2">
        <v>73.489170000000001</v>
      </c>
      <c r="M13" s="2">
        <v>1661.7217900000001</v>
      </c>
      <c r="N13" s="2">
        <v>906.04281000000003</v>
      </c>
      <c r="O13" s="2">
        <v>28.295369999999998</v>
      </c>
      <c r="P13" s="2">
        <v>2721.4957599999998</v>
      </c>
      <c r="Q13" s="2">
        <v>3.7241599999999999</v>
      </c>
      <c r="R13" s="2">
        <v>6.23576</v>
      </c>
      <c r="S13" s="2">
        <v>5327.5156500000003</v>
      </c>
      <c r="T13" s="2">
        <v>440.99675000000002</v>
      </c>
      <c r="U13" s="2">
        <v>46.430260555507779</v>
      </c>
      <c r="V13" s="2">
        <v>23.431722418092697</v>
      </c>
      <c r="W13" s="2">
        <v>15.984822426691892</v>
      </c>
      <c r="X13" s="2">
        <v>2.6678992174735576</v>
      </c>
      <c r="Y13" s="2">
        <v>10.101900421360392</v>
      </c>
    </row>
    <row r="14" spans="1:26" x14ac:dyDescent="0.3">
      <c r="A14" s="1" t="s">
        <v>85</v>
      </c>
      <c r="B14" s="2">
        <v>202.62213</v>
      </c>
      <c r="C14" s="2">
        <v>439.13229000000001</v>
      </c>
      <c r="D14" s="2">
        <v>24.952000000000002</v>
      </c>
      <c r="E14" s="2">
        <v>29.148</v>
      </c>
      <c r="F14" s="2">
        <v>40.225000000000001</v>
      </c>
      <c r="G14" s="2">
        <v>8.3062500000000004</v>
      </c>
      <c r="H14" s="2">
        <v>3540.4321</v>
      </c>
      <c r="I14" s="2">
        <v>14332.47126</v>
      </c>
      <c r="J14" s="2">
        <v>642.59258999999997</v>
      </c>
      <c r="K14" s="2">
        <v>866.34145999999998</v>
      </c>
      <c r="L14" s="2">
        <v>178.74572000000001</v>
      </c>
      <c r="M14" s="2">
        <v>449.52487000000002</v>
      </c>
      <c r="N14" s="2">
        <v>100.34728</v>
      </c>
      <c r="O14" s="2">
        <v>14.00323</v>
      </c>
      <c r="P14" s="2">
        <v>1644.0752399999999</v>
      </c>
      <c r="Q14" s="2">
        <v>41.952950000000001</v>
      </c>
      <c r="R14" s="2">
        <v>69.757890000000003</v>
      </c>
      <c r="S14" s="2">
        <v>2319.6614599999998</v>
      </c>
      <c r="T14" s="2">
        <v>366.70051000000001</v>
      </c>
      <c r="U14" s="2">
        <v>64.781598972230455</v>
      </c>
      <c r="V14" s="2">
        <v>33.613746417630203</v>
      </c>
      <c r="W14" s="2">
        <v>1.3168297262575352</v>
      </c>
      <c r="X14" s="2">
        <v>1.4823599169878446E-2</v>
      </c>
      <c r="Y14" s="2">
        <v>5.8059096748690579E-2</v>
      </c>
    </row>
    <row r="15" spans="1:26" x14ac:dyDescent="0.3">
      <c r="A15" s="1" t="s">
        <v>86</v>
      </c>
      <c r="B15" s="2">
        <v>188.24261000000001</v>
      </c>
      <c r="C15" s="2">
        <v>767.34697000000006</v>
      </c>
      <c r="D15" s="2">
        <v>35.962000000000003</v>
      </c>
      <c r="E15" s="2">
        <v>18.138000000000002</v>
      </c>
      <c r="F15" s="2">
        <v>65.575000000000003</v>
      </c>
      <c r="G15" s="2">
        <v>3.4125000000000001</v>
      </c>
      <c r="H15" s="2">
        <v>2521.3293699999999</v>
      </c>
      <c r="I15" s="2">
        <v>5562.4149699999998</v>
      </c>
      <c r="J15" s="2">
        <v>503.57143000000002</v>
      </c>
      <c r="K15" s="2">
        <v>817.75609999999995</v>
      </c>
      <c r="L15" s="2">
        <v>162.98746</v>
      </c>
      <c r="M15" s="2">
        <v>376.32611000000003</v>
      </c>
      <c r="N15" s="2">
        <v>88.660759999999996</v>
      </c>
      <c r="O15" s="2">
        <v>24.277149999999999</v>
      </c>
      <c r="P15" s="2">
        <v>2026.70192</v>
      </c>
      <c r="Q15" s="2">
        <v>15.928179999999999</v>
      </c>
      <c r="R15" s="2">
        <v>26.635090000000002</v>
      </c>
      <c r="S15" s="2">
        <v>2558.5291999999999</v>
      </c>
      <c r="T15" s="2">
        <v>358.37412999999998</v>
      </c>
      <c r="U15" s="2">
        <v>84.991073106558915</v>
      </c>
      <c r="V15" s="2">
        <v>13.931826724299945</v>
      </c>
      <c r="W15" s="2">
        <v>0.11628453298252207</v>
      </c>
      <c r="X15" s="2">
        <v>1.8793459875963165E-2</v>
      </c>
      <c r="Y15" s="2">
        <v>1.2920503664724676E-2</v>
      </c>
    </row>
    <row r="16" spans="1:26" x14ac:dyDescent="0.3">
      <c r="A16" s="1" t="s">
        <v>87</v>
      </c>
      <c r="B16" s="2">
        <v>110.56417</v>
      </c>
      <c r="C16" s="2">
        <v>425.01272</v>
      </c>
      <c r="D16" s="2">
        <v>43.2</v>
      </c>
      <c r="E16" s="2">
        <v>10.9</v>
      </c>
      <c r="F16" s="2">
        <v>73.174999999999997</v>
      </c>
      <c r="G16" s="2">
        <v>4.9778799999999999</v>
      </c>
      <c r="H16" s="2">
        <v>2619.2307700000001</v>
      </c>
      <c r="I16" s="2">
        <v>4863.8888900000002</v>
      </c>
      <c r="J16" s="2">
        <v>539.23077000000001</v>
      </c>
      <c r="K16" s="2">
        <v>579.31706999999994</v>
      </c>
      <c r="L16" s="2">
        <v>39.395670000000003</v>
      </c>
      <c r="M16" s="2">
        <v>1101.97155</v>
      </c>
      <c r="N16" s="2">
        <v>245.25336999999999</v>
      </c>
      <c r="O16" s="2">
        <v>40.542290000000001</v>
      </c>
      <c r="P16" s="2">
        <v>2595.0295700000001</v>
      </c>
      <c r="Q16" s="2">
        <v>42.363950000000003</v>
      </c>
      <c r="R16" s="2">
        <v>16.861270000000001</v>
      </c>
      <c r="S16" s="2">
        <v>4042.0219900000002</v>
      </c>
      <c r="T16" s="2">
        <v>207.57312999999999</v>
      </c>
      <c r="U16" s="2">
        <v>10.988706820194864</v>
      </c>
      <c r="V16" s="2">
        <v>77.485606731620905</v>
      </c>
      <c r="W16" s="2">
        <v>9.8483170947741367</v>
      </c>
      <c r="X16" s="2">
        <v>9.9645704162976082E-3</v>
      </c>
      <c r="Y16" s="2">
        <v>2.2143489813994686E-2</v>
      </c>
    </row>
    <row r="18" spans="4:19" x14ac:dyDescent="0.3">
      <c r="G18" s="3" t="s">
        <v>101</v>
      </c>
      <c r="M18" s="3" t="s">
        <v>99</v>
      </c>
    </row>
    <row r="19" spans="4:19" ht="12.6" customHeight="1" x14ac:dyDescent="0.3">
      <c r="D19" s="62"/>
      <c r="E19" s="62"/>
      <c r="F19" s="62"/>
      <c r="G19" s="65" t="s">
        <v>79</v>
      </c>
      <c r="H19" s="66">
        <f>H8/(0.5*1100)</f>
        <v>9.8821548909090904</v>
      </c>
      <c r="I19" s="67">
        <f>I8/(0.5*4200)</f>
        <v>16.481782104761905</v>
      </c>
      <c r="J19" s="66">
        <f>J8/(0.5*700)</f>
        <v>1.3227513142857144</v>
      </c>
      <c r="K19" s="62"/>
      <c r="M19" s="3"/>
    </row>
    <row r="20" spans="4:19" x14ac:dyDescent="0.3">
      <c r="D20" s="62"/>
      <c r="E20" s="62"/>
      <c r="F20" s="62"/>
      <c r="G20" s="65" t="s">
        <v>80</v>
      </c>
      <c r="H20" s="66">
        <f t="shared" ref="H20:H27" si="0">H9/(0.5*1100)</f>
        <v>6.2245670909090904</v>
      </c>
      <c r="I20" s="66">
        <f t="shared" ref="I20:I27" si="1">I9/(0.5*4200)</f>
        <v>8.9999190142857142</v>
      </c>
      <c r="J20" s="66">
        <f t="shared" ref="J20:J27" si="2">J9/(0.5*700)</f>
        <v>0.8979591714285714</v>
      </c>
      <c r="K20" s="62"/>
      <c r="L20" s="29"/>
      <c r="M20" s="52">
        <f t="shared" ref="M20:R28" si="3">M8/$S8</f>
        <v>0.24167390760693158</v>
      </c>
      <c r="N20" s="52">
        <f t="shared" si="3"/>
        <v>0.34844733058046629</v>
      </c>
      <c r="O20" s="52">
        <f t="shared" si="3"/>
        <v>8.08065742350213E-2</v>
      </c>
      <c r="P20" s="52">
        <f t="shared" si="3"/>
        <v>0.1626872037133669</v>
      </c>
      <c r="Q20" s="52">
        <f t="shared" si="3"/>
        <v>8.4861775528433686E-2</v>
      </c>
      <c r="R20" s="52">
        <f t="shared" si="3"/>
        <v>8.312169729663707E-2</v>
      </c>
    </row>
    <row r="21" spans="4:19" x14ac:dyDescent="0.3">
      <c r="D21" s="62"/>
      <c r="E21" s="62"/>
      <c r="F21" s="62"/>
      <c r="G21" s="65" t="s">
        <v>81</v>
      </c>
      <c r="H21" s="66">
        <f t="shared" si="0"/>
        <v>10.975206618181817</v>
      </c>
      <c r="I21" s="66">
        <f t="shared" si="1"/>
        <v>16.640109890476193</v>
      </c>
      <c r="J21" s="66">
        <f t="shared" si="2"/>
        <v>1.2417582285714286</v>
      </c>
      <c r="K21" s="62"/>
      <c r="L21" s="30"/>
      <c r="M21" s="52">
        <f t="shared" si="3"/>
        <v>0.14804859477684057</v>
      </c>
      <c r="N21" s="52">
        <f t="shared" si="3"/>
        <v>4.8864729054656107E-3</v>
      </c>
      <c r="O21" s="52">
        <f t="shared" si="3"/>
        <v>0.20569160685905619</v>
      </c>
      <c r="P21" s="52">
        <f t="shared" si="3"/>
        <v>0.22676791222546511</v>
      </c>
      <c r="Q21" s="52">
        <f t="shared" si="3"/>
        <v>0.20840663219127106</v>
      </c>
      <c r="R21" s="52">
        <f t="shared" si="3"/>
        <v>0.20619878104190145</v>
      </c>
    </row>
    <row r="22" spans="4:19" x14ac:dyDescent="0.3">
      <c r="D22" s="62"/>
      <c r="E22" s="62"/>
      <c r="F22" s="62"/>
      <c r="G22" s="65" t="s">
        <v>82</v>
      </c>
      <c r="H22" s="66">
        <f t="shared" si="0"/>
        <v>4.8131313090909096</v>
      </c>
      <c r="I22" s="67">
        <f t="shared" si="1"/>
        <v>12.996933623809523</v>
      </c>
      <c r="J22" s="66">
        <f t="shared" si="2"/>
        <v>1.6015873142857144</v>
      </c>
      <c r="K22" s="62"/>
      <c r="L22" s="30"/>
      <c r="M22" s="52">
        <f t="shared" si="3"/>
        <v>0.19449932673938261</v>
      </c>
      <c r="N22" s="52">
        <f t="shared" si="3"/>
        <v>1.6933110178838022E-2</v>
      </c>
      <c r="O22" s="52">
        <f t="shared" si="3"/>
        <v>0.1825949158299662</v>
      </c>
      <c r="P22" s="52">
        <f t="shared" si="3"/>
        <v>0.24094714461727407</v>
      </c>
      <c r="Q22" s="52">
        <f t="shared" si="3"/>
        <v>0.18213528251603087</v>
      </c>
      <c r="R22" s="52">
        <f t="shared" si="3"/>
        <v>0.1828902244139059</v>
      </c>
    </row>
    <row r="23" spans="4:19" x14ac:dyDescent="0.3">
      <c r="D23" s="62"/>
      <c r="E23" s="62"/>
      <c r="F23" s="62"/>
      <c r="G23" s="65" t="s">
        <v>83</v>
      </c>
      <c r="H23" s="66">
        <f t="shared" si="0"/>
        <v>4.0615079454545455</v>
      </c>
      <c r="I23" s="66">
        <f t="shared" si="1"/>
        <v>2.2715014571428571</v>
      </c>
      <c r="J23" s="66">
        <f t="shared" si="2"/>
        <v>1.0408163142857143</v>
      </c>
      <c r="K23" s="62"/>
      <c r="L23" s="30"/>
      <c r="M23" s="57">
        <f t="shared" si="3"/>
        <v>0.22053275908008396</v>
      </c>
      <c r="N23" s="57">
        <f t="shared" si="3"/>
        <v>0.39041722859718991</v>
      </c>
      <c r="O23" s="57">
        <f t="shared" si="3"/>
        <v>2.1667536304054436E-3</v>
      </c>
      <c r="P23" s="57">
        <f t="shared" si="3"/>
        <v>0.36670781935386293</v>
      </c>
      <c r="Q23" s="57">
        <f t="shared" si="3"/>
        <v>3.6519563470608614E-3</v>
      </c>
      <c r="R23" s="57">
        <f t="shared" si="3"/>
        <v>1.6523485116627802E-2</v>
      </c>
      <c r="S23" s="29"/>
    </row>
    <row r="24" spans="4:19" x14ac:dyDescent="0.3">
      <c r="D24" s="62"/>
      <c r="E24" s="62"/>
      <c r="F24" s="62"/>
      <c r="G24" s="65" t="s">
        <v>84</v>
      </c>
      <c r="H24" s="66">
        <f t="shared" si="0"/>
        <v>5.8694638727272723</v>
      </c>
      <c r="I24" s="66">
        <f t="shared" si="1"/>
        <v>2.3642653619047618</v>
      </c>
      <c r="J24" s="66">
        <f t="shared" si="2"/>
        <v>1.3186813142857143</v>
      </c>
      <c r="K24" s="62"/>
      <c r="L24" s="30"/>
      <c r="M24" s="57">
        <f t="shared" si="3"/>
        <v>9.6870587751957504E-2</v>
      </c>
      <c r="N24" s="57">
        <f t="shared" si="3"/>
        <v>0.20138247732616602</v>
      </c>
      <c r="O24" s="57">
        <f t="shared" si="3"/>
        <v>1.5724404692079051E-2</v>
      </c>
      <c r="P24" s="57">
        <f t="shared" si="3"/>
        <v>0.66699551556570214</v>
      </c>
      <c r="Q24" s="57">
        <f t="shared" si="3"/>
        <v>7.2135516890119568E-4</v>
      </c>
      <c r="R24" s="57">
        <f t="shared" si="3"/>
        <v>1.8305663119365899E-2</v>
      </c>
      <c r="S24" s="29"/>
    </row>
    <row r="25" spans="4:19" x14ac:dyDescent="0.3">
      <c r="D25" s="62"/>
      <c r="E25" s="62"/>
      <c r="F25" s="62"/>
      <c r="G25" s="65" t="s">
        <v>85</v>
      </c>
      <c r="H25" s="66">
        <f t="shared" si="0"/>
        <v>6.4371492727272726</v>
      </c>
      <c r="I25" s="67">
        <f t="shared" si="1"/>
        <v>6.8249863142857148</v>
      </c>
      <c r="J25" s="66">
        <f t="shared" si="2"/>
        <v>1.8359788285714285</v>
      </c>
      <c r="K25" s="62"/>
      <c r="L25" s="30"/>
      <c r="M25" s="57">
        <f t="shared" si="3"/>
        <v>0.31191307528115847</v>
      </c>
      <c r="N25" s="57">
        <f t="shared" si="3"/>
        <v>0.1700685402960759</v>
      </c>
      <c r="O25" s="57">
        <f t="shared" si="3"/>
        <v>5.311175388100455E-3</v>
      </c>
      <c r="P25" s="57">
        <f t="shared" si="3"/>
        <v>0.51083768472834046</v>
      </c>
      <c r="Q25" s="57">
        <f t="shared" si="3"/>
        <v>6.9904252651045707E-4</v>
      </c>
      <c r="R25" s="57">
        <f t="shared" si="3"/>
        <v>1.170481779814199E-3</v>
      </c>
      <c r="S25" s="29"/>
    </row>
    <row r="26" spans="4:19" x14ac:dyDescent="0.3">
      <c r="D26" s="62"/>
      <c r="E26" s="62"/>
      <c r="F26" s="62"/>
      <c r="G26" s="65" t="s">
        <v>86</v>
      </c>
      <c r="H26" s="66">
        <f t="shared" si="0"/>
        <v>4.584235218181818</v>
      </c>
      <c r="I26" s="66">
        <f t="shared" si="1"/>
        <v>2.6487690333333331</v>
      </c>
      <c r="J26" s="66">
        <f t="shared" si="2"/>
        <v>1.4387755142857144</v>
      </c>
      <c r="K26" s="62"/>
      <c r="L26" s="30"/>
      <c r="M26" s="52">
        <f t="shared" si="3"/>
        <v>0.19378899798593888</v>
      </c>
      <c r="N26" s="52">
        <f t="shared" si="3"/>
        <v>4.3259450454464166E-2</v>
      </c>
      <c r="O26" s="52">
        <f t="shared" si="3"/>
        <v>6.0367558979921151E-3</v>
      </c>
      <c r="P26" s="52">
        <f t="shared" si="3"/>
        <v>0.70875654415537004</v>
      </c>
      <c r="Q26" s="52">
        <f t="shared" si="3"/>
        <v>1.80858072280944E-2</v>
      </c>
      <c r="R26" s="52">
        <f t="shared" si="3"/>
        <v>3.0072444278140487E-2</v>
      </c>
    </row>
    <row r="27" spans="4:19" x14ac:dyDescent="0.3">
      <c r="D27" s="62"/>
      <c r="E27" s="62"/>
      <c r="F27" s="62"/>
      <c r="G27" s="65" t="s">
        <v>87</v>
      </c>
      <c r="H27" s="66">
        <f t="shared" si="0"/>
        <v>4.7622377636363638</v>
      </c>
      <c r="I27" s="66">
        <f t="shared" si="1"/>
        <v>2.3161375666666668</v>
      </c>
      <c r="J27" s="66">
        <f t="shared" si="2"/>
        <v>1.5406593428571429</v>
      </c>
      <c r="K27" s="62"/>
      <c r="L27" s="30"/>
      <c r="M27" s="58">
        <f t="shared" si="3"/>
        <v>0.14708689273509173</v>
      </c>
      <c r="N27" s="58">
        <f t="shared" si="3"/>
        <v>3.4653018617102356E-2</v>
      </c>
      <c r="O27" s="58">
        <f t="shared" si="3"/>
        <v>9.4887132810522537E-3</v>
      </c>
      <c r="P27" s="58">
        <f t="shared" si="3"/>
        <v>0.79213554412433518</v>
      </c>
      <c r="Q27" s="58">
        <f t="shared" si="3"/>
        <v>6.2255220694764791E-3</v>
      </c>
      <c r="R27" s="58">
        <f t="shared" si="3"/>
        <v>1.0410313081437571E-2</v>
      </c>
    </row>
    <row r="28" spans="4:19" x14ac:dyDescent="0.3">
      <c r="D28" s="62"/>
      <c r="E28" s="62"/>
      <c r="F28" s="62"/>
      <c r="G28" s="62"/>
      <c r="H28" s="63"/>
      <c r="I28" s="63"/>
      <c r="J28" s="63"/>
      <c r="K28" s="64"/>
      <c r="L28" s="30"/>
      <c r="M28" s="59">
        <f t="shared" si="3"/>
        <v>0.2726287864653601</v>
      </c>
      <c r="N28" s="59">
        <f t="shared" si="3"/>
        <v>6.0675911859648241E-2</v>
      </c>
      <c r="O28" s="59">
        <f t="shared" si="3"/>
        <v>1.0030200256283118E-2</v>
      </c>
      <c r="P28" s="59">
        <f t="shared" si="3"/>
        <v>0.64201272937656628</v>
      </c>
      <c r="Q28" s="59">
        <f t="shared" si="3"/>
        <v>1.048088063469442E-2</v>
      </c>
      <c r="R28" s="59">
        <f t="shared" si="3"/>
        <v>4.1714938814570871E-3</v>
      </c>
    </row>
    <row r="29" spans="4:19" x14ac:dyDescent="0.3">
      <c r="D29" s="62"/>
      <c r="E29" s="62"/>
      <c r="F29" s="63"/>
      <c r="G29" s="63"/>
      <c r="H29" s="63"/>
      <c r="I29" s="63"/>
      <c r="J29" s="63"/>
      <c r="K29" s="64"/>
      <c r="L29" s="54" t="s">
        <v>96</v>
      </c>
      <c r="M29" s="53">
        <f t="shared" ref="M29:R29" si="4">AVERAGE(M23:M25)</f>
        <v>0.20977214070439998</v>
      </c>
      <c r="N29" s="53">
        <f t="shared" si="4"/>
        <v>0.25395608207314396</v>
      </c>
      <c r="O29" s="53">
        <f t="shared" si="4"/>
        <v>7.7341112368616502E-3</v>
      </c>
      <c r="P29" s="53">
        <f t="shared" si="4"/>
        <v>0.51484700654930182</v>
      </c>
      <c r="Q29" s="53">
        <f t="shared" si="4"/>
        <v>1.6907846808241714E-3</v>
      </c>
      <c r="R29" s="53">
        <f t="shared" si="4"/>
        <v>1.1999876671935967E-2</v>
      </c>
    </row>
    <row r="30" spans="4:19" x14ac:dyDescent="0.3">
      <c r="D30" s="62"/>
      <c r="E30" s="62"/>
      <c r="F30" s="63"/>
      <c r="G30" s="63"/>
      <c r="H30" s="63"/>
      <c r="I30" s="63"/>
      <c r="J30" s="63"/>
      <c r="K30" s="63"/>
      <c r="L30" s="55" t="s">
        <v>97</v>
      </c>
      <c r="M30" s="53">
        <f t="shared" ref="M30:R30" si="5">AVERAGE(M26:M28)</f>
        <v>0.20450155906213027</v>
      </c>
      <c r="N30" s="53">
        <f t="shared" si="5"/>
        <v>4.6196126977071587E-2</v>
      </c>
      <c r="O30" s="53">
        <f t="shared" si="5"/>
        <v>8.5185564784424957E-3</v>
      </c>
      <c r="P30" s="53">
        <f t="shared" si="5"/>
        <v>0.7143016058854238</v>
      </c>
      <c r="Q30" s="53">
        <f t="shared" si="5"/>
        <v>1.15974033107551E-2</v>
      </c>
      <c r="R30" s="53">
        <f t="shared" si="5"/>
        <v>1.488475041367838E-2</v>
      </c>
    </row>
    <row r="31" spans="4:19" x14ac:dyDescent="0.3">
      <c r="D31" s="62"/>
      <c r="E31" s="62"/>
      <c r="F31" s="63"/>
      <c r="G31" s="63"/>
      <c r="H31" s="63"/>
      <c r="I31" s="63"/>
      <c r="J31" s="63"/>
      <c r="K31" s="63"/>
      <c r="L31" s="29"/>
      <c r="M31" s="56"/>
      <c r="N31" s="56"/>
      <c r="O31" s="56"/>
      <c r="P31" s="56"/>
      <c r="Q31" s="56"/>
      <c r="R31" s="56"/>
    </row>
    <row r="32" spans="4:19" x14ac:dyDescent="0.3">
      <c r="D32" s="62"/>
      <c r="E32" s="62"/>
      <c r="F32" s="63"/>
      <c r="G32" s="63"/>
      <c r="H32" s="63"/>
      <c r="I32" s="63"/>
      <c r="J32" s="63"/>
      <c r="K32" s="63"/>
      <c r="M32" s="56"/>
      <c r="N32" s="56"/>
      <c r="O32" s="56"/>
      <c r="P32" s="56"/>
      <c r="Q32" s="56"/>
      <c r="R32" s="56"/>
    </row>
    <row r="33" spans="4:11" x14ac:dyDescent="0.3">
      <c r="D33" s="62"/>
      <c r="E33" s="62"/>
      <c r="F33" s="63"/>
      <c r="G33" s="63"/>
      <c r="H33" s="63"/>
      <c r="I33" s="63"/>
      <c r="J33" s="63"/>
      <c r="K33" s="63"/>
    </row>
    <row r="34" spans="4:11" x14ac:dyDescent="0.3">
      <c r="D34" s="62"/>
      <c r="E34" s="62"/>
      <c r="F34" s="63"/>
      <c r="G34" s="63"/>
      <c r="H34" s="63"/>
      <c r="I34" s="63"/>
      <c r="J34" s="63"/>
      <c r="K34" s="63"/>
    </row>
    <row r="35" spans="4:11" x14ac:dyDescent="0.3">
      <c r="D35" s="62"/>
      <c r="E35" s="62"/>
      <c r="F35" s="63"/>
      <c r="G35" s="63"/>
      <c r="H35" s="63"/>
      <c r="I35" s="63"/>
      <c r="J35" s="63"/>
      <c r="K35" s="63"/>
    </row>
    <row r="36" spans="4:11" x14ac:dyDescent="0.3">
      <c r="D36" s="62"/>
      <c r="E36" s="62"/>
      <c r="F36" s="63"/>
      <c r="G36" s="63"/>
      <c r="H36" s="63"/>
      <c r="I36" s="63"/>
      <c r="J36" s="63"/>
      <c r="K36" s="63"/>
    </row>
    <row r="37" spans="4:11" x14ac:dyDescent="0.3">
      <c r="D37" s="62"/>
      <c r="E37" s="62"/>
      <c r="F37" s="63"/>
      <c r="G37" s="63"/>
      <c r="H37" s="63"/>
      <c r="I37" s="63"/>
      <c r="J37" s="63"/>
      <c r="K37" s="63"/>
    </row>
    <row r="38" spans="4:11" x14ac:dyDescent="0.3">
      <c r="D38" s="62"/>
      <c r="E38" s="62"/>
      <c r="F38" s="63"/>
      <c r="G38" s="63"/>
      <c r="H38" s="63"/>
      <c r="I38" s="63"/>
      <c r="J38" s="63"/>
      <c r="K38" s="63"/>
    </row>
    <row r="39" spans="4:11" x14ac:dyDescent="0.3">
      <c r="D39" s="62"/>
      <c r="E39" s="62"/>
      <c r="F39" s="63"/>
      <c r="G39" s="63"/>
      <c r="H39" s="63"/>
      <c r="I39" s="63"/>
      <c r="J39" s="63"/>
      <c r="K39" s="63"/>
    </row>
    <row r="40" spans="4:11" x14ac:dyDescent="0.3">
      <c r="D40" s="62"/>
      <c r="E40" s="62"/>
      <c r="F40" s="63"/>
      <c r="G40" s="63"/>
      <c r="H40" s="63"/>
      <c r="I40" s="63"/>
      <c r="J40" s="63"/>
      <c r="K40" s="63"/>
    </row>
    <row r="41" spans="4:11" x14ac:dyDescent="0.3">
      <c r="D41" s="62"/>
      <c r="E41" s="62"/>
      <c r="F41" s="63"/>
      <c r="G41" s="63"/>
      <c r="H41" s="63"/>
      <c r="I41" s="63"/>
      <c r="J41" s="63"/>
      <c r="K41" s="63"/>
    </row>
    <row r="42" spans="4:11" x14ac:dyDescent="0.3">
      <c r="F42" s="29"/>
      <c r="G42" s="29"/>
      <c r="H42" s="29"/>
      <c r="I42" s="29"/>
      <c r="J42" s="29"/>
      <c r="K42" s="29"/>
    </row>
  </sheetData>
  <mergeCells count="21">
    <mergeCell ref="B6:B7"/>
    <mergeCell ref="A6:A7"/>
    <mergeCell ref="I6:I7"/>
    <mergeCell ref="H6:H7"/>
    <mergeCell ref="G6:G7"/>
    <mergeCell ref="F6:F7"/>
    <mergeCell ref="D6:D7"/>
    <mergeCell ref="C6:C7"/>
    <mergeCell ref="E6:E7"/>
    <mergeCell ref="J6:J7"/>
    <mergeCell ref="U6:Y6"/>
    <mergeCell ref="T6:T7"/>
    <mergeCell ref="S6:S7"/>
    <mergeCell ref="R6:R7"/>
    <mergeCell ref="Q6:Q7"/>
    <mergeCell ref="P6:P7"/>
    <mergeCell ref="O6:O7"/>
    <mergeCell ref="N6:N7"/>
    <mergeCell ref="M6:M7"/>
    <mergeCell ref="L6:L7"/>
    <mergeCell ref="K6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showGridLines="0" workbookViewId="0">
      <selection activeCell="D9" sqref="D9"/>
    </sheetView>
  </sheetViews>
  <sheetFormatPr defaultRowHeight="14.4" x14ac:dyDescent="0.3"/>
  <cols>
    <col min="1" max="1" width="15.5546875" customWidth="1"/>
    <col min="3" max="3" width="7.88671875" bestFit="1" customWidth="1"/>
    <col min="4" max="4" width="10.5546875" bestFit="1" customWidth="1"/>
    <col min="5" max="5" width="14.33203125" bestFit="1" customWidth="1"/>
  </cols>
  <sheetData>
    <row r="2" spans="1:6" ht="28.2" x14ac:dyDescent="0.3">
      <c r="A2" s="5" t="s">
        <v>73</v>
      </c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5" t="s">
        <v>74</v>
      </c>
      <c r="B4" s="16" t="s">
        <v>69</v>
      </c>
      <c r="C4" s="16" t="s">
        <v>70</v>
      </c>
      <c r="D4" s="16" t="s">
        <v>71</v>
      </c>
      <c r="E4" s="17" t="s">
        <v>72</v>
      </c>
      <c r="F4" s="1"/>
    </row>
    <row r="5" spans="1:6" x14ac:dyDescent="0.3">
      <c r="A5" s="7" t="s">
        <v>24</v>
      </c>
      <c r="B5" s="8">
        <v>9</v>
      </c>
      <c r="C5" s="8">
        <v>0</v>
      </c>
      <c r="D5" s="9">
        <v>170.36129</v>
      </c>
      <c r="E5" s="10">
        <v>55.554810000000003</v>
      </c>
      <c r="F5" s="1"/>
    </row>
    <row r="6" spans="1:6" x14ac:dyDescent="0.3">
      <c r="A6" s="7" t="s">
        <v>25</v>
      </c>
      <c r="B6" s="8">
        <v>9</v>
      </c>
      <c r="C6" s="8">
        <v>0</v>
      </c>
      <c r="D6" s="9">
        <v>13.264530000000001</v>
      </c>
      <c r="E6" s="10">
        <v>6.2829800000000002</v>
      </c>
      <c r="F6" s="1"/>
    </row>
    <row r="7" spans="1:6" x14ac:dyDescent="0.3">
      <c r="A7" s="7" t="s">
        <v>26</v>
      </c>
      <c r="B7" s="8">
        <v>9</v>
      </c>
      <c r="C7" s="8">
        <v>0</v>
      </c>
      <c r="D7" s="9">
        <v>44.672220000000003</v>
      </c>
      <c r="E7" s="10">
        <v>9.7667699999999993</v>
      </c>
      <c r="F7" s="1"/>
    </row>
    <row r="8" spans="1:6" x14ac:dyDescent="0.3">
      <c r="A8" s="7" t="s">
        <v>27</v>
      </c>
      <c r="B8" s="8">
        <v>9</v>
      </c>
      <c r="C8" s="8">
        <v>0</v>
      </c>
      <c r="D8" s="9">
        <v>3520.58997</v>
      </c>
      <c r="E8" s="10">
        <v>1337.8897999999999</v>
      </c>
      <c r="F8" s="1"/>
    </row>
    <row r="9" spans="1:6" x14ac:dyDescent="0.3">
      <c r="A9" s="7" t="s">
        <v>28</v>
      </c>
      <c r="B9" s="8">
        <v>9</v>
      </c>
      <c r="C9" s="8">
        <v>0</v>
      </c>
      <c r="D9" s="9">
        <v>16693.694350000002</v>
      </c>
      <c r="E9" s="10">
        <v>12847.771640000001</v>
      </c>
      <c r="F9" s="1"/>
    </row>
    <row r="10" spans="1:6" x14ac:dyDescent="0.3">
      <c r="A10" s="7" t="s">
        <v>29</v>
      </c>
      <c r="B10" s="8">
        <v>9</v>
      </c>
      <c r="C10" s="8">
        <v>0</v>
      </c>
      <c r="D10" s="9">
        <v>475.95983999999999</v>
      </c>
      <c r="E10" s="10">
        <v>100.23997</v>
      </c>
      <c r="F10" s="1"/>
    </row>
    <row r="11" spans="1:6" x14ac:dyDescent="0.3">
      <c r="A11" s="7" t="s">
        <v>30</v>
      </c>
      <c r="B11" s="8">
        <v>9</v>
      </c>
      <c r="C11" s="8">
        <v>0</v>
      </c>
      <c r="D11" s="9">
        <v>1073.2466099999999</v>
      </c>
      <c r="E11" s="10">
        <v>323.9486</v>
      </c>
      <c r="F11" s="1"/>
    </row>
    <row r="12" spans="1:6" x14ac:dyDescent="0.3">
      <c r="A12" s="7" t="s">
        <v>31</v>
      </c>
      <c r="B12" s="8">
        <v>9</v>
      </c>
      <c r="C12" s="8">
        <v>0</v>
      </c>
      <c r="D12" s="9">
        <v>134.97846000000001</v>
      </c>
      <c r="E12" s="10">
        <v>59.209850000000003</v>
      </c>
      <c r="F12" s="1"/>
    </row>
    <row r="13" spans="1:6" x14ac:dyDescent="0.3">
      <c r="A13" s="7" t="s">
        <v>32</v>
      </c>
      <c r="B13" s="8">
        <v>9</v>
      </c>
      <c r="C13" s="8">
        <v>0</v>
      </c>
      <c r="D13" s="9">
        <v>675.03642000000002</v>
      </c>
      <c r="E13" s="10">
        <v>482.17106999999999</v>
      </c>
      <c r="F13" s="1"/>
    </row>
    <row r="14" spans="1:6" x14ac:dyDescent="0.3">
      <c r="A14" s="7" t="s">
        <v>33</v>
      </c>
      <c r="B14" s="8">
        <v>9</v>
      </c>
      <c r="C14" s="8">
        <v>0</v>
      </c>
      <c r="D14" s="9">
        <v>495.72521</v>
      </c>
      <c r="E14" s="10">
        <v>595.37082999999996</v>
      </c>
      <c r="F14" s="1"/>
    </row>
    <row r="15" spans="1:6" x14ac:dyDescent="0.3">
      <c r="A15" s="7" t="s">
        <v>34</v>
      </c>
      <c r="B15" s="8">
        <v>9</v>
      </c>
      <c r="C15" s="8">
        <v>0</v>
      </c>
      <c r="D15" s="9">
        <v>122.13457</v>
      </c>
      <c r="E15" s="10">
        <v>159.30188000000001</v>
      </c>
      <c r="F15" s="1"/>
    </row>
    <row r="16" spans="1:6" x14ac:dyDescent="0.3">
      <c r="A16" s="7" t="s">
        <v>35</v>
      </c>
      <c r="B16" s="8">
        <v>9</v>
      </c>
      <c r="C16" s="8">
        <v>0</v>
      </c>
      <c r="D16" s="9">
        <v>1535.9932200000001</v>
      </c>
      <c r="E16" s="10">
        <v>911.83172000000002</v>
      </c>
      <c r="F16" s="1"/>
    </row>
    <row r="17" spans="1:6" x14ac:dyDescent="0.3">
      <c r="A17" s="7" t="s">
        <v>36</v>
      </c>
      <c r="B17" s="8">
        <v>9</v>
      </c>
      <c r="C17" s="8">
        <v>0</v>
      </c>
      <c r="D17" s="9">
        <v>119.24423</v>
      </c>
      <c r="E17" s="10">
        <v>163.25422</v>
      </c>
      <c r="F17" s="1"/>
    </row>
    <row r="18" spans="1:6" x14ac:dyDescent="0.3">
      <c r="A18" s="7" t="s">
        <v>37</v>
      </c>
      <c r="B18" s="8">
        <v>9</v>
      </c>
      <c r="C18" s="8">
        <v>0</v>
      </c>
      <c r="D18" s="9">
        <v>132.48285000000001</v>
      </c>
      <c r="E18" s="10">
        <v>154.61204000000001</v>
      </c>
      <c r="F18" s="1"/>
    </row>
    <row r="19" spans="1:6" x14ac:dyDescent="0.3">
      <c r="A19" s="7" t="s">
        <v>38</v>
      </c>
      <c r="B19" s="8">
        <v>9</v>
      </c>
      <c r="C19" s="8">
        <v>0</v>
      </c>
      <c r="D19" s="9">
        <v>3080.26955</v>
      </c>
      <c r="E19" s="10">
        <v>1286.1004</v>
      </c>
      <c r="F19" s="1"/>
    </row>
    <row r="20" spans="1:6" x14ac:dyDescent="0.3">
      <c r="A20" s="7" t="s">
        <v>39</v>
      </c>
      <c r="B20" s="8">
        <v>9</v>
      </c>
      <c r="C20" s="8">
        <v>0</v>
      </c>
      <c r="D20" s="9">
        <v>411.09469999999999</v>
      </c>
      <c r="E20" s="10">
        <v>290.87272000000002</v>
      </c>
      <c r="F20" s="1"/>
    </row>
    <row r="21" spans="1:6" x14ac:dyDescent="0.3">
      <c r="A21" s="7" t="s">
        <v>40</v>
      </c>
      <c r="B21" s="8">
        <v>9</v>
      </c>
      <c r="C21" s="8">
        <v>0</v>
      </c>
      <c r="D21" s="9">
        <v>56.8078</v>
      </c>
      <c r="E21" s="10">
        <v>25.234400000000001</v>
      </c>
      <c r="F21" s="1"/>
    </row>
    <row r="22" spans="1:6" x14ac:dyDescent="0.3">
      <c r="A22" s="7" t="s">
        <v>41</v>
      </c>
      <c r="B22" s="8">
        <v>9</v>
      </c>
      <c r="C22" s="8">
        <v>0</v>
      </c>
      <c r="D22" s="9">
        <v>26.075810000000001</v>
      </c>
      <c r="E22" s="10">
        <v>26.426279999999998</v>
      </c>
      <c r="F22" s="1"/>
    </row>
    <row r="23" spans="1:6" x14ac:dyDescent="0.3">
      <c r="A23" s="7" t="s">
        <v>42</v>
      </c>
      <c r="B23" s="8">
        <v>9</v>
      </c>
      <c r="C23" s="8">
        <v>0</v>
      </c>
      <c r="D23" s="9">
        <v>5.9974100000000004</v>
      </c>
      <c r="E23" s="10">
        <v>8.0344800000000003</v>
      </c>
      <c r="F23" s="1"/>
    </row>
    <row r="24" spans="1:6" x14ac:dyDescent="0.3">
      <c r="A24" s="7" t="s">
        <v>43</v>
      </c>
      <c r="B24" s="8">
        <v>9</v>
      </c>
      <c r="C24" s="8">
        <v>0</v>
      </c>
      <c r="D24" s="9">
        <v>2.6938200000000001</v>
      </c>
      <c r="E24" s="10">
        <v>4.27996</v>
      </c>
      <c r="F24" s="1"/>
    </row>
    <row r="25" spans="1:6" x14ac:dyDescent="0.3">
      <c r="A25" s="11" t="s">
        <v>44</v>
      </c>
      <c r="B25" s="12">
        <v>9</v>
      </c>
      <c r="C25" s="12">
        <v>0</v>
      </c>
      <c r="D25" s="13">
        <v>7.3293799999999996</v>
      </c>
      <c r="E25" s="14">
        <v>12.099309999999999</v>
      </c>
      <c r="F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showGridLines="0" zoomScale="85" zoomScaleNormal="85" workbookViewId="0">
      <selection activeCell="G13" sqref="G13"/>
    </sheetView>
  </sheetViews>
  <sheetFormatPr defaultRowHeight="15.6" x14ac:dyDescent="0.3"/>
  <cols>
    <col min="1" max="1" width="41.5546875" style="32" customWidth="1"/>
    <col min="2" max="2" width="14.21875" style="32" customWidth="1"/>
    <col min="3" max="3" width="17.21875" style="32" customWidth="1"/>
    <col min="4" max="10" width="12.21875" style="32" customWidth="1"/>
    <col min="11" max="11" width="16.33203125" style="32" customWidth="1"/>
    <col min="12" max="24" width="12.21875" style="32" customWidth="1"/>
    <col min="25" max="16384" width="8.88671875" style="32"/>
  </cols>
  <sheetData>
    <row r="1" spans="1:24" ht="28.2" x14ac:dyDescent="0.3">
      <c r="A1" s="31" t="s">
        <v>94</v>
      </c>
    </row>
    <row r="2" spans="1:24" ht="45.6" x14ac:dyDescent="0.3">
      <c r="A2" s="33"/>
      <c r="B2" s="34" t="s">
        <v>1</v>
      </c>
      <c r="C2" s="35" t="s">
        <v>0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20</v>
      </c>
      <c r="K2" s="35" t="s">
        <v>21</v>
      </c>
      <c r="L2" s="35" t="s">
        <v>93</v>
      </c>
      <c r="M2" s="35" t="s">
        <v>8</v>
      </c>
      <c r="N2" s="35" t="s">
        <v>9</v>
      </c>
      <c r="O2" s="35" t="s">
        <v>10</v>
      </c>
      <c r="P2" s="35" t="s">
        <v>11</v>
      </c>
      <c r="Q2" s="35" t="s">
        <v>12</v>
      </c>
      <c r="R2" s="35" t="s">
        <v>13</v>
      </c>
      <c r="S2" s="35" t="s">
        <v>14</v>
      </c>
      <c r="T2" s="35" t="s">
        <v>15</v>
      </c>
      <c r="U2" s="35" t="s">
        <v>16</v>
      </c>
      <c r="V2" s="35" t="s">
        <v>17</v>
      </c>
      <c r="W2" s="35" t="s">
        <v>18</v>
      </c>
      <c r="X2" s="36" t="s">
        <v>19</v>
      </c>
    </row>
    <row r="3" spans="1:24" ht="34.200000000000003" customHeight="1" x14ac:dyDescent="0.3">
      <c r="A3" s="37" t="s">
        <v>1</v>
      </c>
      <c r="B3" s="38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</row>
    <row r="4" spans="1:24" x14ac:dyDescent="0.3">
      <c r="A4" s="41" t="s">
        <v>0</v>
      </c>
      <c r="B4" s="42">
        <v>0.69515676571063134</v>
      </c>
      <c r="C4" s="43">
        <v>1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</row>
    <row r="5" spans="1:24" x14ac:dyDescent="0.3">
      <c r="A5" s="41" t="s">
        <v>2</v>
      </c>
      <c r="B5" s="42">
        <v>-0.29945338196769899</v>
      </c>
      <c r="C5" s="43">
        <v>8.0307908838260181E-2</v>
      </c>
      <c r="D5" s="43">
        <v>1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4"/>
    </row>
    <row r="6" spans="1:24" x14ac:dyDescent="0.3">
      <c r="A6" s="41" t="s">
        <v>3</v>
      </c>
      <c r="B6" s="42">
        <v>-0.35180414444070884</v>
      </c>
      <c r="C6" s="43">
        <v>3.5483941358892504E-2</v>
      </c>
      <c r="D6" s="43">
        <v>0.92728403892253808</v>
      </c>
      <c r="E6" s="43">
        <v>1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4"/>
    </row>
    <row r="7" spans="1:24" x14ac:dyDescent="0.3">
      <c r="A7" s="41" t="s">
        <v>4</v>
      </c>
      <c r="B7" s="42">
        <v>0.2394749931963838</v>
      </c>
      <c r="C7" s="43">
        <v>4.9755716178332701E-2</v>
      </c>
      <c r="D7" s="43">
        <v>0.54749068792796762</v>
      </c>
      <c r="E7" s="43">
        <v>0.57088251170648041</v>
      </c>
      <c r="F7" s="43">
        <v>1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4"/>
    </row>
    <row r="8" spans="1:24" x14ac:dyDescent="0.3">
      <c r="A8" s="41" t="s">
        <v>5</v>
      </c>
      <c r="B8" s="42">
        <v>-0.19810684821426897</v>
      </c>
      <c r="C8" s="43">
        <v>-0.22820380225218398</v>
      </c>
      <c r="D8" s="43">
        <v>0.53767033262347441</v>
      </c>
      <c r="E8" s="43">
        <v>0.25123295968891507</v>
      </c>
      <c r="F8" s="43">
        <v>0.30876600182270464</v>
      </c>
      <c r="G8" s="43">
        <v>1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4"/>
    </row>
    <row r="9" spans="1:24" x14ac:dyDescent="0.3">
      <c r="A9" s="41" t="s">
        <v>6</v>
      </c>
      <c r="B9" s="42">
        <v>0.15903161740471894</v>
      </c>
      <c r="C9" s="43">
        <v>-8.3037500496099634E-2</v>
      </c>
      <c r="D9" s="43">
        <v>0.51383605077318606</v>
      </c>
      <c r="E9" s="43">
        <v>0.28842423928660382</v>
      </c>
      <c r="F9" s="43">
        <v>0.54837715342813675</v>
      </c>
      <c r="G9" s="43">
        <v>0.80909345196116123</v>
      </c>
      <c r="H9" s="43">
        <v>1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4"/>
    </row>
    <row r="10" spans="1:24" x14ac:dyDescent="0.3">
      <c r="A10" s="41" t="s">
        <v>7</v>
      </c>
      <c r="B10" s="42">
        <v>0.11939660555830106</v>
      </c>
      <c r="C10" s="43">
        <v>-0.49270040377654634</v>
      </c>
      <c r="D10" s="43">
        <v>-0.73513528017962959</v>
      </c>
      <c r="E10" s="43">
        <v>-0.74694772801323261</v>
      </c>
      <c r="F10" s="43">
        <v>-0.31733589504359883</v>
      </c>
      <c r="G10" s="43">
        <v>-0.11230090431307854</v>
      </c>
      <c r="H10" s="43">
        <v>-3.8436387091219298E-2</v>
      </c>
      <c r="I10" s="43">
        <v>1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4"/>
    </row>
    <row r="11" spans="1:24" x14ac:dyDescent="0.3">
      <c r="A11" s="41" t="s">
        <v>20</v>
      </c>
      <c r="B11" s="42">
        <v>0.62251159159826897</v>
      </c>
      <c r="C11" s="43">
        <v>0.26560525142745356</v>
      </c>
      <c r="D11" s="43">
        <v>0.23251338897995527</v>
      </c>
      <c r="E11" s="43">
        <v>0.36196378955775088</v>
      </c>
      <c r="F11" s="43">
        <v>0.87452463589627416</v>
      </c>
      <c r="G11" s="43">
        <v>-7.3073204700380978E-2</v>
      </c>
      <c r="H11" s="43">
        <v>0.31661227012316068</v>
      </c>
      <c r="I11" s="43">
        <v>-0.19412843515477549</v>
      </c>
      <c r="J11" s="43">
        <v>1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4"/>
    </row>
    <row r="12" spans="1:24" x14ac:dyDescent="0.3">
      <c r="A12" s="41" t="s">
        <v>21</v>
      </c>
      <c r="B12" s="42">
        <v>0.94790461870954601</v>
      </c>
      <c r="C12" s="43">
        <v>0.66049168329787977</v>
      </c>
      <c r="D12" s="43">
        <v>-0.30580886031699367</v>
      </c>
      <c r="E12" s="43">
        <v>-0.33745219301653195</v>
      </c>
      <c r="F12" s="43">
        <v>0.24120701367704325</v>
      </c>
      <c r="G12" s="43">
        <v>-0.17436440107077197</v>
      </c>
      <c r="H12" s="43">
        <v>0.1890339910450369</v>
      </c>
      <c r="I12" s="43">
        <v>3.2718196502075199E-2</v>
      </c>
      <c r="J12" s="43">
        <v>0.53758843617348395</v>
      </c>
      <c r="K12" s="43">
        <v>1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</row>
    <row r="13" spans="1:24" x14ac:dyDescent="0.3">
      <c r="A13" s="41" t="s">
        <v>93</v>
      </c>
      <c r="B13" s="42">
        <v>-0.40282558594719825</v>
      </c>
      <c r="C13" s="43">
        <v>-0.65247931806607251</v>
      </c>
      <c r="D13" s="43">
        <v>-1.4355773276990952E-2</v>
      </c>
      <c r="E13" s="43">
        <v>0.16179363637119809</v>
      </c>
      <c r="F13" s="43">
        <v>0.17011867792566998</v>
      </c>
      <c r="G13" s="43">
        <v>-0.20895222813768199</v>
      </c>
      <c r="H13" s="43">
        <v>-0.25579753291082036</v>
      </c>
      <c r="I13" s="43">
        <v>0.31747599546466221</v>
      </c>
      <c r="J13" s="43">
        <v>7.0361394384751599E-2</v>
      </c>
      <c r="K13" s="43">
        <v>-0.52067007982406255</v>
      </c>
      <c r="L13" s="43">
        <v>1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4"/>
    </row>
    <row r="14" spans="1:24" x14ac:dyDescent="0.3">
      <c r="A14" s="41" t="s">
        <v>8</v>
      </c>
      <c r="B14" s="42">
        <v>0.33674688094975352</v>
      </c>
      <c r="C14" s="43">
        <v>-0.11122083003072072</v>
      </c>
      <c r="D14" s="43">
        <v>5.5541182223516436E-2</v>
      </c>
      <c r="E14" s="43">
        <v>0.23895400262840738</v>
      </c>
      <c r="F14" s="43">
        <v>0.68157095536276235</v>
      </c>
      <c r="G14" s="43">
        <v>-0.23390593859385631</v>
      </c>
      <c r="H14" s="43">
        <v>0.18022943281090281</v>
      </c>
      <c r="I14" s="43">
        <v>0.21601150492201387</v>
      </c>
      <c r="J14" s="43">
        <v>0.80577876078996669</v>
      </c>
      <c r="K14" s="43">
        <v>0.25057900196241989</v>
      </c>
      <c r="L14" s="43">
        <v>0.53940054991967323</v>
      </c>
      <c r="M14" s="43">
        <v>1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4"/>
    </row>
    <row r="15" spans="1:24" x14ac:dyDescent="0.3">
      <c r="A15" s="41" t="s">
        <v>9</v>
      </c>
      <c r="B15" s="42">
        <v>-0.36553241513223189</v>
      </c>
      <c r="C15" s="43">
        <v>-3.1120437831675719E-2</v>
      </c>
      <c r="D15" s="43">
        <v>0.72297214752777839</v>
      </c>
      <c r="E15" s="43">
        <v>0.53234003117732243</v>
      </c>
      <c r="F15" s="43">
        <v>0.18666660446896019</v>
      </c>
      <c r="G15" s="43">
        <v>0.70590912986608412</v>
      </c>
      <c r="H15" s="43">
        <v>0.60139133913153808</v>
      </c>
      <c r="I15" s="43">
        <v>-0.59442234163819474</v>
      </c>
      <c r="J15" s="43">
        <v>-0.14738578522094223</v>
      </c>
      <c r="K15" s="43">
        <v>-0.21913888721027899</v>
      </c>
      <c r="L15" s="43">
        <v>-0.41450029038088543</v>
      </c>
      <c r="M15" s="43">
        <v>-0.44248764379351313</v>
      </c>
      <c r="N15" s="43">
        <v>1</v>
      </c>
      <c r="O15" s="43"/>
      <c r="P15" s="43"/>
      <c r="Q15" s="43"/>
      <c r="R15" s="43"/>
      <c r="S15" s="43"/>
      <c r="T15" s="43"/>
      <c r="U15" s="43"/>
      <c r="V15" s="43"/>
      <c r="W15" s="43"/>
      <c r="X15" s="44"/>
    </row>
    <row r="16" spans="1:24" x14ac:dyDescent="0.3">
      <c r="A16" s="41" t="s">
        <v>10</v>
      </c>
      <c r="B16" s="42">
        <v>-0.2655770925722859</v>
      </c>
      <c r="C16" s="43">
        <v>-0.33966224474705176</v>
      </c>
      <c r="D16" s="43">
        <v>-0.52962299948441682</v>
      </c>
      <c r="E16" s="43">
        <v>-0.2558869205485671</v>
      </c>
      <c r="F16" s="43">
        <v>-0.35374618141207903</v>
      </c>
      <c r="G16" s="43">
        <v>-0.71940021173644841</v>
      </c>
      <c r="H16" s="43">
        <v>-0.81005106707632712</v>
      </c>
      <c r="I16" s="43">
        <v>0.41657114512862359</v>
      </c>
      <c r="J16" s="43">
        <v>-0.15436679535083905</v>
      </c>
      <c r="K16" s="43">
        <v>-0.35563625261156789</v>
      </c>
      <c r="L16" s="43">
        <v>0.66497566668520813</v>
      </c>
      <c r="M16" s="43">
        <v>0.23675369811084077</v>
      </c>
      <c r="N16" s="43">
        <v>-0.78180506866144028</v>
      </c>
      <c r="O16" s="43">
        <v>1</v>
      </c>
      <c r="P16" s="43"/>
      <c r="Q16" s="43"/>
      <c r="R16" s="43"/>
      <c r="S16" s="43"/>
      <c r="T16" s="43"/>
      <c r="U16" s="43"/>
      <c r="V16" s="43"/>
      <c r="W16" s="43"/>
      <c r="X16" s="44"/>
    </row>
    <row r="17" spans="1:24" x14ac:dyDescent="0.3">
      <c r="A17" s="41" t="s">
        <v>11</v>
      </c>
      <c r="B17" s="42">
        <v>-0.33127187326794161</v>
      </c>
      <c r="C17" s="43">
        <v>-6.2071598631320675E-2</v>
      </c>
      <c r="D17" s="43">
        <v>0.66899286397255076</v>
      </c>
      <c r="E17" s="43">
        <v>0.4536205655383313</v>
      </c>
      <c r="F17" s="43">
        <v>0.15656255666716151</v>
      </c>
      <c r="G17" s="43">
        <v>0.73095359091359124</v>
      </c>
      <c r="H17" s="43">
        <v>0.64607106399142589</v>
      </c>
      <c r="I17" s="43">
        <v>-0.5090467913812744</v>
      </c>
      <c r="J17" s="43">
        <v>-0.18031140273212479</v>
      </c>
      <c r="K17" s="43">
        <v>-0.18853684394195719</v>
      </c>
      <c r="L17" s="43">
        <v>-0.42224825666357185</v>
      </c>
      <c r="M17" s="43">
        <v>-0.4467344537671597</v>
      </c>
      <c r="N17" s="43">
        <v>0.99253489988986687</v>
      </c>
      <c r="O17" s="43">
        <v>-0.80782685762141859</v>
      </c>
      <c r="P17" s="43">
        <v>1</v>
      </c>
      <c r="Q17" s="43"/>
      <c r="R17" s="43"/>
      <c r="S17" s="43"/>
      <c r="T17" s="43"/>
      <c r="U17" s="43"/>
      <c r="V17" s="43"/>
      <c r="W17" s="43"/>
      <c r="X17" s="44"/>
    </row>
    <row r="18" spans="1:24" x14ac:dyDescent="0.3">
      <c r="A18" s="41" t="s">
        <v>12</v>
      </c>
      <c r="B18" s="42">
        <v>-0.25649335471649681</v>
      </c>
      <c r="C18" s="43">
        <v>-3.4306715924188429E-2</v>
      </c>
      <c r="D18" s="43">
        <v>0.64925867156571926</v>
      </c>
      <c r="E18" s="43">
        <v>0.45466024004310551</v>
      </c>
      <c r="F18" s="43">
        <v>0.24195974611648569</v>
      </c>
      <c r="G18" s="43">
        <v>0.70839727560840982</v>
      </c>
      <c r="H18" s="43">
        <v>0.68933309939024678</v>
      </c>
      <c r="I18" s="43">
        <v>-0.50868431439022388</v>
      </c>
      <c r="J18" s="43">
        <v>-5.6252692420240939E-2</v>
      </c>
      <c r="K18" s="43">
        <v>-8.8418229344730329E-2</v>
      </c>
      <c r="L18" s="43">
        <v>-0.46898760568288744</v>
      </c>
      <c r="M18" s="43">
        <v>-0.36762991885115143</v>
      </c>
      <c r="N18" s="43">
        <v>0.98056802353710804</v>
      </c>
      <c r="O18" s="43">
        <v>-0.83766957013875931</v>
      </c>
      <c r="P18" s="43">
        <v>0.98657666030925484</v>
      </c>
      <c r="Q18" s="43">
        <v>1</v>
      </c>
      <c r="R18" s="43"/>
      <c r="S18" s="43"/>
      <c r="T18" s="43"/>
      <c r="U18" s="43"/>
      <c r="V18" s="43"/>
      <c r="W18" s="43"/>
      <c r="X18" s="44"/>
    </row>
    <row r="19" spans="1:24" x14ac:dyDescent="0.3">
      <c r="A19" s="41" t="s">
        <v>13</v>
      </c>
      <c r="B19" s="42">
        <v>-0.30197816621152396</v>
      </c>
      <c r="C19" s="43">
        <v>-0.5530952054098075</v>
      </c>
      <c r="D19" s="43">
        <v>-0.10290848625569768</v>
      </c>
      <c r="E19" s="43">
        <v>0.16797062830127474</v>
      </c>
      <c r="F19" s="43">
        <v>0.20029279531540833</v>
      </c>
      <c r="G19" s="43">
        <v>-0.43171692425987895</v>
      </c>
      <c r="H19" s="43">
        <v>-0.34783724318746428</v>
      </c>
      <c r="I19" s="43">
        <v>0.31500863434112952</v>
      </c>
      <c r="J19" s="43">
        <v>0.24187683610932989</v>
      </c>
      <c r="K19" s="43">
        <v>-0.39329436013566049</v>
      </c>
      <c r="L19" s="43">
        <v>0.93487958786377778</v>
      </c>
      <c r="M19" s="43">
        <v>0.67720379931553021</v>
      </c>
      <c r="N19" s="43">
        <v>-0.54686354551825922</v>
      </c>
      <c r="O19" s="43">
        <v>0.76821644606401573</v>
      </c>
      <c r="P19" s="43">
        <v>-0.56945663506270916</v>
      </c>
      <c r="Q19" s="43">
        <v>-0.57306283234027089</v>
      </c>
      <c r="R19" s="43">
        <v>1</v>
      </c>
      <c r="S19" s="43"/>
      <c r="T19" s="43"/>
      <c r="U19" s="43"/>
      <c r="V19" s="43"/>
      <c r="W19" s="43"/>
      <c r="X19" s="44"/>
    </row>
    <row r="20" spans="1:24" x14ac:dyDescent="0.3">
      <c r="A20" s="41" t="s">
        <v>14</v>
      </c>
      <c r="B20" s="42">
        <v>0.48242064895493769</v>
      </c>
      <c r="C20" s="43">
        <v>0.2514016347494426</v>
      </c>
      <c r="D20" s="43">
        <v>-0.25517997517428653</v>
      </c>
      <c r="E20" s="43">
        <v>1.8756927958182779E-2</v>
      </c>
      <c r="F20" s="43">
        <v>0.41397668854529301</v>
      </c>
      <c r="G20" s="43">
        <v>-0.66889944566574056</v>
      </c>
      <c r="H20" s="43">
        <v>-0.24017641544508925</v>
      </c>
      <c r="I20" s="43">
        <v>3.5686790901692175E-2</v>
      </c>
      <c r="J20" s="43">
        <v>0.7608781163007442</v>
      </c>
      <c r="K20" s="43">
        <v>0.50373641630681376</v>
      </c>
      <c r="L20" s="43">
        <v>0.13784907043654163</v>
      </c>
      <c r="M20" s="43">
        <v>0.72281638990917718</v>
      </c>
      <c r="N20" s="43">
        <v>-0.55005993043884793</v>
      </c>
      <c r="O20" s="43">
        <v>0.3412032383385124</v>
      </c>
      <c r="P20" s="43">
        <v>-0.58040035809333401</v>
      </c>
      <c r="Q20" s="43">
        <v>-0.45858710349466131</v>
      </c>
      <c r="R20" s="43">
        <v>0.43149217762333469</v>
      </c>
      <c r="S20" s="43">
        <v>1</v>
      </c>
      <c r="T20" s="43"/>
      <c r="U20" s="43"/>
      <c r="V20" s="43"/>
      <c r="W20" s="43"/>
      <c r="X20" s="44"/>
    </row>
    <row r="21" spans="1:24" x14ac:dyDescent="0.3">
      <c r="A21" s="41" t="s">
        <v>15</v>
      </c>
      <c r="B21" s="42">
        <v>5.0888252578268546E-2</v>
      </c>
      <c r="C21" s="43">
        <v>3.0970713197392641E-2</v>
      </c>
      <c r="D21" s="43">
        <v>7.8921248849002423E-2</v>
      </c>
      <c r="E21" s="43">
        <v>-3.9400247495393961E-2</v>
      </c>
      <c r="F21" s="43">
        <v>2.7737508253403195E-2</v>
      </c>
      <c r="G21" s="43">
        <v>0.58582321262901516</v>
      </c>
      <c r="H21" s="43">
        <v>0.44257068002089917</v>
      </c>
      <c r="I21" s="43">
        <v>-5.6144038842760091E-2</v>
      </c>
      <c r="J21" s="43">
        <v>1.0244667829770338E-2</v>
      </c>
      <c r="K21" s="43">
        <v>0.21727695580486692</v>
      </c>
      <c r="L21" s="43">
        <v>-0.50676655504939927</v>
      </c>
      <c r="M21" s="43">
        <v>-0.30397938951954145</v>
      </c>
      <c r="N21" s="43">
        <v>0.38984103122836883</v>
      </c>
      <c r="O21" s="43">
        <v>-0.48935076961401219</v>
      </c>
      <c r="P21" s="43">
        <v>0.38880707043905671</v>
      </c>
      <c r="Q21" s="43">
        <v>0.43029009869839652</v>
      </c>
      <c r="R21" s="43">
        <v>-0.52843808150056326</v>
      </c>
      <c r="S21" s="43">
        <v>-0.31427193074226539</v>
      </c>
      <c r="T21" s="43">
        <v>1</v>
      </c>
      <c r="U21" s="43"/>
      <c r="V21" s="43"/>
      <c r="W21" s="43"/>
      <c r="X21" s="44"/>
    </row>
    <row r="22" spans="1:24" x14ac:dyDescent="0.3">
      <c r="A22" s="41" t="s">
        <v>16</v>
      </c>
      <c r="B22" s="42">
        <v>-0.18152428159033235</v>
      </c>
      <c r="C22" s="43">
        <v>-2.2864156262479517E-2</v>
      </c>
      <c r="D22" s="43">
        <v>-7.8652607651031631E-2</v>
      </c>
      <c r="E22" s="43">
        <v>-0.20717686428800164</v>
      </c>
      <c r="F22" s="43">
        <v>-0.49390684410024005</v>
      </c>
      <c r="G22" s="43">
        <v>-0.13920568831830199</v>
      </c>
      <c r="H22" s="43">
        <v>-0.28361052808760617</v>
      </c>
      <c r="I22" s="43">
        <v>6.1676157194137458E-2</v>
      </c>
      <c r="J22" s="43">
        <v>-0.64553399291304836</v>
      </c>
      <c r="K22" s="43">
        <v>-0.31930790728251135</v>
      </c>
      <c r="L22" s="43">
        <v>0.15172169259395446</v>
      </c>
      <c r="M22" s="43">
        <v>-0.3889374697718273</v>
      </c>
      <c r="N22" s="43">
        <v>7.8045605820261481E-3</v>
      </c>
      <c r="O22" s="43">
        <v>0.11452036590247788</v>
      </c>
      <c r="P22" s="43">
        <v>5.1707921334945235E-2</v>
      </c>
      <c r="Q22" s="43">
        <v>-7.2379641472875747E-2</v>
      </c>
      <c r="R22" s="43">
        <v>-4.318279434014248E-2</v>
      </c>
      <c r="S22" s="43">
        <v>-0.44561958085505993</v>
      </c>
      <c r="T22" s="43">
        <v>-0.63663829702372687</v>
      </c>
      <c r="U22" s="43">
        <v>1</v>
      </c>
      <c r="V22" s="43"/>
      <c r="W22" s="43"/>
      <c r="X22" s="44"/>
    </row>
    <row r="23" spans="1:24" x14ac:dyDescent="0.3">
      <c r="A23" s="41" t="s">
        <v>17</v>
      </c>
      <c r="B23" s="42">
        <v>-7.5720355052353722E-2</v>
      </c>
      <c r="C23" s="43">
        <v>-0.42508331194741267</v>
      </c>
      <c r="D23" s="43">
        <v>-5.9510871501151259E-2</v>
      </c>
      <c r="E23" s="43">
        <v>0.20174191662531732</v>
      </c>
      <c r="F23" s="43">
        <v>0.39116222093578834</v>
      </c>
      <c r="G23" s="43">
        <v>-0.443340314491529</v>
      </c>
      <c r="H23" s="43">
        <v>-0.16130513830678556</v>
      </c>
      <c r="I23" s="43">
        <v>0.28966356975449814</v>
      </c>
      <c r="J23" s="43">
        <v>0.47405054638620697</v>
      </c>
      <c r="K23" s="43">
        <v>-0.15409190698331252</v>
      </c>
      <c r="L23" s="43">
        <v>0.81856972074452639</v>
      </c>
      <c r="M23" s="43">
        <v>0.8509466512400663</v>
      </c>
      <c r="N23" s="43">
        <v>-0.50501690617624551</v>
      </c>
      <c r="O23" s="43">
        <v>0.59178360213215642</v>
      </c>
      <c r="P23" s="43">
        <v>-0.5147292700434466</v>
      </c>
      <c r="Q23" s="43">
        <v>-0.47833036859696493</v>
      </c>
      <c r="R23" s="43">
        <v>0.93521018407078638</v>
      </c>
      <c r="S23" s="43">
        <v>0.62392057191367489</v>
      </c>
      <c r="T23" s="43">
        <v>-0.57502806001972906</v>
      </c>
      <c r="U23" s="43">
        <v>-0.11125320884360379</v>
      </c>
      <c r="V23" s="43">
        <v>1</v>
      </c>
      <c r="W23" s="43"/>
      <c r="X23" s="44"/>
    </row>
    <row r="24" spans="1:24" x14ac:dyDescent="0.3">
      <c r="A24" s="41" t="s">
        <v>18</v>
      </c>
      <c r="B24" s="42">
        <v>0.11341877922843908</v>
      </c>
      <c r="C24" s="43">
        <v>0.33621172393026705</v>
      </c>
      <c r="D24" s="43">
        <v>0.16420239598616759</v>
      </c>
      <c r="E24" s="43">
        <v>0.34244795837343373</v>
      </c>
      <c r="F24" s="43">
        <v>0.45326645231391083</v>
      </c>
      <c r="G24" s="43">
        <v>-0.25920406956663339</v>
      </c>
      <c r="H24" s="43">
        <v>-0.17133915774497704</v>
      </c>
      <c r="I24" s="43">
        <v>-0.397704665524099</v>
      </c>
      <c r="J24" s="43">
        <v>0.59529975878206542</v>
      </c>
      <c r="K24" s="43">
        <v>0.13802264453017629</v>
      </c>
      <c r="L24" s="43">
        <v>-0.1418184290954124</v>
      </c>
      <c r="M24" s="43">
        <v>0.28520223890648383</v>
      </c>
      <c r="N24" s="43">
        <v>-0.13130187159040033</v>
      </c>
      <c r="O24" s="43">
        <v>0.11662432961769761</v>
      </c>
      <c r="P24" s="43">
        <v>-0.22041813972182739</v>
      </c>
      <c r="Q24" s="43">
        <v>-0.12399520167547941</v>
      </c>
      <c r="R24" s="43">
        <v>0.10252455218694384</v>
      </c>
      <c r="S24" s="43">
        <v>0.62219953515925241</v>
      </c>
      <c r="T24" s="43">
        <v>-2.6385460187240566E-2</v>
      </c>
      <c r="U24" s="43">
        <v>-0.56821154836793408</v>
      </c>
      <c r="V24" s="43">
        <v>0.17180307053933663</v>
      </c>
      <c r="W24" s="43">
        <v>1</v>
      </c>
      <c r="X24" s="44"/>
    </row>
    <row r="25" spans="1:24" x14ac:dyDescent="0.3">
      <c r="A25" s="45" t="s">
        <v>19</v>
      </c>
      <c r="B25" s="46">
        <v>0.30311202499528778</v>
      </c>
      <c r="C25" s="47">
        <v>0.13494403344943529</v>
      </c>
      <c r="D25" s="47">
        <v>-7.4834867123304005E-3</v>
      </c>
      <c r="E25" s="47">
        <v>0.2601314879329375</v>
      </c>
      <c r="F25" s="47">
        <v>0.58832888344676426</v>
      </c>
      <c r="G25" s="47">
        <v>-0.48018379367169634</v>
      </c>
      <c r="H25" s="47">
        <v>-9.2731008140488069E-2</v>
      </c>
      <c r="I25" s="47">
        <v>-5.7923798475249734E-2</v>
      </c>
      <c r="J25" s="47">
        <v>0.83187022843566305</v>
      </c>
      <c r="K25" s="47">
        <v>0.30614292808434795</v>
      </c>
      <c r="L25" s="47">
        <v>0.214065578759562</v>
      </c>
      <c r="M25" s="47">
        <v>0.7852338083896766</v>
      </c>
      <c r="N25" s="47">
        <v>-0.40781046118439312</v>
      </c>
      <c r="O25" s="47">
        <v>0.28749403696816911</v>
      </c>
      <c r="P25" s="47">
        <v>-0.45668940597883956</v>
      </c>
      <c r="Q25" s="47">
        <v>-0.33473360323783824</v>
      </c>
      <c r="R25" s="47">
        <v>0.4990492302362779</v>
      </c>
      <c r="S25" s="47">
        <v>0.93836853920814123</v>
      </c>
      <c r="T25" s="47">
        <v>-0.27133964756887125</v>
      </c>
      <c r="U25" s="47">
        <v>-0.5569722158958188</v>
      </c>
      <c r="V25" s="47">
        <v>0.67768818128945174</v>
      </c>
      <c r="W25" s="47">
        <v>0.75938628435345057</v>
      </c>
      <c r="X25" s="48">
        <v>1</v>
      </c>
    </row>
  </sheetData>
  <conditionalFormatting sqref="B3:X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showGridLines="0" workbookViewId="0">
      <selection activeCell="J23" sqref="J23"/>
    </sheetView>
  </sheetViews>
  <sheetFormatPr defaultRowHeight="14.4" x14ac:dyDescent="0.3"/>
  <cols>
    <col min="1" max="1" width="7.77734375" customWidth="1"/>
    <col min="2" max="2" width="8.6640625" bestFit="1" customWidth="1"/>
    <col min="3" max="3" width="17.44140625" bestFit="1" customWidth="1"/>
    <col min="4" max="4" width="8.77734375" bestFit="1" customWidth="1"/>
    <col min="5" max="5" width="2.88671875" customWidth="1"/>
    <col min="6" max="6" width="2.5546875" customWidth="1"/>
    <col min="7" max="7" width="13" customWidth="1"/>
    <col min="8" max="8" width="16.109375" customWidth="1"/>
    <col min="9" max="10" width="16.6640625" bestFit="1" customWidth="1"/>
  </cols>
  <sheetData>
    <row r="1" spans="1:21" ht="28.2" x14ac:dyDescent="0.3">
      <c r="A1" s="18" t="s">
        <v>78</v>
      </c>
      <c r="H1" s="18" t="s">
        <v>90</v>
      </c>
      <c r="N1" s="18" t="s">
        <v>91</v>
      </c>
      <c r="U1" s="18" t="s">
        <v>92</v>
      </c>
    </row>
    <row r="2" spans="1:21" ht="24" customHeight="1" x14ac:dyDescent="0.3">
      <c r="A2" s="20"/>
      <c r="B2" s="21" t="s">
        <v>75</v>
      </c>
      <c r="C2" s="21" t="s">
        <v>76</v>
      </c>
      <c r="D2" s="22" t="s">
        <v>77</v>
      </c>
    </row>
    <row r="3" spans="1:21" x14ac:dyDescent="0.3">
      <c r="A3" s="19">
        <v>1</v>
      </c>
      <c r="B3" s="4">
        <v>6.8930899999999999</v>
      </c>
      <c r="C3" s="23">
        <v>0.43080000000000002</v>
      </c>
      <c r="D3" s="24">
        <v>0.43080000000000002</v>
      </c>
      <c r="I3" t="s">
        <v>88</v>
      </c>
      <c r="J3" t="s">
        <v>89</v>
      </c>
    </row>
    <row r="4" spans="1:21" x14ac:dyDescent="0.3">
      <c r="A4" s="19">
        <v>2</v>
      </c>
      <c r="B4" s="4">
        <v>3.9919500000000001</v>
      </c>
      <c r="C4" s="23">
        <v>0.2495</v>
      </c>
      <c r="D4" s="24">
        <v>0.68030000000000002</v>
      </c>
      <c r="H4" t="s">
        <v>24</v>
      </c>
      <c r="I4">
        <v>7.3480000000000004E-2</v>
      </c>
      <c r="J4">
        <v>0.34508</v>
      </c>
    </row>
    <row r="5" spans="1:21" x14ac:dyDescent="0.3">
      <c r="A5" s="19">
        <v>3</v>
      </c>
      <c r="B5" s="4">
        <v>2.8976999999999999</v>
      </c>
      <c r="C5" s="23">
        <v>0.18110000000000001</v>
      </c>
      <c r="D5" s="24">
        <v>0.86140000000000005</v>
      </c>
      <c r="H5" t="s">
        <v>95</v>
      </c>
      <c r="I5">
        <v>0.25544</v>
      </c>
      <c r="J5">
        <v>-0.11477999999999999</v>
      </c>
    </row>
    <row r="6" spans="1:21" x14ac:dyDescent="0.3">
      <c r="A6" s="19">
        <v>4</v>
      </c>
      <c r="B6" s="4">
        <v>1.4144699999999999</v>
      </c>
      <c r="C6" s="23">
        <v>8.8400000000000006E-2</v>
      </c>
      <c r="D6" s="24">
        <v>0.94979999999999998</v>
      </c>
      <c r="H6" t="s">
        <v>25</v>
      </c>
      <c r="I6">
        <v>-6.5680000000000002E-2</v>
      </c>
      <c r="J6">
        <v>0.41726999999999997</v>
      </c>
    </row>
    <row r="7" spans="1:21" x14ac:dyDescent="0.3">
      <c r="A7" s="19">
        <v>5</v>
      </c>
      <c r="B7" s="4">
        <v>0.42331999999999997</v>
      </c>
      <c r="C7" s="23">
        <v>2.6499999999999999E-2</v>
      </c>
      <c r="D7" s="24">
        <v>0.97629999999999995</v>
      </c>
      <c r="H7" t="s">
        <v>27</v>
      </c>
      <c r="I7">
        <v>-0.30573</v>
      </c>
      <c r="J7">
        <v>1.763E-2</v>
      </c>
    </row>
    <row r="8" spans="1:21" x14ac:dyDescent="0.3">
      <c r="A8" s="19">
        <v>6</v>
      </c>
      <c r="B8" s="4">
        <v>0.20299</v>
      </c>
      <c r="C8" s="23">
        <v>1.2699999999999999E-2</v>
      </c>
      <c r="D8" s="24">
        <v>0.98899999999999999</v>
      </c>
      <c r="H8" t="s">
        <v>28</v>
      </c>
      <c r="I8">
        <v>-0.26089000000000001</v>
      </c>
      <c r="J8">
        <v>0.23916999999999999</v>
      </c>
    </row>
    <row r="9" spans="1:21" x14ac:dyDescent="0.3">
      <c r="A9" s="19">
        <v>7</v>
      </c>
      <c r="B9" s="4">
        <v>0.14612</v>
      </c>
      <c r="C9" s="23">
        <v>9.1000000000000004E-3</v>
      </c>
      <c r="D9" s="24">
        <v>0.99809999999999999</v>
      </c>
      <c r="H9" t="s">
        <v>29</v>
      </c>
      <c r="I9">
        <v>0.20033999999999999</v>
      </c>
      <c r="J9">
        <v>-8.6679999999999993E-2</v>
      </c>
    </row>
    <row r="10" spans="1:21" x14ac:dyDescent="0.3">
      <c r="A10" s="19">
        <v>8</v>
      </c>
      <c r="B10" s="4">
        <v>3.0370000000000001E-2</v>
      </c>
      <c r="C10" s="23">
        <v>1.9E-3</v>
      </c>
      <c r="D10" s="24">
        <v>1</v>
      </c>
      <c r="H10" t="s">
        <v>30</v>
      </c>
      <c r="I10">
        <v>5.679E-2</v>
      </c>
      <c r="J10">
        <v>0.47645999999999999</v>
      </c>
    </row>
    <row r="11" spans="1:21" x14ac:dyDescent="0.3">
      <c r="A11" s="19">
        <v>9</v>
      </c>
      <c r="B11" s="25">
        <v>0</v>
      </c>
      <c r="C11" s="23">
        <v>0</v>
      </c>
      <c r="D11" s="24">
        <v>1</v>
      </c>
      <c r="H11" t="s">
        <v>31</v>
      </c>
      <c r="I11">
        <v>3.1449999999999999E-2</v>
      </c>
      <c r="J11">
        <v>0.34989999999999999</v>
      </c>
    </row>
    <row r="12" spans="1:21" x14ac:dyDescent="0.3">
      <c r="A12" s="19">
        <v>10</v>
      </c>
      <c r="B12" s="25">
        <v>0</v>
      </c>
      <c r="C12" s="23">
        <v>0</v>
      </c>
      <c r="D12" s="24">
        <v>1</v>
      </c>
      <c r="H12" t="s">
        <v>32</v>
      </c>
      <c r="I12">
        <v>0.20848</v>
      </c>
      <c r="J12">
        <v>-6.0220000000000003E-2</v>
      </c>
    </row>
    <row r="13" spans="1:21" x14ac:dyDescent="0.3">
      <c r="A13" s="19">
        <v>11</v>
      </c>
      <c r="B13" s="25">
        <v>0</v>
      </c>
      <c r="C13" s="23">
        <v>0</v>
      </c>
      <c r="D13" s="24">
        <v>1</v>
      </c>
      <c r="H13" t="s">
        <v>33</v>
      </c>
      <c r="I13">
        <v>0.18495</v>
      </c>
      <c r="J13">
        <v>0.36019000000000001</v>
      </c>
    </row>
    <row r="14" spans="1:21" x14ac:dyDescent="0.3">
      <c r="A14" s="49">
        <v>12</v>
      </c>
      <c r="B14" s="25">
        <v>0</v>
      </c>
      <c r="C14" s="23">
        <v>0</v>
      </c>
      <c r="D14" s="24">
        <v>1</v>
      </c>
      <c r="H14" t="s">
        <v>34</v>
      </c>
      <c r="I14">
        <v>-0.36635000000000001</v>
      </c>
      <c r="J14">
        <v>-2.5159999999999998E-2</v>
      </c>
    </row>
    <row r="15" spans="1:21" x14ac:dyDescent="0.3">
      <c r="A15" s="49">
        <v>13</v>
      </c>
      <c r="B15" s="25">
        <v>0</v>
      </c>
      <c r="C15" s="23">
        <v>0</v>
      </c>
      <c r="D15" s="24">
        <v>1</v>
      </c>
      <c r="H15" t="s">
        <v>35</v>
      </c>
      <c r="I15">
        <v>0.33751999999999999</v>
      </c>
      <c r="J15">
        <v>-0.18729999999999999</v>
      </c>
    </row>
    <row r="16" spans="1:21" x14ac:dyDescent="0.3">
      <c r="A16" s="49">
        <v>14</v>
      </c>
      <c r="B16" s="25">
        <v>0</v>
      </c>
      <c r="C16" s="23">
        <v>0</v>
      </c>
      <c r="D16" s="24">
        <v>1</v>
      </c>
      <c r="H16" t="s">
        <v>36</v>
      </c>
      <c r="I16">
        <v>-0.36799999999999999</v>
      </c>
      <c r="J16">
        <v>-2.8760000000000001E-2</v>
      </c>
    </row>
    <row r="17" spans="1:10" x14ac:dyDescent="0.3">
      <c r="A17" s="49">
        <v>15</v>
      </c>
      <c r="B17" s="25">
        <v>0</v>
      </c>
      <c r="C17" s="23">
        <v>0</v>
      </c>
      <c r="D17" s="24">
        <v>1</v>
      </c>
      <c r="H17" t="s">
        <v>37</v>
      </c>
      <c r="I17">
        <v>-0.36253999999999997</v>
      </c>
      <c r="J17">
        <v>3.168E-2</v>
      </c>
    </row>
    <row r="18" spans="1:10" x14ac:dyDescent="0.3">
      <c r="A18" s="51">
        <v>16</v>
      </c>
      <c r="B18" s="26">
        <v>0</v>
      </c>
      <c r="C18" s="27">
        <v>0</v>
      </c>
      <c r="D18" s="28">
        <v>1</v>
      </c>
      <c r="H18" t="s">
        <v>38</v>
      </c>
      <c r="I18">
        <v>0.26750000000000002</v>
      </c>
      <c r="J18">
        <v>8.26E-3</v>
      </c>
    </row>
    <row r="19" spans="1:10" x14ac:dyDescent="0.3">
      <c r="A19" s="49"/>
      <c r="B19" s="25"/>
      <c r="C19" s="23"/>
      <c r="D19" s="23"/>
      <c r="E19" s="50"/>
      <c r="H19" t="s">
        <v>39</v>
      </c>
      <c r="I19">
        <v>0.23436999999999999</v>
      </c>
      <c r="J19">
        <v>0.32890999999999998</v>
      </c>
    </row>
    <row r="20" spans="1:10" x14ac:dyDescent="0.3">
      <c r="A20" s="49"/>
      <c r="B20" s="25"/>
      <c r="C20" s="23"/>
      <c r="D20" s="23"/>
      <c r="E20" s="50"/>
    </row>
    <row r="21" spans="1:10" x14ac:dyDescent="0.3">
      <c r="A21" s="49"/>
      <c r="B21" s="25"/>
      <c r="C21" s="23"/>
      <c r="D21" s="23"/>
      <c r="E21" s="50"/>
    </row>
    <row r="22" spans="1:10" x14ac:dyDescent="0.3">
      <c r="A22" s="49"/>
      <c r="B22" s="25"/>
      <c r="C22" s="23"/>
      <c r="D22" s="23"/>
      <c r="E22" s="50"/>
    </row>
    <row r="23" spans="1:10" x14ac:dyDescent="0.3">
      <c r="A23" s="50"/>
      <c r="B23" s="50"/>
      <c r="C23" s="50"/>
      <c r="D23" s="50"/>
      <c r="E23" s="50"/>
    </row>
    <row r="24" spans="1:10" x14ac:dyDescent="0.3">
      <c r="A24" s="50"/>
      <c r="B24" s="50"/>
      <c r="C24" s="50"/>
      <c r="D24" s="50"/>
      <c r="E24" s="5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BasicStat</vt:lpstr>
      <vt:lpstr>Pearson_Correlation</vt:lpstr>
      <vt:lpstr>EigenValue&amp;Graphs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Ruth</cp:lastModifiedBy>
  <dcterms:created xsi:type="dcterms:W3CDTF">2020-09-24T04:25:52Z</dcterms:created>
  <dcterms:modified xsi:type="dcterms:W3CDTF">2021-02-14T00:59:20Z</dcterms:modified>
</cp:coreProperties>
</file>