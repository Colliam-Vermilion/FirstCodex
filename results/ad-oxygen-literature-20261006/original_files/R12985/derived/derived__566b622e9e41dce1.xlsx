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getahun_agga_usda_gov/Documents/Desktop/laptop/CRIS 2021-2026/Collaborations/JL/Air-Sound AD/Manuscript/Tables/"/>
    </mc:Choice>
  </mc:AlternateContent>
  <xr:revisionPtr revIDLastSave="468" documentId="8_{69ECACA7-191E-45D8-965A-B0AF1D309B96}" xr6:coauthVersionLast="47" xr6:coauthVersionMax="47" xr10:uidLastSave="{BBF3DE61-F29F-4171-8D0E-5D686373F93F}"/>
  <bookViews>
    <workbookView xWindow="-15135" yWindow="-16470" windowWidth="29040" windowHeight="15720" activeTab="1" xr2:uid="{543BD9CF-A04C-4D7F-8E53-F69DC1402429}"/>
  </bookViews>
  <sheets>
    <sheet name="ALL species" sheetId="1" r:id="rId1"/>
    <sheet name="Grouped by Phyl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2" l="1"/>
  <c r="D89" i="2" s="1"/>
  <c r="D16" i="2" l="1"/>
  <c r="D48" i="2"/>
  <c r="D32" i="2"/>
  <c r="D64" i="2"/>
  <c r="D2" i="2"/>
  <c r="D18" i="2"/>
  <c r="D34" i="2"/>
  <c r="D50" i="2"/>
  <c r="D66" i="2"/>
  <c r="D7" i="2"/>
  <c r="D23" i="2"/>
  <c r="D39" i="2"/>
  <c r="D55" i="2"/>
  <c r="D71" i="2"/>
  <c r="D8" i="2"/>
  <c r="D24" i="2"/>
  <c r="D40" i="2"/>
  <c r="D56" i="2"/>
  <c r="D72" i="2"/>
  <c r="D9" i="2"/>
  <c r="D25" i="2"/>
  <c r="D41" i="2"/>
  <c r="D57" i="2"/>
  <c r="D73" i="2"/>
  <c r="D10" i="2"/>
  <c r="D26" i="2"/>
  <c r="D42" i="2"/>
  <c r="D58" i="2"/>
  <c r="D79" i="2"/>
  <c r="D81" i="2"/>
  <c r="D17" i="2"/>
  <c r="D33" i="2"/>
  <c r="D49" i="2"/>
  <c r="D65" i="2"/>
  <c r="D15" i="2"/>
  <c r="D31" i="2"/>
  <c r="D47" i="2"/>
  <c r="D63" i="2"/>
  <c r="D80" i="2"/>
  <c r="D43" i="2"/>
  <c r="D84" i="2"/>
  <c r="D85" i="2"/>
  <c r="D74" i="2"/>
  <c r="D82" i="2"/>
  <c r="D3" i="2"/>
  <c r="D11" i="2"/>
  <c r="D19" i="2"/>
  <c r="D27" i="2"/>
  <c r="D35" i="2"/>
  <c r="D51" i="2"/>
  <c r="D59" i="2"/>
  <c r="D67" i="2"/>
  <c r="D75" i="2"/>
  <c r="D83" i="2"/>
  <c r="D4" i="2"/>
  <c r="D12" i="2"/>
  <c r="D20" i="2"/>
  <c r="D28" i="2"/>
  <c r="D36" i="2"/>
  <c r="D44" i="2"/>
  <c r="D52" i="2"/>
  <c r="D60" i="2"/>
  <c r="D68" i="2"/>
  <c r="D76" i="2"/>
  <c r="D5" i="2"/>
  <c r="D13" i="2"/>
  <c r="D21" i="2"/>
  <c r="D29" i="2"/>
  <c r="D37" i="2"/>
  <c r="D45" i="2"/>
  <c r="D53" i="2"/>
  <c r="D61" i="2"/>
  <c r="D69" i="2"/>
  <c r="D77" i="2"/>
  <c r="D6" i="2"/>
  <c r="D14" i="2"/>
  <c r="D22" i="2"/>
  <c r="D30" i="2"/>
  <c r="D38" i="2"/>
  <c r="D46" i="2"/>
  <c r="D54" i="2"/>
  <c r="D62" i="2"/>
  <c r="D70" i="2"/>
  <c r="D78" i="2"/>
  <c r="D86" i="2"/>
  <c r="D87" i="2"/>
  <c r="D88" i="2"/>
</calcChain>
</file>

<file path=xl/sharedStrings.xml><?xml version="1.0" encoding="utf-8"?>
<sst xmlns="http://schemas.openxmlformats.org/spreadsheetml/2006/main" count="394" uniqueCount="244">
  <si>
    <t>origin_species</t>
  </si>
  <si>
    <t>Freq.</t>
  </si>
  <si>
    <t>Percent</t>
  </si>
  <si>
    <t>parasuis</t>
  </si>
  <si>
    <t>Actinobacillus</t>
  </si>
  <si>
    <t>Actinobacteria</t>
  </si>
  <si>
    <t>Bacillales</t>
  </si>
  <si>
    <t>Bacilli</t>
  </si>
  <si>
    <t>Bacillus</t>
  </si>
  <si>
    <t>Bacteria</t>
  </si>
  <si>
    <t>Bacteroidales</t>
  </si>
  <si>
    <t>Bacteroides</t>
  </si>
  <si>
    <t>Bacteroidetes</t>
  </si>
  <si>
    <t>Bifidobacterium</t>
  </si>
  <si>
    <t>Campylobacter</t>
  </si>
  <si>
    <t>Citrobacter</t>
  </si>
  <si>
    <t>Clostridiales</t>
  </si>
  <si>
    <t>Clostridium</t>
  </si>
  <si>
    <t>Corynebacteriales</t>
  </si>
  <si>
    <t>Elizabethkingia</t>
  </si>
  <si>
    <t>Enterobacterales</t>
  </si>
  <si>
    <t>Enterobacteriaceae</t>
  </si>
  <si>
    <t>Enterococcus</t>
  </si>
  <si>
    <t>Escherichia</t>
  </si>
  <si>
    <t>Firmicutes</t>
  </si>
  <si>
    <t>Gammaproteobacteria</t>
  </si>
  <si>
    <t>Lachnospiraceae</t>
  </si>
  <si>
    <t>Lactobacillales</t>
  </si>
  <si>
    <t>Lactobacillus</t>
  </si>
  <si>
    <t>Mycobacterium</t>
  </si>
  <si>
    <t>Novosphingobium</t>
  </si>
  <si>
    <t>Pasteurellaceae</t>
  </si>
  <si>
    <t>Proteobacteria</t>
  </si>
  <si>
    <t>Pseudomonadales</t>
  </si>
  <si>
    <t>Pseudomonas</t>
  </si>
  <si>
    <t>Roseburia</t>
  </si>
  <si>
    <t>Rothia</t>
  </si>
  <si>
    <t>Sphingobium</t>
  </si>
  <si>
    <t>Staphylococcaceae</t>
  </si>
  <si>
    <t>Staphylococcus</t>
  </si>
  <si>
    <t>Streptococcus</t>
  </si>
  <si>
    <t>Streptomyces</t>
  </si>
  <si>
    <t>Acinetobacter baumannii</t>
  </si>
  <si>
    <t>Acinetobacter johnsonii</t>
  </si>
  <si>
    <t>Acinetobacter lwoffii</t>
  </si>
  <si>
    <t>Acinetobacter oleivorans</t>
  </si>
  <si>
    <t>Acinetobacter pittii</t>
  </si>
  <si>
    <t>Acinetobacter schindleri</t>
  </si>
  <si>
    <t>Actinobacillus pleuropneumoniae</t>
  </si>
  <si>
    <t>Aeromonas caviae</t>
  </si>
  <si>
    <t>Aeromonas hydrophila</t>
  </si>
  <si>
    <t>Aeromonas media</t>
  </si>
  <si>
    <t>Aeromonas salmonicida</t>
  </si>
  <si>
    <t>Agrobacterium tumefaciens complex</t>
  </si>
  <si>
    <t>Aliivibrio salmonicida</t>
  </si>
  <si>
    <t>Amycolatopsis coloradensis</t>
  </si>
  <si>
    <t>Amycolatopsis orientalis</t>
  </si>
  <si>
    <t>Bacillus anthracis</t>
  </si>
  <si>
    <t>Bacillus cereus</t>
  </si>
  <si>
    <t>Bacillus cereus group</t>
  </si>
  <si>
    <t>Bacillus circulans</t>
  </si>
  <si>
    <t>Bacillus clausii</t>
  </si>
  <si>
    <t>Bacillus mycoides</t>
  </si>
  <si>
    <t>Bacillus subtilis</t>
  </si>
  <si>
    <t>Bacillus subtilis group</t>
  </si>
  <si>
    <t>Bacteroides coprosuis</t>
  </si>
  <si>
    <t>Bacteroides fragilis</t>
  </si>
  <si>
    <t>Bacteroides ovatus</t>
  </si>
  <si>
    <t>Bacteroides thetaiotaomicron</t>
  </si>
  <si>
    <t>Bacteroides vulgatus</t>
  </si>
  <si>
    <t>Bhargavaea cecembensis</t>
  </si>
  <si>
    <t>Bibersteinia trehalosi</t>
  </si>
  <si>
    <t>Bifidobacterium longum</t>
  </si>
  <si>
    <t>Bifidobacterium thermophilum</t>
  </si>
  <si>
    <t>Bordetella bronchiseptica</t>
  </si>
  <si>
    <t>Caldicellulosiruptor bescii</t>
  </si>
  <si>
    <t>Campylobacter coli</t>
  </si>
  <si>
    <t>Campylobacter fetus</t>
  </si>
  <si>
    <t>Campylobacter jejuni</t>
  </si>
  <si>
    <t>Caulobacter vibrioides</t>
  </si>
  <si>
    <t>Chlamydia suis</t>
  </si>
  <si>
    <t>Chryseobacterium gleum</t>
  </si>
  <si>
    <t>Chryseobacterium sp. Stok-2</t>
  </si>
  <si>
    <t>Clostridiaceae bacterium K10</t>
  </si>
  <si>
    <t>Clostridium butyricum</t>
  </si>
  <si>
    <t>Clostridium kluyveri</t>
  </si>
  <si>
    <t>Clostridium perfringens</t>
  </si>
  <si>
    <t>Clostridium sp. CCRI-9842</t>
  </si>
  <si>
    <t>Clostridium sp. MLG055</t>
  </si>
  <si>
    <t>Clostridium sp. MLG480</t>
  </si>
  <si>
    <t>Corynebacterium glutamicum</t>
  </si>
  <si>
    <t>Corynebacterium jeikeium</t>
  </si>
  <si>
    <t>Corynebacterium sp. L2-79-05</t>
  </si>
  <si>
    <t>Corynebacterium striatum</t>
  </si>
  <si>
    <t>Desulfitobacterium hafniense</t>
  </si>
  <si>
    <t>Desulfovibrio desulfuricans</t>
  </si>
  <si>
    <t>Desulfovibrio magneticus</t>
  </si>
  <si>
    <t>Eggerthella lenta</t>
  </si>
  <si>
    <t>Elizabethkingia meningoseptica</t>
  </si>
  <si>
    <t>Enterobacter cloacae</t>
  </si>
  <si>
    <t>Enterobacter cloacae complex</t>
  </si>
  <si>
    <t>Enterococcus asini</t>
  </si>
  <si>
    <t>Enterococcus casseliflavus</t>
  </si>
  <si>
    <t>Enterococcus dispar</t>
  </si>
  <si>
    <t>Enterococcus faecalis</t>
  </si>
  <si>
    <t>Enterococcus faecium</t>
  </si>
  <si>
    <t>Enterococcus gallinarum</t>
  </si>
  <si>
    <t>Enterococcus hirae</t>
  </si>
  <si>
    <t>Enterococcus raffinosus</t>
  </si>
  <si>
    <t>Escherichia coli</t>
  </si>
  <si>
    <t>Escherichia fergusonii</t>
  </si>
  <si>
    <t>Exiguobacterium sp. S3-2</t>
  </si>
  <si>
    <t>Geobacillus stearothermophilus</t>
  </si>
  <si>
    <t>Glutamicibacter arilaitensis</t>
  </si>
  <si>
    <t>Helcococcus kunzii</t>
  </si>
  <si>
    <t>Janthinobacterium lividum</t>
  </si>
  <si>
    <t>Klebsiella aerogenes</t>
  </si>
  <si>
    <t>Klebsiella pneumoniae</t>
  </si>
  <si>
    <t>Lactobacillus fermentum</t>
  </si>
  <si>
    <t>Lactobacillus johnsonii</t>
  </si>
  <si>
    <t>Lactobacillus reuteri</t>
  </si>
  <si>
    <t>Lactobacillus sp. OTU4228</t>
  </si>
  <si>
    <t>Lactobacillus sp. PC121B</t>
  </si>
  <si>
    <t>Listeria monocytogenes</t>
  </si>
  <si>
    <t>Mannheimia haemolytica</t>
  </si>
  <si>
    <t>Megasphaera elsdenii</t>
  </si>
  <si>
    <t>Micrococcus luteus</t>
  </si>
  <si>
    <t>Micromonospora chalcea</t>
  </si>
  <si>
    <t>Morganella sp. IVCFP4</t>
  </si>
  <si>
    <t>Mycobacterium mageritense</t>
  </si>
  <si>
    <t>Mycobacterium smegmatis</t>
  </si>
  <si>
    <t>Neisseria gonorrhoeae</t>
  </si>
  <si>
    <t>Nocardia asteroides</t>
  </si>
  <si>
    <t>Nocardia farcinica</t>
  </si>
  <si>
    <t>Paenibacillus apiarius</t>
  </si>
  <si>
    <t>Paenibacillus popilliae</t>
  </si>
  <si>
    <t>Paenibacillus thiaminolyticus</t>
  </si>
  <si>
    <t>Paracoccus denitrificans</t>
  </si>
  <si>
    <t>Pasteurella multocida</t>
  </si>
  <si>
    <t>Photobacterium sp. TC32</t>
  </si>
  <si>
    <t>Plasmid pAM77</t>
  </si>
  <si>
    <t>Plasmid pE5</t>
  </si>
  <si>
    <t>Plasmid pFA6</t>
  </si>
  <si>
    <t>Plasmid pGT633</t>
  </si>
  <si>
    <t>Plasmid pTB913</t>
  </si>
  <si>
    <t>Prevotella intermedia</t>
  </si>
  <si>
    <t>Prevotella melaninogenica</t>
  </si>
  <si>
    <t>Prevotella oralis</t>
  </si>
  <si>
    <t>Prevotella ruminicola</t>
  </si>
  <si>
    <t>Photobacterium damselae</t>
  </si>
  <si>
    <t>Proteus mirabilis</t>
  </si>
  <si>
    <t>Proteus vulgaris</t>
  </si>
  <si>
    <t>Providencia rustigianii</t>
  </si>
  <si>
    <t>Pseudomonas aeruginosa</t>
  </si>
  <si>
    <t>Pseudomonas sp. 3U3-1</t>
  </si>
  <si>
    <t>Psychrobacter maritimus</t>
  </si>
  <si>
    <t>Ralstonia mannitolilytica</t>
  </si>
  <si>
    <t>Raoultella terrigena</t>
  </si>
  <si>
    <t>Rhizobium/Agrobacterium group</t>
  </si>
  <si>
    <t>Rhodococcus hoagii</t>
  </si>
  <si>
    <t>Riemerella anatipestifer</t>
  </si>
  <si>
    <t>Ruminococcus gauvreauii</t>
  </si>
  <si>
    <t>Salmonella enterica</t>
  </si>
  <si>
    <t>Salmonella sp.</t>
  </si>
  <si>
    <t>Serratia marcescens</t>
  </si>
  <si>
    <t>Shigella sonnei</t>
  </si>
  <si>
    <t>Sphingomonas sp. SKA58</t>
  </si>
  <si>
    <t>Sphingopyxis alaskensis</t>
  </si>
  <si>
    <t>Staphylococcus aureus</t>
  </si>
  <si>
    <t>Staphylococcus cohnii</t>
  </si>
  <si>
    <t>Staphylococcus epidermidis</t>
  </si>
  <si>
    <t>Staphylococcus equorum</t>
  </si>
  <si>
    <t>Staphylococcus haemolyticus</t>
  </si>
  <si>
    <t>Staphylococcus hominis</t>
  </si>
  <si>
    <t>Staphylococcus hyicus</t>
  </si>
  <si>
    <t>Staphylococcus lentus</t>
  </si>
  <si>
    <t>Staphylococcus saprophyticus</t>
  </si>
  <si>
    <t>Staphylococcus sciuri</t>
  </si>
  <si>
    <t>Staphylococcus simulans</t>
  </si>
  <si>
    <t>Staphylococcus warneri</t>
  </si>
  <si>
    <t>Staphylococcus xylosus</t>
  </si>
  <si>
    <t>Stenotrophomonas maltophilia</t>
  </si>
  <si>
    <t>Stenotrophomonas sp. TA57</t>
  </si>
  <si>
    <t>Streptococcus agalactiae</t>
  </si>
  <si>
    <t>Streptococcus dysgalactiae</t>
  </si>
  <si>
    <t>Streptococcus intermedius</t>
  </si>
  <si>
    <t>Streptococcus mitis</t>
  </si>
  <si>
    <t>Streptococcus pneumoniae</t>
  </si>
  <si>
    <t>Streptococcus pyogenes</t>
  </si>
  <si>
    <t>Streptococcus sp. group G'</t>
  </si>
  <si>
    <t>Streptococcus suis</t>
  </si>
  <si>
    <t>Streptococcus uberis</t>
  </si>
  <si>
    <t>Streptomyces actuosus</t>
  </si>
  <si>
    <t>Streptomyces ambofaciens</t>
  </si>
  <si>
    <t>Streptomyces antibioticus</t>
  </si>
  <si>
    <t>Streptomyces coelicolor</t>
  </si>
  <si>
    <t>Streptomyces fradiae</t>
  </si>
  <si>
    <t>Streptomyces laurentii</t>
  </si>
  <si>
    <t>Streptomyces rimosus</t>
  </si>
  <si>
    <t>Streptomyces sp. MBRL 601</t>
  </si>
  <si>
    <t>Streptomyces sp. WAC4747</t>
  </si>
  <si>
    <t>Streptomyces wedmorensis</t>
  </si>
  <si>
    <t>Terrabacteria group</t>
  </si>
  <si>
    <t>Trueperella pyogenes</t>
  </si>
  <si>
    <t>Vibrio anguillarum</t>
  </si>
  <si>
    <t>Vibrio cholerae</t>
  </si>
  <si>
    <t>Vibrio harveyi</t>
  </si>
  <si>
    <t>Vibrio vulnificus</t>
  </si>
  <si>
    <t>Vogesella fluminis</t>
  </si>
  <si>
    <t>Yersinia enterocolitica</t>
  </si>
  <si>
    <t>uncultured bacterium</t>
  </si>
  <si>
    <t>uncultured bacterium BLR12</t>
  </si>
  <si>
    <t>Acinetobacter</t>
  </si>
  <si>
    <t>Desulfitobacterium dichloroeliminans</t>
  </si>
  <si>
    <t>Micrococcus sp. SMCC G887</t>
  </si>
  <si>
    <t>Aeromonas</t>
  </si>
  <si>
    <t>Clostridia</t>
  </si>
  <si>
    <t>Corynebacteria</t>
  </si>
  <si>
    <t>Desulfitobacterium</t>
  </si>
  <si>
    <t>Enterobacter</t>
  </si>
  <si>
    <t>Klebsiella</t>
  </si>
  <si>
    <t>Micrococcus</t>
  </si>
  <si>
    <t>Vibrio</t>
  </si>
  <si>
    <t>frequency</t>
  </si>
  <si>
    <t>% (of total)</t>
  </si>
  <si>
    <t>Haemophilus/Glaesserella parasuis</t>
  </si>
  <si>
    <t>Agrobacterium tumefaciens</t>
  </si>
  <si>
    <t>Amycolatopsis</t>
  </si>
  <si>
    <t>Lactobacilli</t>
  </si>
  <si>
    <t>Nocardia</t>
  </si>
  <si>
    <t>Paenibacillus</t>
  </si>
  <si>
    <t>Pasteurella</t>
  </si>
  <si>
    <t xml:space="preserve">Photobacterium </t>
  </si>
  <si>
    <t>Plasmids</t>
  </si>
  <si>
    <t>Prevotella</t>
  </si>
  <si>
    <t>Proteus</t>
  </si>
  <si>
    <t>Salmonella</t>
  </si>
  <si>
    <t>Stenotrophomonas</t>
  </si>
  <si>
    <t>Total</t>
  </si>
  <si>
    <t>Phylum</t>
  </si>
  <si>
    <t>Bacteroidota</t>
  </si>
  <si>
    <t>Chlamydiae</t>
  </si>
  <si>
    <t>unspecified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</si>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</sst>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212121"/>
      <name val="Cambria"/>
      <family val="1"/>
    </font>
    <font>
      <sz val="10"/>
      <color rgb="FF21212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6013-FE3C-48C8-8B00-4238B2AA8573}">
  <dimension ref="A1:C213"/>
  <sheetViews>
    <sheetView workbookViewId="0">
      <pane ySplit="1" topLeftCell="A44" activePane="bottomLeft" state="frozen"/>
      <selection pane="bottomLeft" activeCell="H60" sqref="H60"/>
    </sheetView>
  </sheetViews>
  <sheetFormatPr defaultRowHeight="15" x14ac:dyDescent="0.25"/>
  <cols>
    <col min="1" max="1" width="34.42578125" customWidth="1"/>
    <col min="2" max="2" width="12.140625" customWidth="1"/>
    <col min="3" max="3" width="14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>
        <v>0.06</v>
      </c>
    </row>
    <row r="3" spans="1:3" x14ac:dyDescent="0.25">
      <c r="A3" t="s">
        <v>212</v>
      </c>
      <c r="B3">
        <v>6</v>
      </c>
      <c r="C3">
        <v>0.19</v>
      </c>
    </row>
    <row r="4" spans="1:3" x14ac:dyDescent="0.25">
      <c r="A4" t="s">
        <v>42</v>
      </c>
      <c r="B4">
        <v>14</v>
      </c>
      <c r="C4">
        <v>0.44</v>
      </c>
    </row>
    <row r="5" spans="1:3" x14ac:dyDescent="0.25">
      <c r="A5" t="s">
        <v>43</v>
      </c>
      <c r="B5">
        <v>1</v>
      </c>
      <c r="C5">
        <v>0.03</v>
      </c>
    </row>
    <row r="6" spans="1:3" x14ac:dyDescent="0.25">
      <c r="A6" t="s">
        <v>44</v>
      </c>
      <c r="B6">
        <v>8</v>
      </c>
      <c r="C6">
        <v>0.25</v>
      </c>
    </row>
    <row r="7" spans="1:3" x14ac:dyDescent="0.25">
      <c r="A7" t="s">
        <v>45</v>
      </c>
      <c r="B7">
        <v>1</v>
      </c>
      <c r="C7">
        <v>0.03</v>
      </c>
    </row>
    <row r="8" spans="1:3" x14ac:dyDescent="0.25">
      <c r="A8" t="s">
        <v>46</v>
      </c>
      <c r="B8">
        <v>1</v>
      </c>
      <c r="C8">
        <v>0.03</v>
      </c>
    </row>
    <row r="9" spans="1:3" x14ac:dyDescent="0.25">
      <c r="A9" t="s">
        <v>47</v>
      </c>
      <c r="B9">
        <v>3</v>
      </c>
      <c r="C9">
        <v>0.09</v>
      </c>
    </row>
    <row r="10" spans="1:3" x14ac:dyDescent="0.25">
      <c r="A10" t="s">
        <v>48</v>
      </c>
      <c r="B10">
        <v>16</v>
      </c>
      <c r="C10">
        <v>0.5</v>
      </c>
    </row>
    <row r="11" spans="1:3" x14ac:dyDescent="0.25">
      <c r="A11" t="s">
        <v>4</v>
      </c>
      <c r="B11">
        <v>3</v>
      </c>
      <c r="C11">
        <v>0.09</v>
      </c>
    </row>
    <row r="12" spans="1:3" x14ac:dyDescent="0.25">
      <c r="A12" t="s">
        <v>5</v>
      </c>
      <c r="B12">
        <v>24</v>
      </c>
      <c r="C12">
        <v>0.75</v>
      </c>
    </row>
    <row r="13" spans="1:3" x14ac:dyDescent="0.25">
      <c r="A13" t="s">
        <v>49</v>
      </c>
      <c r="B13">
        <v>2</v>
      </c>
      <c r="C13">
        <v>0.06</v>
      </c>
    </row>
    <row r="14" spans="1:3" x14ac:dyDescent="0.25">
      <c r="A14" t="s">
        <v>50</v>
      </c>
      <c r="B14">
        <v>20</v>
      </c>
      <c r="C14">
        <v>0.63</v>
      </c>
    </row>
    <row r="15" spans="1:3" x14ac:dyDescent="0.25">
      <c r="A15" t="s">
        <v>51</v>
      </c>
      <c r="B15">
        <v>1</v>
      </c>
      <c r="C15">
        <v>0.03</v>
      </c>
    </row>
    <row r="16" spans="1:3" x14ac:dyDescent="0.25">
      <c r="A16" t="s">
        <v>52</v>
      </c>
      <c r="B16">
        <v>6</v>
      </c>
      <c r="C16">
        <v>0.19</v>
      </c>
    </row>
    <row r="17" spans="1:3" x14ac:dyDescent="0.25">
      <c r="A17" t="s">
        <v>53</v>
      </c>
      <c r="B17">
        <v>7</v>
      </c>
      <c r="C17">
        <v>0.22</v>
      </c>
    </row>
    <row r="18" spans="1:3" x14ac:dyDescent="0.25">
      <c r="A18" t="s">
        <v>54</v>
      </c>
      <c r="B18">
        <v>4</v>
      </c>
      <c r="C18">
        <v>0.13</v>
      </c>
    </row>
    <row r="19" spans="1:3" x14ac:dyDescent="0.25">
      <c r="A19" t="s">
        <v>55</v>
      </c>
      <c r="B19">
        <v>1</v>
      </c>
      <c r="C19">
        <v>0.03</v>
      </c>
    </row>
    <row r="20" spans="1:3" x14ac:dyDescent="0.25">
      <c r="A20" t="s">
        <v>56</v>
      </c>
      <c r="B20">
        <v>4</v>
      </c>
      <c r="C20">
        <v>0.13</v>
      </c>
    </row>
    <row r="21" spans="1:3" x14ac:dyDescent="0.25">
      <c r="A21" t="s">
        <v>6</v>
      </c>
      <c r="B21">
        <v>14</v>
      </c>
      <c r="C21">
        <v>0.44</v>
      </c>
    </row>
    <row r="22" spans="1:3" x14ac:dyDescent="0.25">
      <c r="A22" t="s">
        <v>7</v>
      </c>
      <c r="B22">
        <v>83</v>
      </c>
      <c r="C22">
        <v>2.6</v>
      </c>
    </row>
    <row r="23" spans="1:3" x14ac:dyDescent="0.25">
      <c r="A23" t="s">
        <v>8</v>
      </c>
      <c r="B23">
        <v>8</v>
      </c>
      <c r="C23">
        <v>0.25</v>
      </c>
    </row>
    <row r="24" spans="1:3" x14ac:dyDescent="0.25">
      <c r="A24" t="s">
        <v>57</v>
      </c>
      <c r="B24">
        <v>3</v>
      </c>
      <c r="C24">
        <v>0.09</v>
      </c>
    </row>
    <row r="25" spans="1:3" x14ac:dyDescent="0.25">
      <c r="A25" t="s">
        <v>58</v>
      </c>
      <c r="B25">
        <v>10</v>
      </c>
      <c r="C25">
        <v>0.31</v>
      </c>
    </row>
    <row r="26" spans="1:3" x14ac:dyDescent="0.25">
      <c r="A26" t="s">
        <v>59</v>
      </c>
      <c r="B26">
        <v>5</v>
      </c>
      <c r="C26">
        <v>0.16</v>
      </c>
    </row>
    <row r="27" spans="1:3" x14ac:dyDescent="0.25">
      <c r="A27" t="s">
        <v>60</v>
      </c>
      <c r="B27">
        <v>14</v>
      </c>
      <c r="C27">
        <v>0.44</v>
      </c>
    </row>
    <row r="28" spans="1:3" x14ac:dyDescent="0.25">
      <c r="A28" t="s">
        <v>61</v>
      </c>
      <c r="B28">
        <v>2</v>
      </c>
      <c r="C28">
        <v>0.06</v>
      </c>
    </row>
    <row r="29" spans="1:3" x14ac:dyDescent="0.25">
      <c r="A29" t="s">
        <v>62</v>
      </c>
      <c r="B29">
        <v>1</v>
      </c>
      <c r="C29">
        <v>0.03</v>
      </c>
    </row>
    <row r="30" spans="1:3" x14ac:dyDescent="0.25">
      <c r="A30" t="s">
        <v>63</v>
      </c>
      <c r="B30">
        <v>3</v>
      </c>
      <c r="C30">
        <v>0.09</v>
      </c>
    </row>
    <row r="31" spans="1:3" x14ac:dyDescent="0.25">
      <c r="A31" t="s">
        <v>64</v>
      </c>
      <c r="B31">
        <v>2</v>
      </c>
      <c r="C31">
        <v>0.06</v>
      </c>
    </row>
    <row r="32" spans="1:3" x14ac:dyDescent="0.25">
      <c r="A32" t="s">
        <v>9</v>
      </c>
      <c r="B32">
        <v>384</v>
      </c>
      <c r="C32">
        <v>12.04</v>
      </c>
    </row>
    <row r="33" spans="1:3" x14ac:dyDescent="0.25">
      <c r="A33" t="s">
        <v>10</v>
      </c>
      <c r="B33">
        <v>3</v>
      </c>
      <c r="C33">
        <v>0.09</v>
      </c>
    </row>
    <row r="34" spans="1:3" x14ac:dyDescent="0.25">
      <c r="A34" t="s">
        <v>11</v>
      </c>
      <c r="B34">
        <v>13</v>
      </c>
      <c r="C34">
        <v>0.41</v>
      </c>
    </row>
    <row r="35" spans="1:3" x14ac:dyDescent="0.25">
      <c r="A35" t="s">
        <v>65</v>
      </c>
      <c r="B35">
        <v>27</v>
      </c>
      <c r="C35">
        <v>0.85</v>
      </c>
    </row>
    <row r="36" spans="1:3" x14ac:dyDescent="0.25">
      <c r="A36" t="s">
        <v>66</v>
      </c>
      <c r="B36">
        <v>31</v>
      </c>
      <c r="C36">
        <v>0.97</v>
      </c>
    </row>
    <row r="37" spans="1:3" x14ac:dyDescent="0.25">
      <c r="A37" t="s">
        <v>67</v>
      </c>
      <c r="B37">
        <v>7</v>
      </c>
      <c r="C37">
        <v>0.22</v>
      </c>
    </row>
    <row r="38" spans="1:3" x14ac:dyDescent="0.25">
      <c r="A38" t="s">
        <v>68</v>
      </c>
      <c r="B38">
        <v>5</v>
      </c>
      <c r="C38">
        <v>0.16</v>
      </c>
    </row>
    <row r="39" spans="1:3" x14ac:dyDescent="0.25">
      <c r="A39" t="s">
        <v>69</v>
      </c>
      <c r="B39">
        <v>2</v>
      </c>
      <c r="C39">
        <v>0.06</v>
      </c>
    </row>
    <row r="40" spans="1:3" x14ac:dyDescent="0.25">
      <c r="A40" t="s">
        <v>12</v>
      </c>
      <c r="B40">
        <v>39</v>
      </c>
      <c r="C40">
        <v>1.22</v>
      </c>
    </row>
    <row r="41" spans="1:3" x14ac:dyDescent="0.25">
      <c r="A41" t="s">
        <v>70</v>
      </c>
      <c r="B41">
        <v>3</v>
      </c>
      <c r="C41">
        <v>0.09</v>
      </c>
    </row>
    <row r="42" spans="1:3" x14ac:dyDescent="0.25">
      <c r="A42" t="s">
        <v>71</v>
      </c>
      <c r="B42">
        <v>2</v>
      </c>
      <c r="C42">
        <v>0.06</v>
      </c>
    </row>
    <row r="43" spans="1:3" x14ac:dyDescent="0.25">
      <c r="A43" t="s">
        <v>13</v>
      </c>
      <c r="B43">
        <v>3</v>
      </c>
      <c r="C43">
        <v>0.09</v>
      </c>
    </row>
    <row r="44" spans="1:3" x14ac:dyDescent="0.25">
      <c r="A44" t="s">
        <v>72</v>
      </c>
      <c r="B44">
        <v>7</v>
      </c>
      <c r="C44">
        <v>0.22</v>
      </c>
    </row>
    <row r="45" spans="1:3" x14ac:dyDescent="0.25">
      <c r="A45" t="s">
        <v>73</v>
      </c>
      <c r="B45">
        <v>9</v>
      </c>
      <c r="C45">
        <v>0.28000000000000003</v>
      </c>
    </row>
    <row r="46" spans="1:3" x14ac:dyDescent="0.25">
      <c r="A46" t="s">
        <v>74</v>
      </c>
      <c r="B46">
        <v>4</v>
      </c>
      <c r="C46">
        <v>0.13</v>
      </c>
    </row>
    <row r="47" spans="1:3" x14ac:dyDescent="0.25">
      <c r="A47" t="s">
        <v>75</v>
      </c>
      <c r="B47">
        <v>2</v>
      </c>
      <c r="C47">
        <v>0.06</v>
      </c>
    </row>
    <row r="48" spans="1:3" x14ac:dyDescent="0.25">
      <c r="A48" t="s">
        <v>14</v>
      </c>
      <c r="B48">
        <v>3</v>
      </c>
      <c r="C48">
        <v>0.09</v>
      </c>
    </row>
    <row r="49" spans="1:3" x14ac:dyDescent="0.25">
      <c r="A49" t="s">
        <v>76</v>
      </c>
      <c r="B49">
        <v>5</v>
      </c>
      <c r="C49">
        <v>0.16</v>
      </c>
    </row>
    <row r="50" spans="1:3" x14ac:dyDescent="0.25">
      <c r="A50" t="s">
        <v>77</v>
      </c>
      <c r="B50">
        <v>18</v>
      </c>
      <c r="C50">
        <v>0.56000000000000005</v>
      </c>
    </row>
    <row r="51" spans="1:3" x14ac:dyDescent="0.25">
      <c r="A51" t="s">
        <v>78</v>
      </c>
      <c r="B51">
        <v>12</v>
      </c>
      <c r="C51">
        <v>0.38</v>
      </c>
    </row>
    <row r="52" spans="1:3" x14ac:dyDescent="0.25">
      <c r="A52" t="s">
        <v>79</v>
      </c>
      <c r="B52">
        <v>1</v>
      </c>
      <c r="C52">
        <v>0.03</v>
      </c>
    </row>
    <row r="53" spans="1:3" x14ac:dyDescent="0.25">
      <c r="A53" t="s">
        <v>80</v>
      </c>
      <c r="B53">
        <v>7</v>
      </c>
      <c r="C53">
        <v>0.22</v>
      </c>
    </row>
    <row r="54" spans="1:3" x14ac:dyDescent="0.25">
      <c r="A54" t="s">
        <v>81</v>
      </c>
      <c r="B54">
        <v>2</v>
      </c>
      <c r="C54">
        <v>0.06</v>
      </c>
    </row>
    <row r="55" spans="1:3" x14ac:dyDescent="0.25">
      <c r="A55" t="s">
        <v>82</v>
      </c>
      <c r="B55">
        <v>1</v>
      </c>
      <c r="C55">
        <v>0.03</v>
      </c>
    </row>
    <row r="56" spans="1:3" x14ac:dyDescent="0.25">
      <c r="A56" t="s">
        <v>15</v>
      </c>
      <c r="B56">
        <v>1</v>
      </c>
      <c r="C56">
        <v>0.03</v>
      </c>
    </row>
    <row r="57" spans="1:3" x14ac:dyDescent="0.25">
      <c r="A57" t="s">
        <v>83</v>
      </c>
      <c r="B57">
        <v>23</v>
      </c>
      <c r="C57">
        <v>0.72</v>
      </c>
    </row>
    <row r="58" spans="1:3" x14ac:dyDescent="0.25">
      <c r="A58" t="s">
        <v>16</v>
      </c>
      <c r="B58">
        <v>31</v>
      </c>
      <c r="C58">
        <v>0.97</v>
      </c>
    </row>
    <row r="59" spans="1:3" x14ac:dyDescent="0.25">
      <c r="A59" t="s">
        <v>17</v>
      </c>
      <c r="B59">
        <v>15</v>
      </c>
      <c r="C59">
        <v>0.47</v>
      </c>
    </row>
    <row r="60" spans="1:3" x14ac:dyDescent="0.25">
      <c r="A60" t="s">
        <v>84</v>
      </c>
      <c r="B60">
        <v>4</v>
      </c>
      <c r="C60">
        <v>0.13</v>
      </c>
    </row>
    <row r="61" spans="1:3" x14ac:dyDescent="0.25">
      <c r="A61" t="s">
        <v>85</v>
      </c>
      <c r="B61">
        <v>12</v>
      </c>
      <c r="C61">
        <v>0.38</v>
      </c>
    </row>
    <row r="62" spans="1:3" x14ac:dyDescent="0.25">
      <c r="A62" t="s">
        <v>86</v>
      </c>
      <c r="B62">
        <v>74</v>
      </c>
      <c r="C62">
        <v>2.3199999999999998</v>
      </c>
    </row>
    <row r="63" spans="1:3" x14ac:dyDescent="0.25">
      <c r="A63" t="s">
        <v>87</v>
      </c>
      <c r="B63">
        <v>2</v>
      </c>
      <c r="C63">
        <v>0.06</v>
      </c>
    </row>
    <row r="64" spans="1:3" x14ac:dyDescent="0.25">
      <c r="A64" t="s">
        <v>88</v>
      </c>
      <c r="B64">
        <v>1</v>
      </c>
      <c r="C64">
        <v>0.03</v>
      </c>
    </row>
    <row r="65" spans="1:3" x14ac:dyDescent="0.25">
      <c r="A65" t="s">
        <v>89</v>
      </c>
      <c r="B65">
        <v>1</v>
      </c>
      <c r="C65">
        <v>0.03</v>
      </c>
    </row>
    <row r="66" spans="1:3" x14ac:dyDescent="0.25">
      <c r="A66" t="s">
        <v>18</v>
      </c>
      <c r="B66">
        <v>16</v>
      </c>
      <c r="C66">
        <v>0.5</v>
      </c>
    </row>
    <row r="67" spans="1:3" x14ac:dyDescent="0.25">
      <c r="A67" t="s">
        <v>90</v>
      </c>
      <c r="B67">
        <v>15</v>
      </c>
      <c r="C67">
        <v>0.47</v>
      </c>
    </row>
    <row r="68" spans="1:3" x14ac:dyDescent="0.25">
      <c r="A68" t="s">
        <v>91</v>
      </c>
      <c r="B68">
        <v>8</v>
      </c>
      <c r="C68">
        <v>0.25</v>
      </c>
    </row>
    <row r="69" spans="1:3" x14ac:dyDescent="0.25">
      <c r="A69" t="s">
        <v>92</v>
      </c>
      <c r="B69">
        <v>11</v>
      </c>
      <c r="C69">
        <v>0.34</v>
      </c>
    </row>
    <row r="70" spans="1:3" x14ac:dyDescent="0.25">
      <c r="A70" t="s">
        <v>93</v>
      </c>
      <c r="B70">
        <v>2</v>
      </c>
      <c r="C70">
        <v>0.06</v>
      </c>
    </row>
    <row r="71" spans="1:3" x14ac:dyDescent="0.25">
      <c r="A71" t="s">
        <v>213</v>
      </c>
      <c r="B71">
        <v>2</v>
      </c>
      <c r="C71">
        <v>0.06</v>
      </c>
    </row>
    <row r="72" spans="1:3" x14ac:dyDescent="0.25">
      <c r="A72" t="s">
        <v>94</v>
      </c>
      <c r="B72">
        <v>3</v>
      </c>
      <c r="C72">
        <v>0.09</v>
      </c>
    </row>
    <row r="73" spans="1:3" x14ac:dyDescent="0.25">
      <c r="A73" t="s">
        <v>95</v>
      </c>
      <c r="B73">
        <v>8</v>
      </c>
      <c r="C73">
        <v>0.25</v>
      </c>
    </row>
    <row r="74" spans="1:3" x14ac:dyDescent="0.25">
      <c r="A74" t="s">
        <v>96</v>
      </c>
      <c r="B74">
        <v>1</v>
      </c>
      <c r="C74">
        <v>0.03</v>
      </c>
    </row>
    <row r="75" spans="1:3" x14ac:dyDescent="0.25">
      <c r="A75" t="s">
        <v>97</v>
      </c>
      <c r="B75">
        <v>5</v>
      </c>
      <c r="C75">
        <v>0.16</v>
      </c>
    </row>
    <row r="76" spans="1:3" x14ac:dyDescent="0.25">
      <c r="A76" t="s">
        <v>19</v>
      </c>
      <c r="B76">
        <v>3</v>
      </c>
      <c r="C76">
        <v>0.09</v>
      </c>
    </row>
    <row r="77" spans="1:3" x14ac:dyDescent="0.25">
      <c r="A77" t="s">
        <v>98</v>
      </c>
      <c r="B77">
        <v>3</v>
      </c>
      <c r="C77">
        <v>0.09</v>
      </c>
    </row>
    <row r="78" spans="1:3" x14ac:dyDescent="0.25">
      <c r="A78" t="s">
        <v>99</v>
      </c>
      <c r="B78">
        <v>1</v>
      </c>
      <c r="C78">
        <v>0.03</v>
      </c>
    </row>
    <row r="79" spans="1:3" x14ac:dyDescent="0.25">
      <c r="A79" t="s">
        <v>100</v>
      </c>
      <c r="B79">
        <v>9</v>
      </c>
      <c r="C79">
        <v>0.28000000000000003</v>
      </c>
    </row>
    <row r="80" spans="1:3" x14ac:dyDescent="0.25">
      <c r="A80" t="s">
        <v>20</v>
      </c>
      <c r="B80">
        <v>16</v>
      </c>
      <c r="C80">
        <v>0.5</v>
      </c>
    </row>
    <row r="81" spans="1:3" x14ac:dyDescent="0.25">
      <c r="A81" t="s">
        <v>21</v>
      </c>
      <c r="B81">
        <v>61</v>
      </c>
      <c r="C81">
        <v>1.91</v>
      </c>
    </row>
    <row r="82" spans="1:3" x14ac:dyDescent="0.25">
      <c r="A82" t="s">
        <v>22</v>
      </c>
      <c r="B82">
        <v>15</v>
      </c>
      <c r="C82">
        <v>0.47</v>
      </c>
    </row>
    <row r="83" spans="1:3" x14ac:dyDescent="0.25">
      <c r="A83" t="s">
        <v>101</v>
      </c>
      <c r="B83">
        <v>3</v>
      </c>
      <c r="C83">
        <v>0.09</v>
      </c>
    </row>
    <row r="84" spans="1:3" x14ac:dyDescent="0.25">
      <c r="A84" t="s">
        <v>102</v>
      </c>
      <c r="B84">
        <v>5</v>
      </c>
      <c r="C84">
        <v>0.16</v>
      </c>
    </row>
    <row r="85" spans="1:3" x14ac:dyDescent="0.25">
      <c r="A85" t="s">
        <v>103</v>
      </c>
      <c r="B85">
        <v>2</v>
      </c>
      <c r="C85">
        <v>0.06</v>
      </c>
    </row>
    <row r="86" spans="1:3" x14ac:dyDescent="0.25">
      <c r="A86" t="s">
        <v>104</v>
      </c>
      <c r="B86">
        <v>74</v>
      </c>
      <c r="C86">
        <v>2.3199999999999998</v>
      </c>
    </row>
    <row r="87" spans="1:3" x14ac:dyDescent="0.25">
      <c r="A87" t="s">
        <v>105</v>
      </c>
      <c r="B87">
        <v>95</v>
      </c>
      <c r="C87">
        <v>2.98</v>
      </c>
    </row>
    <row r="88" spans="1:3" x14ac:dyDescent="0.25">
      <c r="A88" t="s">
        <v>106</v>
      </c>
      <c r="B88">
        <v>12</v>
      </c>
      <c r="C88">
        <v>0.38</v>
      </c>
    </row>
    <row r="89" spans="1:3" x14ac:dyDescent="0.25">
      <c r="A89" t="s">
        <v>107</v>
      </c>
      <c r="B89">
        <v>3</v>
      </c>
      <c r="C89">
        <v>0.09</v>
      </c>
    </row>
    <row r="90" spans="1:3" x14ac:dyDescent="0.25">
      <c r="A90" t="s">
        <v>108</v>
      </c>
      <c r="B90">
        <v>1</v>
      </c>
      <c r="C90">
        <v>0.03</v>
      </c>
    </row>
    <row r="91" spans="1:3" x14ac:dyDescent="0.25">
      <c r="A91" t="s">
        <v>23</v>
      </c>
      <c r="B91">
        <v>1</v>
      </c>
      <c r="C91">
        <v>0.03</v>
      </c>
    </row>
    <row r="92" spans="1:3" x14ac:dyDescent="0.25">
      <c r="A92" t="s">
        <v>109</v>
      </c>
      <c r="B92">
        <v>95</v>
      </c>
      <c r="C92">
        <v>2.98</v>
      </c>
    </row>
    <row r="93" spans="1:3" x14ac:dyDescent="0.25">
      <c r="A93" t="s">
        <v>110</v>
      </c>
      <c r="B93">
        <v>8</v>
      </c>
      <c r="C93">
        <v>0.25</v>
      </c>
    </row>
    <row r="94" spans="1:3" x14ac:dyDescent="0.25">
      <c r="A94" t="s">
        <v>111</v>
      </c>
      <c r="B94">
        <v>7</v>
      </c>
      <c r="C94">
        <v>0.22</v>
      </c>
    </row>
    <row r="95" spans="1:3" x14ac:dyDescent="0.25">
      <c r="A95" t="s">
        <v>24</v>
      </c>
      <c r="B95">
        <v>197</v>
      </c>
      <c r="C95">
        <v>6.18</v>
      </c>
    </row>
    <row r="96" spans="1:3" x14ac:dyDescent="0.25">
      <c r="A96" t="s">
        <v>25</v>
      </c>
      <c r="B96">
        <v>127</v>
      </c>
      <c r="C96">
        <v>3.98</v>
      </c>
    </row>
    <row r="97" spans="1:3" x14ac:dyDescent="0.25">
      <c r="A97" t="s">
        <v>112</v>
      </c>
      <c r="B97">
        <v>10</v>
      </c>
      <c r="C97">
        <v>0.31</v>
      </c>
    </row>
    <row r="98" spans="1:3" x14ac:dyDescent="0.25">
      <c r="A98" t="s">
        <v>113</v>
      </c>
      <c r="B98">
        <v>12</v>
      </c>
      <c r="C98">
        <v>0.38</v>
      </c>
    </row>
    <row r="99" spans="1:3" x14ac:dyDescent="0.25">
      <c r="A99" t="s">
        <v>114</v>
      </c>
      <c r="B99">
        <v>14</v>
      </c>
      <c r="C99">
        <v>0.44</v>
      </c>
    </row>
    <row r="100" spans="1:3" x14ac:dyDescent="0.25">
      <c r="A100" t="s">
        <v>115</v>
      </c>
      <c r="B100">
        <v>1</v>
      </c>
      <c r="C100">
        <v>0.03</v>
      </c>
    </row>
    <row r="101" spans="1:3" x14ac:dyDescent="0.25">
      <c r="A101" t="s">
        <v>116</v>
      </c>
      <c r="B101">
        <v>6</v>
      </c>
      <c r="C101">
        <v>0.19</v>
      </c>
    </row>
    <row r="102" spans="1:3" x14ac:dyDescent="0.25">
      <c r="A102" t="s">
        <v>117</v>
      </c>
      <c r="B102">
        <v>40</v>
      </c>
      <c r="C102">
        <v>1.25</v>
      </c>
    </row>
    <row r="103" spans="1:3" x14ac:dyDescent="0.25">
      <c r="A103" t="s">
        <v>26</v>
      </c>
      <c r="B103">
        <v>1</v>
      </c>
      <c r="C103">
        <v>0.03</v>
      </c>
    </row>
    <row r="104" spans="1:3" x14ac:dyDescent="0.25">
      <c r="A104" t="s">
        <v>27</v>
      </c>
      <c r="B104">
        <v>35</v>
      </c>
      <c r="C104">
        <v>1.1000000000000001</v>
      </c>
    </row>
    <row r="105" spans="1:3" x14ac:dyDescent="0.25">
      <c r="A105" t="s">
        <v>28</v>
      </c>
      <c r="B105">
        <v>1</v>
      </c>
      <c r="C105">
        <v>0.03</v>
      </c>
    </row>
    <row r="106" spans="1:3" x14ac:dyDescent="0.25">
      <c r="A106" t="s">
        <v>118</v>
      </c>
      <c r="B106">
        <v>4</v>
      </c>
      <c r="C106">
        <v>0.13</v>
      </c>
    </row>
    <row r="107" spans="1:3" x14ac:dyDescent="0.25">
      <c r="A107" t="s">
        <v>119</v>
      </c>
      <c r="B107">
        <v>12</v>
      </c>
      <c r="C107">
        <v>0.38</v>
      </c>
    </row>
    <row r="108" spans="1:3" x14ac:dyDescent="0.25">
      <c r="A108" t="s">
        <v>120</v>
      </c>
      <c r="B108">
        <v>6</v>
      </c>
      <c r="C108">
        <v>0.19</v>
      </c>
    </row>
    <row r="109" spans="1:3" x14ac:dyDescent="0.25">
      <c r="A109" t="s">
        <v>121</v>
      </c>
      <c r="B109">
        <v>3</v>
      </c>
      <c r="C109">
        <v>0.09</v>
      </c>
    </row>
    <row r="110" spans="1:3" x14ac:dyDescent="0.25">
      <c r="A110" t="s">
        <v>122</v>
      </c>
      <c r="B110">
        <v>5</v>
      </c>
      <c r="C110">
        <v>0.16</v>
      </c>
    </row>
    <row r="111" spans="1:3" x14ac:dyDescent="0.25">
      <c r="A111" t="s">
        <v>123</v>
      </c>
      <c r="B111">
        <v>2</v>
      </c>
      <c r="C111">
        <v>0.06</v>
      </c>
    </row>
    <row r="112" spans="1:3" x14ac:dyDescent="0.25">
      <c r="A112" t="s">
        <v>124</v>
      </c>
      <c r="B112">
        <v>14</v>
      </c>
      <c r="C112">
        <v>0.44</v>
      </c>
    </row>
    <row r="113" spans="1:3" x14ac:dyDescent="0.25">
      <c r="A113" t="s">
        <v>125</v>
      </c>
      <c r="B113">
        <v>6</v>
      </c>
      <c r="C113">
        <v>0.19</v>
      </c>
    </row>
    <row r="114" spans="1:3" x14ac:dyDescent="0.25">
      <c r="A114" t="s">
        <v>126</v>
      </c>
      <c r="B114">
        <v>16</v>
      </c>
      <c r="C114">
        <v>0.5</v>
      </c>
    </row>
    <row r="115" spans="1:3" x14ac:dyDescent="0.25">
      <c r="A115" t="s">
        <v>214</v>
      </c>
      <c r="B115">
        <v>2</v>
      </c>
      <c r="C115">
        <v>0.06</v>
      </c>
    </row>
    <row r="116" spans="1:3" x14ac:dyDescent="0.25">
      <c r="A116" t="s">
        <v>127</v>
      </c>
      <c r="B116">
        <v>2</v>
      </c>
      <c r="C116">
        <v>0.06</v>
      </c>
    </row>
    <row r="117" spans="1:3" x14ac:dyDescent="0.25">
      <c r="A117" t="s">
        <v>128</v>
      </c>
      <c r="B117">
        <v>3</v>
      </c>
      <c r="C117">
        <v>0.09</v>
      </c>
    </row>
    <row r="118" spans="1:3" x14ac:dyDescent="0.25">
      <c r="A118" t="s">
        <v>29</v>
      </c>
      <c r="B118">
        <v>17</v>
      </c>
      <c r="C118">
        <v>0.53</v>
      </c>
    </row>
    <row r="119" spans="1:3" x14ac:dyDescent="0.25">
      <c r="A119" t="s">
        <v>129</v>
      </c>
      <c r="B119">
        <v>13</v>
      </c>
      <c r="C119">
        <v>0.41</v>
      </c>
    </row>
    <row r="120" spans="1:3" x14ac:dyDescent="0.25">
      <c r="A120" t="s">
        <v>130</v>
      </c>
      <c r="B120">
        <v>23</v>
      </c>
      <c r="C120">
        <v>0.72</v>
      </c>
    </row>
    <row r="121" spans="1:3" x14ac:dyDescent="0.25">
      <c r="A121" t="s">
        <v>131</v>
      </c>
      <c r="B121">
        <v>1</v>
      </c>
      <c r="C121">
        <v>0.03</v>
      </c>
    </row>
    <row r="122" spans="1:3" x14ac:dyDescent="0.25">
      <c r="A122" t="s">
        <v>132</v>
      </c>
      <c r="B122">
        <v>2</v>
      </c>
      <c r="C122">
        <v>0.06</v>
      </c>
    </row>
    <row r="123" spans="1:3" x14ac:dyDescent="0.25">
      <c r="A123" t="s">
        <v>133</v>
      </c>
      <c r="B123">
        <v>18</v>
      </c>
      <c r="C123">
        <v>0.56000000000000005</v>
      </c>
    </row>
    <row r="124" spans="1:3" x14ac:dyDescent="0.25">
      <c r="A124" t="s">
        <v>30</v>
      </c>
      <c r="B124">
        <v>1</v>
      </c>
      <c r="C124">
        <v>0.03</v>
      </c>
    </row>
    <row r="125" spans="1:3" x14ac:dyDescent="0.25">
      <c r="A125" t="s">
        <v>134</v>
      </c>
      <c r="B125">
        <v>34</v>
      </c>
      <c r="C125">
        <v>1.07</v>
      </c>
    </row>
    <row r="126" spans="1:3" x14ac:dyDescent="0.25">
      <c r="A126" t="s">
        <v>135</v>
      </c>
      <c r="B126">
        <v>8</v>
      </c>
      <c r="C126">
        <v>0.25</v>
      </c>
    </row>
    <row r="127" spans="1:3" x14ac:dyDescent="0.25">
      <c r="A127" t="s">
        <v>136</v>
      </c>
      <c r="B127">
        <v>22</v>
      </c>
      <c r="C127">
        <v>0.69</v>
      </c>
    </row>
    <row r="128" spans="1:3" x14ac:dyDescent="0.25">
      <c r="A128" t="s">
        <v>137</v>
      </c>
      <c r="B128">
        <v>1</v>
      </c>
      <c r="C128">
        <v>0.03</v>
      </c>
    </row>
    <row r="129" spans="1:3" x14ac:dyDescent="0.25">
      <c r="A129" t="s">
        <v>138</v>
      </c>
      <c r="B129">
        <v>11</v>
      </c>
      <c r="C129">
        <v>0.34</v>
      </c>
    </row>
    <row r="130" spans="1:3" x14ac:dyDescent="0.25">
      <c r="A130" t="s">
        <v>31</v>
      </c>
      <c r="B130">
        <v>15</v>
      </c>
      <c r="C130">
        <v>0.47</v>
      </c>
    </row>
    <row r="131" spans="1:3" x14ac:dyDescent="0.25">
      <c r="A131" t="s">
        <v>149</v>
      </c>
      <c r="B131">
        <v>7</v>
      </c>
      <c r="C131">
        <v>0.22</v>
      </c>
    </row>
    <row r="132" spans="1:3" x14ac:dyDescent="0.25">
      <c r="A132" t="s">
        <v>139</v>
      </c>
      <c r="B132">
        <v>6</v>
      </c>
      <c r="C132">
        <v>0.19</v>
      </c>
    </row>
    <row r="133" spans="1:3" x14ac:dyDescent="0.25">
      <c r="A133" t="s">
        <v>140</v>
      </c>
      <c r="B133">
        <v>1</v>
      </c>
      <c r="C133">
        <v>0.03</v>
      </c>
    </row>
    <row r="134" spans="1:3" x14ac:dyDescent="0.25">
      <c r="A134" t="s">
        <v>141</v>
      </c>
      <c r="B134">
        <v>1</v>
      </c>
      <c r="C134">
        <v>0.03</v>
      </c>
    </row>
    <row r="135" spans="1:3" x14ac:dyDescent="0.25">
      <c r="A135" t="s">
        <v>142</v>
      </c>
      <c r="B135">
        <v>4</v>
      </c>
      <c r="C135">
        <v>0.13</v>
      </c>
    </row>
    <row r="136" spans="1:3" x14ac:dyDescent="0.25">
      <c r="A136" t="s">
        <v>143</v>
      </c>
      <c r="B136">
        <v>3</v>
      </c>
      <c r="C136">
        <v>0.09</v>
      </c>
    </row>
    <row r="137" spans="1:3" x14ac:dyDescent="0.25">
      <c r="A137" t="s">
        <v>144</v>
      </c>
      <c r="B137">
        <v>5</v>
      </c>
      <c r="C137">
        <v>0.16</v>
      </c>
    </row>
    <row r="138" spans="1:3" x14ac:dyDescent="0.25">
      <c r="A138" t="s">
        <v>145</v>
      </c>
      <c r="B138">
        <v>8</v>
      </c>
      <c r="C138">
        <v>0.25</v>
      </c>
    </row>
    <row r="139" spans="1:3" x14ac:dyDescent="0.25">
      <c r="A139" t="s">
        <v>146</v>
      </c>
      <c r="B139">
        <v>1</v>
      </c>
      <c r="C139">
        <v>0.03</v>
      </c>
    </row>
    <row r="140" spans="1:3" x14ac:dyDescent="0.25">
      <c r="A140" t="s">
        <v>147</v>
      </c>
      <c r="B140">
        <v>2</v>
      </c>
      <c r="C140">
        <v>0.06</v>
      </c>
    </row>
    <row r="141" spans="1:3" x14ac:dyDescent="0.25">
      <c r="A141" t="s">
        <v>148</v>
      </c>
      <c r="B141">
        <v>13</v>
      </c>
      <c r="C141">
        <v>0.41</v>
      </c>
    </row>
    <row r="142" spans="1:3" x14ac:dyDescent="0.25">
      <c r="A142" t="s">
        <v>32</v>
      </c>
      <c r="B142">
        <v>56</v>
      </c>
      <c r="C142">
        <v>1.76</v>
      </c>
    </row>
    <row r="143" spans="1:3" x14ac:dyDescent="0.25">
      <c r="A143" t="s">
        <v>150</v>
      </c>
      <c r="B143">
        <v>4</v>
      </c>
      <c r="C143">
        <v>0.13</v>
      </c>
    </row>
    <row r="144" spans="1:3" x14ac:dyDescent="0.25">
      <c r="A144" t="s">
        <v>151</v>
      </c>
      <c r="B144">
        <v>3</v>
      </c>
      <c r="C144">
        <v>0.09</v>
      </c>
    </row>
    <row r="145" spans="1:3" x14ac:dyDescent="0.25">
      <c r="A145" t="s">
        <v>152</v>
      </c>
      <c r="B145">
        <v>1</v>
      </c>
      <c r="C145">
        <v>0.03</v>
      </c>
    </row>
    <row r="146" spans="1:3" x14ac:dyDescent="0.25">
      <c r="A146" t="s">
        <v>33</v>
      </c>
      <c r="B146">
        <v>1</v>
      </c>
      <c r="C146">
        <v>0.03</v>
      </c>
    </row>
    <row r="147" spans="1:3" x14ac:dyDescent="0.25">
      <c r="A147" t="s">
        <v>34</v>
      </c>
      <c r="B147">
        <v>10</v>
      </c>
      <c r="C147">
        <v>0.31</v>
      </c>
    </row>
    <row r="148" spans="1:3" x14ac:dyDescent="0.25">
      <c r="A148" t="s">
        <v>153</v>
      </c>
      <c r="B148">
        <v>62</v>
      </c>
      <c r="C148">
        <v>1.94</v>
      </c>
    </row>
    <row r="149" spans="1:3" x14ac:dyDescent="0.25">
      <c r="A149" t="s">
        <v>154</v>
      </c>
      <c r="B149">
        <v>1</v>
      </c>
      <c r="C149">
        <v>0.03</v>
      </c>
    </row>
    <row r="150" spans="1:3" x14ac:dyDescent="0.25">
      <c r="A150" t="s">
        <v>155</v>
      </c>
      <c r="B150">
        <v>5</v>
      </c>
      <c r="C150">
        <v>0.16</v>
      </c>
    </row>
    <row r="151" spans="1:3" x14ac:dyDescent="0.25">
      <c r="A151" t="s">
        <v>156</v>
      </c>
      <c r="B151">
        <v>1</v>
      </c>
      <c r="C151">
        <v>0.03</v>
      </c>
    </row>
    <row r="152" spans="1:3" x14ac:dyDescent="0.25">
      <c r="A152" t="s">
        <v>157</v>
      </c>
      <c r="B152">
        <v>1</v>
      </c>
      <c r="C152">
        <v>0.03</v>
      </c>
    </row>
    <row r="153" spans="1:3" x14ac:dyDescent="0.25">
      <c r="A153" t="s">
        <v>158</v>
      </c>
      <c r="B153">
        <v>2</v>
      </c>
      <c r="C153">
        <v>0.06</v>
      </c>
    </row>
    <row r="154" spans="1:3" x14ac:dyDescent="0.25">
      <c r="A154" t="s">
        <v>159</v>
      </c>
      <c r="B154">
        <v>37</v>
      </c>
      <c r="C154">
        <v>1.1599999999999999</v>
      </c>
    </row>
    <row r="155" spans="1:3" x14ac:dyDescent="0.25">
      <c r="A155" t="s">
        <v>160</v>
      </c>
      <c r="B155">
        <v>8</v>
      </c>
      <c r="C155">
        <v>0.25</v>
      </c>
    </row>
    <row r="156" spans="1:3" x14ac:dyDescent="0.25">
      <c r="A156" t="s">
        <v>35</v>
      </c>
      <c r="B156">
        <v>7</v>
      </c>
      <c r="C156">
        <v>0.22</v>
      </c>
    </row>
    <row r="157" spans="1:3" x14ac:dyDescent="0.25">
      <c r="A157" t="s">
        <v>36</v>
      </c>
      <c r="B157">
        <v>13</v>
      </c>
      <c r="C157">
        <v>0.41</v>
      </c>
    </row>
    <row r="158" spans="1:3" x14ac:dyDescent="0.25">
      <c r="A158" t="s">
        <v>161</v>
      </c>
      <c r="B158">
        <v>1</v>
      </c>
      <c r="C158">
        <v>0.03</v>
      </c>
    </row>
    <row r="159" spans="1:3" x14ac:dyDescent="0.25">
      <c r="A159" t="s">
        <v>162</v>
      </c>
      <c r="B159">
        <v>14</v>
      </c>
      <c r="C159">
        <v>0.44</v>
      </c>
    </row>
    <row r="160" spans="1:3" x14ac:dyDescent="0.25">
      <c r="A160" t="s">
        <v>163</v>
      </c>
      <c r="B160">
        <v>1</v>
      </c>
      <c r="C160">
        <v>0.03</v>
      </c>
    </row>
    <row r="161" spans="1:3" x14ac:dyDescent="0.25">
      <c r="A161" t="s">
        <v>164</v>
      </c>
      <c r="B161">
        <v>2</v>
      </c>
      <c r="C161">
        <v>0.06</v>
      </c>
    </row>
    <row r="162" spans="1:3" x14ac:dyDescent="0.25">
      <c r="A162" t="s">
        <v>165</v>
      </c>
      <c r="B162">
        <v>1</v>
      </c>
      <c r="C162">
        <v>0.03</v>
      </c>
    </row>
    <row r="163" spans="1:3" x14ac:dyDescent="0.25">
      <c r="A163" t="s">
        <v>37</v>
      </c>
      <c r="B163">
        <v>1</v>
      </c>
      <c r="C163">
        <v>0.03</v>
      </c>
    </row>
    <row r="164" spans="1:3" x14ac:dyDescent="0.25">
      <c r="A164" t="s">
        <v>166</v>
      </c>
      <c r="B164">
        <v>1</v>
      </c>
      <c r="C164">
        <v>0.03</v>
      </c>
    </row>
    <row r="165" spans="1:3" x14ac:dyDescent="0.25">
      <c r="A165" t="s">
        <v>167</v>
      </c>
      <c r="B165">
        <v>1</v>
      </c>
      <c r="C165">
        <v>0.03</v>
      </c>
    </row>
    <row r="166" spans="1:3" x14ac:dyDescent="0.25">
      <c r="A166" t="s">
        <v>38</v>
      </c>
      <c r="B166">
        <v>5</v>
      </c>
      <c r="C166">
        <v>0.16</v>
      </c>
    </row>
    <row r="167" spans="1:3" x14ac:dyDescent="0.25">
      <c r="A167" t="s">
        <v>39</v>
      </c>
      <c r="B167">
        <v>62</v>
      </c>
      <c r="C167">
        <v>1.94</v>
      </c>
    </row>
    <row r="168" spans="1:3" x14ac:dyDescent="0.25">
      <c r="A168" t="s">
        <v>168</v>
      </c>
      <c r="B168">
        <v>92</v>
      </c>
      <c r="C168">
        <v>2.88</v>
      </c>
    </row>
    <row r="169" spans="1:3" x14ac:dyDescent="0.25">
      <c r="A169" t="s">
        <v>169</v>
      </c>
      <c r="B169">
        <v>7</v>
      </c>
      <c r="C169">
        <v>0.22</v>
      </c>
    </row>
    <row r="170" spans="1:3" x14ac:dyDescent="0.25">
      <c r="A170" t="s">
        <v>170</v>
      </c>
      <c r="B170">
        <v>9</v>
      </c>
      <c r="C170">
        <v>0.28000000000000003</v>
      </c>
    </row>
    <row r="171" spans="1:3" x14ac:dyDescent="0.25">
      <c r="A171" t="s">
        <v>171</v>
      </c>
      <c r="B171">
        <v>3</v>
      </c>
      <c r="C171">
        <v>0.09</v>
      </c>
    </row>
    <row r="172" spans="1:3" x14ac:dyDescent="0.25">
      <c r="A172" t="s">
        <v>172</v>
      </c>
      <c r="B172">
        <v>27</v>
      </c>
      <c r="C172">
        <v>0.85</v>
      </c>
    </row>
    <row r="173" spans="1:3" x14ac:dyDescent="0.25">
      <c r="A173" t="s">
        <v>173</v>
      </c>
      <c r="B173">
        <v>1</v>
      </c>
      <c r="C173">
        <v>0.03</v>
      </c>
    </row>
    <row r="174" spans="1:3" x14ac:dyDescent="0.25">
      <c r="A174" t="s">
        <v>174</v>
      </c>
      <c r="B174">
        <v>17</v>
      </c>
      <c r="C174">
        <v>0.53</v>
      </c>
    </row>
    <row r="175" spans="1:3" x14ac:dyDescent="0.25">
      <c r="A175" t="s">
        <v>175</v>
      </c>
      <c r="B175">
        <v>2</v>
      </c>
      <c r="C175">
        <v>0.06</v>
      </c>
    </row>
    <row r="176" spans="1:3" x14ac:dyDescent="0.25">
      <c r="A176" t="s">
        <v>176</v>
      </c>
      <c r="B176">
        <v>5</v>
      </c>
      <c r="C176">
        <v>0.16</v>
      </c>
    </row>
    <row r="177" spans="1:3" x14ac:dyDescent="0.25">
      <c r="A177" t="s">
        <v>177</v>
      </c>
      <c r="B177">
        <v>31</v>
      </c>
      <c r="C177">
        <v>0.97</v>
      </c>
    </row>
    <row r="178" spans="1:3" x14ac:dyDescent="0.25">
      <c r="A178" t="s">
        <v>178</v>
      </c>
      <c r="B178">
        <v>1</v>
      </c>
      <c r="C178">
        <v>0.03</v>
      </c>
    </row>
    <row r="179" spans="1:3" x14ac:dyDescent="0.25">
      <c r="A179" t="s">
        <v>179</v>
      </c>
      <c r="B179">
        <v>4</v>
      </c>
      <c r="C179">
        <v>0.13</v>
      </c>
    </row>
    <row r="180" spans="1:3" x14ac:dyDescent="0.25">
      <c r="A180" t="s">
        <v>180</v>
      </c>
      <c r="B180">
        <v>2</v>
      </c>
      <c r="C180">
        <v>0.06</v>
      </c>
    </row>
    <row r="181" spans="1:3" x14ac:dyDescent="0.25">
      <c r="A181" t="s">
        <v>181</v>
      </c>
      <c r="B181">
        <v>7</v>
      </c>
      <c r="C181">
        <v>0.22</v>
      </c>
    </row>
    <row r="182" spans="1:3" x14ac:dyDescent="0.25">
      <c r="A182" t="s">
        <v>182</v>
      </c>
      <c r="B182">
        <v>13</v>
      </c>
      <c r="C182">
        <v>0.41</v>
      </c>
    </row>
    <row r="183" spans="1:3" x14ac:dyDescent="0.25">
      <c r="A183" t="s">
        <v>40</v>
      </c>
      <c r="B183">
        <v>27</v>
      </c>
      <c r="C183">
        <v>0.85</v>
      </c>
    </row>
    <row r="184" spans="1:3" x14ac:dyDescent="0.25">
      <c r="A184" t="s">
        <v>183</v>
      </c>
      <c r="B184">
        <v>48</v>
      </c>
      <c r="C184">
        <v>1.5</v>
      </c>
    </row>
    <row r="185" spans="1:3" x14ac:dyDescent="0.25">
      <c r="A185" t="s">
        <v>184</v>
      </c>
      <c r="B185">
        <v>1</v>
      </c>
      <c r="C185">
        <v>0.03</v>
      </c>
    </row>
    <row r="186" spans="1:3" x14ac:dyDescent="0.25">
      <c r="A186" t="s">
        <v>185</v>
      </c>
      <c r="B186">
        <v>6</v>
      </c>
      <c r="C186">
        <v>0.19</v>
      </c>
    </row>
    <row r="187" spans="1:3" x14ac:dyDescent="0.25">
      <c r="A187" t="s">
        <v>186</v>
      </c>
      <c r="B187">
        <v>6</v>
      </c>
      <c r="C187">
        <v>0.19</v>
      </c>
    </row>
    <row r="188" spans="1:3" x14ac:dyDescent="0.25">
      <c r="A188" t="s">
        <v>187</v>
      </c>
      <c r="B188">
        <v>21</v>
      </c>
      <c r="C188">
        <v>0.66</v>
      </c>
    </row>
    <row r="189" spans="1:3" x14ac:dyDescent="0.25">
      <c r="A189" t="s">
        <v>188</v>
      </c>
      <c r="B189">
        <v>36</v>
      </c>
      <c r="C189">
        <v>1.1299999999999999</v>
      </c>
    </row>
    <row r="190" spans="1:3" x14ac:dyDescent="0.25">
      <c r="A190" t="s">
        <v>189</v>
      </c>
      <c r="B190">
        <v>13</v>
      </c>
      <c r="C190">
        <v>0.41</v>
      </c>
    </row>
    <row r="191" spans="1:3" x14ac:dyDescent="0.25">
      <c r="A191" t="s">
        <v>190</v>
      </c>
      <c r="B191">
        <v>1</v>
      </c>
      <c r="C191">
        <v>0.03</v>
      </c>
    </row>
    <row r="192" spans="1:3" x14ac:dyDescent="0.25">
      <c r="A192" t="s">
        <v>191</v>
      </c>
      <c r="B192">
        <v>21</v>
      </c>
      <c r="C192">
        <v>0.66</v>
      </c>
    </row>
    <row r="193" spans="1:3" x14ac:dyDescent="0.25">
      <c r="A193" t="s">
        <v>41</v>
      </c>
      <c r="B193">
        <v>17</v>
      </c>
      <c r="C193">
        <v>0.53</v>
      </c>
    </row>
    <row r="194" spans="1:3" x14ac:dyDescent="0.25">
      <c r="A194" t="s">
        <v>192</v>
      </c>
      <c r="B194">
        <v>13</v>
      </c>
      <c r="C194">
        <v>0.41</v>
      </c>
    </row>
    <row r="195" spans="1:3" x14ac:dyDescent="0.25">
      <c r="A195" t="s">
        <v>193</v>
      </c>
      <c r="B195">
        <v>1</v>
      </c>
      <c r="C195">
        <v>0.03</v>
      </c>
    </row>
    <row r="196" spans="1:3" x14ac:dyDescent="0.25">
      <c r="A196" t="s">
        <v>194</v>
      </c>
      <c r="B196">
        <v>2</v>
      </c>
      <c r="C196">
        <v>0.06</v>
      </c>
    </row>
    <row r="197" spans="1:3" x14ac:dyDescent="0.25">
      <c r="A197" t="s">
        <v>195</v>
      </c>
      <c r="B197">
        <v>9</v>
      </c>
      <c r="C197">
        <v>0.28000000000000003</v>
      </c>
    </row>
    <row r="198" spans="1:3" x14ac:dyDescent="0.25">
      <c r="A198" t="s">
        <v>196</v>
      </c>
      <c r="B198">
        <v>2</v>
      </c>
      <c r="C198">
        <v>0.06</v>
      </c>
    </row>
    <row r="199" spans="1:3" x14ac:dyDescent="0.25">
      <c r="A199" t="s">
        <v>197</v>
      </c>
      <c r="B199">
        <v>5</v>
      </c>
      <c r="C199">
        <v>0.16</v>
      </c>
    </row>
    <row r="200" spans="1:3" x14ac:dyDescent="0.25">
      <c r="A200" t="s">
        <v>198</v>
      </c>
      <c r="B200">
        <v>11</v>
      </c>
      <c r="C200">
        <v>0.34</v>
      </c>
    </row>
    <row r="201" spans="1:3" x14ac:dyDescent="0.25">
      <c r="A201" t="s">
        <v>199</v>
      </c>
      <c r="B201">
        <v>2</v>
      </c>
      <c r="C201">
        <v>0.06</v>
      </c>
    </row>
    <row r="202" spans="1:3" x14ac:dyDescent="0.25">
      <c r="A202" t="s">
        <v>200</v>
      </c>
      <c r="B202">
        <v>21</v>
      </c>
      <c r="C202">
        <v>0.66</v>
      </c>
    </row>
    <row r="203" spans="1:3" x14ac:dyDescent="0.25">
      <c r="A203" t="s">
        <v>201</v>
      </c>
      <c r="B203">
        <v>14</v>
      </c>
      <c r="C203">
        <v>0.44</v>
      </c>
    </row>
    <row r="204" spans="1:3" x14ac:dyDescent="0.25">
      <c r="A204" t="s">
        <v>202</v>
      </c>
      <c r="B204">
        <v>45</v>
      </c>
      <c r="C204">
        <v>1.41</v>
      </c>
    </row>
    <row r="205" spans="1:3" x14ac:dyDescent="0.25">
      <c r="A205" t="s">
        <v>203</v>
      </c>
      <c r="B205">
        <v>15</v>
      </c>
      <c r="C205">
        <v>0.47</v>
      </c>
    </row>
    <row r="206" spans="1:3" x14ac:dyDescent="0.25">
      <c r="A206" t="s">
        <v>204</v>
      </c>
      <c r="B206">
        <v>8</v>
      </c>
      <c r="C206">
        <v>0.25</v>
      </c>
    </row>
    <row r="207" spans="1:3" x14ac:dyDescent="0.25">
      <c r="A207" t="s">
        <v>205</v>
      </c>
      <c r="B207">
        <v>5</v>
      </c>
      <c r="C207">
        <v>0.16</v>
      </c>
    </row>
    <row r="208" spans="1:3" x14ac:dyDescent="0.25">
      <c r="A208" t="s">
        <v>206</v>
      </c>
      <c r="B208">
        <v>14</v>
      </c>
      <c r="C208">
        <v>0.44</v>
      </c>
    </row>
    <row r="209" spans="1:3" x14ac:dyDescent="0.25">
      <c r="A209" t="s">
        <v>207</v>
      </c>
      <c r="B209">
        <v>1</v>
      </c>
      <c r="C209">
        <v>0.03</v>
      </c>
    </row>
    <row r="210" spans="1:3" x14ac:dyDescent="0.25">
      <c r="A210" t="s">
        <v>208</v>
      </c>
      <c r="B210">
        <v>1</v>
      </c>
      <c r="C210">
        <v>0.03</v>
      </c>
    </row>
    <row r="211" spans="1:3" x14ac:dyDescent="0.25">
      <c r="A211" t="s">
        <v>209</v>
      </c>
      <c r="B211">
        <v>8</v>
      </c>
      <c r="C211">
        <v>0.25</v>
      </c>
    </row>
    <row r="212" spans="1:3" x14ac:dyDescent="0.25">
      <c r="A212" t="s">
        <v>210</v>
      </c>
      <c r="B212">
        <v>49</v>
      </c>
      <c r="C212">
        <v>1.54</v>
      </c>
    </row>
    <row r="213" spans="1:3" x14ac:dyDescent="0.25">
      <c r="A213" t="s">
        <v>211</v>
      </c>
      <c r="B213">
        <v>1</v>
      </c>
      <c r="C213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1F9-A03B-4518-998F-EC1A9717884B}">
  <dimension ref="A1:D89"/>
  <sheetViews>
    <sheetView tabSelected="1" workbookViewId="0">
      <selection activeCell="J25" sqref="J25"/>
    </sheetView>
  </sheetViews>
  <sheetFormatPr defaultRowHeight="15" x14ac:dyDescent="0.25"/>
  <cols>
    <col min="1" max="1" width="34.5703125" customWidth="1"/>
    <col min="2" max="2" width="16.28515625" customWidth="1"/>
    <col min="3" max="3" width="14.5703125" customWidth="1"/>
    <col min="4" max="4" width="13.5703125" customWidth="1"/>
  </cols>
  <sheetData>
    <row r="1" spans="1:4" s="1" customFormat="1" x14ac:dyDescent="0.25">
      <c r="A1" s="1" t="s">
        <v>243</v>
      </c>
      <c r="B1" s="1" t="s">
        <v>239</v>
      </c>
      <c r="C1" s="1" t="s">
        <v>223</v>
      </c>
      <c r="D1" s="1" t="s">
        <v>224</v>
      </c>
    </row>
    <row r="2" spans="1:4" x14ac:dyDescent="0.25">
      <c r="A2" s="2" t="s">
        <v>225</v>
      </c>
      <c r="B2" t="s">
        <v>32</v>
      </c>
      <c r="C2">
        <v>2</v>
      </c>
      <c r="D2" s="3">
        <f t="shared" ref="D2:D33" si="0">(C2/C$89)*100</f>
        <v>6.269592476489029E-2</v>
      </c>
    </row>
    <row r="3" spans="1:4" x14ac:dyDescent="0.25">
      <c r="A3" t="s">
        <v>212</v>
      </c>
      <c r="B3" t="s">
        <v>32</v>
      </c>
      <c r="C3">
        <v>34</v>
      </c>
      <c r="D3" s="3">
        <f t="shared" si="0"/>
        <v>1.0658307210031348</v>
      </c>
    </row>
    <row r="4" spans="1:4" x14ac:dyDescent="0.25">
      <c r="A4" t="s">
        <v>4</v>
      </c>
      <c r="B4" t="s">
        <v>32</v>
      </c>
      <c r="C4">
        <v>19</v>
      </c>
      <c r="D4" s="3">
        <f t="shared" si="0"/>
        <v>0.59561128526645768</v>
      </c>
    </row>
    <row r="5" spans="1:4" x14ac:dyDescent="0.25">
      <c r="A5" t="s">
        <v>5</v>
      </c>
      <c r="B5" s="5" t="s">
        <v>5</v>
      </c>
      <c r="C5">
        <v>24</v>
      </c>
      <c r="D5" s="3">
        <f t="shared" si="0"/>
        <v>0.75235109717868343</v>
      </c>
    </row>
    <row r="6" spans="1:4" x14ac:dyDescent="0.25">
      <c r="A6" t="s">
        <v>215</v>
      </c>
      <c r="B6" t="s">
        <v>32</v>
      </c>
      <c r="C6">
        <v>29</v>
      </c>
      <c r="D6" s="3">
        <f t="shared" si="0"/>
        <v>0.90909090909090906</v>
      </c>
    </row>
    <row r="7" spans="1:4" x14ac:dyDescent="0.25">
      <c r="A7" t="s">
        <v>226</v>
      </c>
      <c r="B7" t="s">
        <v>32</v>
      </c>
      <c r="C7">
        <v>7</v>
      </c>
      <c r="D7" s="3">
        <f t="shared" si="0"/>
        <v>0.21943573667711599</v>
      </c>
    </row>
    <row r="8" spans="1:4" x14ac:dyDescent="0.25">
      <c r="A8" t="s">
        <v>54</v>
      </c>
      <c r="B8" t="s">
        <v>32</v>
      </c>
      <c r="C8">
        <v>4</v>
      </c>
      <c r="D8" s="3">
        <f t="shared" si="0"/>
        <v>0.12539184952978058</v>
      </c>
    </row>
    <row r="9" spans="1:4" x14ac:dyDescent="0.25">
      <c r="A9" t="s">
        <v>227</v>
      </c>
      <c r="B9" t="s">
        <v>5</v>
      </c>
      <c r="C9">
        <v>5</v>
      </c>
      <c r="D9" s="3">
        <f t="shared" si="0"/>
        <v>0.15673981191222569</v>
      </c>
    </row>
    <row r="10" spans="1:4" x14ac:dyDescent="0.25">
      <c r="A10" t="s">
        <v>8</v>
      </c>
      <c r="B10" t="s">
        <v>24</v>
      </c>
      <c r="C10">
        <v>145</v>
      </c>
      <c r="D10" s="3">
        <f t="shared" si="0"/>
        <v>4.5454545454545459</v>
      </c>
    </row>
    <row r="11" spans="1:4" x14ac:dyDescent="0.25">
      <c r="A11" t="s">
        <v>9</v>
      </c>
      <c r="B11" t="s">
        <v>242</v>
      </c>
      <c r="C11">
        <v>384</v>
      </c>
      <c r="D11" s="3">
        <f t="shared" si="0"/>
        <v>12.037617554858935</v>
      </c>
    </row>
    <row r="12" spans="1:4" x14ac:dyDescent="0.25">
      <c r="A12" t="s">
        <v>11</v>
      </c>
      <c r="B12" t="s">
        <v>240</v>
      </c>
      <c r="C12">
        <v>127</v>
      </c>
      <c r="D12" s="3">
        <f t="shared" si="0"/>
        <v>3.9811912225705326</v>
      </c>
    </row>
    <row r="13" spans="1:4" x14ac:dyDescent="0.25">
      <c r="A13" t="s">
        <v>70</v>
      </c>
      <c r="B13" t="s">
        <v>24</v>
      </c>
      <c r="C13">
        <v>3</v>
      </c>
      <c r="D13" s="3">
        <f t="shared" si="0"/>
        <v>9.4043887147335428E-2</v>
      </c>
    </row>
    <row r="14" spans="1:4" x14ac:dyDescent="0.25">
      <c r="A14" t="s">
        <v>71</v>
      </c>
      <c r="B14" t="s">
        <v>32</v>
      </c>
      <c r="C14">
        <v>2</v>
      </c>
      <c r="D14" s="3">
        <f t="shared" si="0"/>
        <v>6.269592476489029E-2</v>
      </c>
    </row>
    <row r="15" spans="1:4" x14ac:dyDescent="0.25">
      <c r="A15" t="s">
        <v>13</v>
      </c>
      <c r="B15" t="s">
        <v>5</v>
      </c>
      <c r="C15">
        <v>19</v>
      </c>
      <c r="D15" s="3">
        <f t="shared" si="0"/>
        <v>0.59561128526645768</v>
      </c>
    </row>
    <row r="16" spans="1:4" x14ac:dyDescent="0.25">
      <c r="A16" t="s">
        <v>74</v>
      </c>
      <c r="B16" t="s">
        <v>32</v>
      </c>
      <c r="C16">
        <v>4</v>
      </c>
      <c r="D16" s="3">
        <f t="shared" si="0"/>
        <v>0.12539184952978058</v>
      </c>
    </row>
    <row r="17" spans="1:4" x14ac:dyDescent="0.25">
      <c r="A17" t="s">
        <v>75</v>
      </c>
      <c r="B17" t="s">
        <v>24</v>
      </c>
      <c r="C17">
        <v>2</v>
      </c>
      <c r="D17" s="3">
        <f t="shared" si="0"/>
        <v>6.269592476489029E-2</v>
      </c>
    </row>
    <row r="18" spans="1:4" x14ac:dyDescent="0.25">
      <c r="A18" t="s">
        <v>14</v>
      </c>
      <c r="B18" t="s">
        <v>32</v>
      </c>
      <c r="C18">
        <v>38</v>
      </c>
      <c r="D18" s="3">
        <f t="shared" si="0"/>
        <v>1.1912225705329154</v>
      </c>
    </row>
    <row r="19" spans="1:4" x14ac:dyDescent="0.25">
      <c r="A19" t="s">
        <v>79</v>
      </c>
      <c r="B19" t="s">
        <v>32</v>
      </c>
      <c r="C19">
        <v>1</v>
      </c>
      <c r="D19" s="3">
        <f t="shared" si="0"/>
        <v>3.1347962382445145E-2</v>
      </c>
    </row>
    <row r="20" spans="1:4" x14ac:dyDescent="0.25">
      <c r="A20" t="s">
        <v>80</v>
      </c>
      <c r="B20" t="s">
        <v>241</v>
      </c>
      <c r="C20">
        <v>7</v>
      </c>
      <c r="D20" s="3">
        <f t="shared" si="0"/>
        <v>0.21943573667711599</v>
      </c>
    </row>
    <row r="21" spans="1:4" x14ac:dyDescent="0.25">
      <c r="A21" t="s">
        <v>81</v>
      </c>
      <c r="B21" t="s">
        <v>240</v>
      </c>
      <c r="C21">
        <v>3</v>
      </c>
      <c r="D21" s="3">
        <f t="shared" si="0"/>
        <v>9.4043887147335428E-2</v>
      </c>
    </row>
    <row r="22" spans="1:4" x14ac:dyDescent="0.25">
      <c r="A22" t="s">
        <v>15</v>
      </c>
      <c r="B22" t="s">
        <v>32</v>
      </c>
      <c r="C22">
        <v>1</v>
      </c>
      <c r="D22" s="3">
        <f t="shared" si="0"/>
        <v>3.1347962382445145E-2</v>
      </c>
    </row>
    <row r="23" spans="1:4" x14ac:dyDescent="0.25">
      <c r="A23" s="1" t="s">
        <v>216</v>
      </c>
      <c r="B23" t="s">
        <v>24</v>
      </c>
      <c r="C23" s="1">
        <v>163</v>
      </c>
      <c r="D23" s="4">
        <f t="shared" si="0"/>
        <v>5.1097178683385573</v>
      </c>
    </row>
    <row r="24" spans="1:4" x14ac:dyDescent="0.25">
      <c r="A24" t="s">
        <v>217</v>
      </c>
      <c r="B24" t="s">
        <v>5</v>
      </c>
      <c r="C24">
        <v>52</v>
      </c>
      <c r="D24" s="3">
        <f t="shared" si="0"/>
        <v>1.6300940438871474</v>
      </c>
    </row>
    <row r="25" spans="1:4" x14ac:dyDescent="0.25">
      <c r="A25" t="s">
        <v>218</v>
      </c>
      <c r="B25" t="s">
        <v>24</v>
      </c>
      <c r="C25">
        <v>14</v>
      </c>
      <c r="D25" s="3">
        <f t="shared" si="0"/>
        <v>0.43887147335423199</v>
      </c>
    </row>
    <row r="26" spans="1:4" x14ac:dyDescent="0.25">
      <c r="A26" t="s">
        <v>97</v>
      </c>
      <c r="B26" t="s">
        <v>5</v>
      </c>
      <c r="C26">
        <v>5</v>
      </c>
      <c r="D26" s="3">
        <f t="shared" si="0"/>
        <v>0.15673981191222569</v>
      </c>
    </row>
    <row r="27" spans="1:4" x14ac:dyDescent="0.25">
      <c r="A27" t="s">
        <v>19</v>
      </c>
      <c r="B27" t="s">
        <v>240</v>
      </c>
      <c r="C27">
        <v>6</v>
      </c>
      <c r="D27" s="3">
        <f t="shared" si="0"/>
        <v>0.18808777429467086</v>
      </c>
    </row>
    <row r="28" spans="1:4" x14ac:dyDescent="0.25">
      <c r="A28" t="s">
        <v>219</v>
      </c>
      <c r="B28" t="s">
        <v>32</v>
      </c>
      <c r="C28">
        <v>10</v>
      </c>
      <c r="D28" s="3">
        <f t="shared" si="0"/>
        <v>0.31347962382445138</v>
      </c>
    </row>
    <row r="29" spans="1:4" x14ac:dyDescent="0.25">
      <c r="A29" t="s">
        <v>20</v>
      </c>
      <c r="B29" t="s">
        <v>32</v>
      </c>
      <c r="C29">
        <v>16</v>
      </c>
      <c r="D29" s="3">
        <f t="shared" si="0"/>
        <v>0.50156739811912232</v>
      </c>
    </row>
    <row r="30" spans="1:4" x14ac:dyDescent="0.25">
      <c r="A30" t="s">
        <v>21</v>
      </c>
      <c r="B30" t="s">
        <v>32</v>
      </c>
      <c r="C30">
        <v>61</v>
      </c>
      <c r="D30" s="3">
        <f t="shared" si="0"/>
        <v>1.9122257053291534</v>
      </c>
    </row>
    <row r="31" spans="1:4" x14ac:dyDescent="0.25">
      <c r="A31" s="1" t="s">
        <v>22</v>
      </c>
      <c r="B31" t="s">
        <v>24</v>
      </c>
      <c r="C31" s="1">
        <v>210</v>
      </c>
      <c r="D31" s="4">
        <f t="shared" si="0"/>
        <v>6.5830721003134789</v>
      </c>
    </row>
    <row r="32" spans="1:4" x14ac:dyDescent="0.25">
      <c r="A32" t="s">
        <v>23</v>
      </c>
      <c r="B32" t="s">
        <v>32</v>
      </c>
      <c r="C32">
        <v>104</v>
      </c>
      <c r="D32" s="3">
        <f t="shared" si="0"/>
        <v>3.2601880877742948</v>
      </c>
    </row>
    <row r="33" spans="1:4" x14ac:dyDescent="0.25">
      <c r="A33" t="s">
        <v>111</v>
      </c>
      <c r="B33" t="s">
        <v>24</v>
      </c>
      <c r="C33">
        <v>7</v>
      </c>
      <c r="D33" s="3">
        <f t="shared" si="0"/>
        <v>0.21943573667711599</v>
      </c>
    </row>
    <row r="34" spans="1:4" x14ac:dyDescent="0.25">
      <c r="A34" t="s">
        <v>24</v>
      </c>
      <c r="B34" t="s">
        <v>24</v>
      </c>
      <c r="C34">
        <v>197</v>
      </c>
      <c r="D34" s="3">
        <f t="shared" ref="D34:D65" si="1">(C34/C$89)*100</f>
        <v>6.1755485893416928</v>
      </c>
    </row>
    <row r="35" spans="1:4" x14ac:dyDescent="0.25">
      <c r="A35" t="s">
        <v>25</v>
      </c>
      <c r="B35" t="s">
        <v>32</v>
      </c>
      <c r="C35">
        <v>127</v>
      </c>
      <c r="D35" s="3">
        <f t="shared" si="1"/>
        <v>3.9811912225705326</v>
      </c>
    </row>
    <row r="36" spans="1:4" x14ac:dyDescent="0.25">
      <c r="A36" t="s">
        <v>112</v>
      </c>
      <c r="B36" t="s">
        <v>24</v>
      </c>
      <c r="C36">
        <v>10</v>
      </c>
      <c r="D36" s="3">
        <f t="shared" si="1"/>
        <v>0.31347962382445138</v>
      </c>
    </row>
    <row r="37" spans="1:4" x14ac:dyDescent="0.25">
      <c r="A37" t="s">
        <v>113</v>
      </c>
      <c r="B37" t="s">
        <v>5</v>
      </c>
      <c r="C37">
        <v>12</v>
      </c>
      <c r="D37" s="3">
        <f t="shared" si="1"/>
        <v>0.37617554858934171</v>
      </c>
    </row>
    <row r="38" spans="1:4" x14ac:dyDescent="0.25">
      <c r="A38" t="s">
        <v>114</v>
      </c>
      <c r="B38" t="s">
        <v>24</v>
      </c>
      <c r="C38">
        <v>14</v>
      </c>
      <c r="D38" s="3">
        <f t="shared" si="1"/>
        <v>0.43887147335423199</v>
      </c>
    </row>
    <row r="39" spans="1:4" x14ac:dyDescent="0.25">
      <c r="A39" t="s">
        <v>115</v>
      </c>
      <c r="B39" t="s">
        <v>32</v>
      </c>
      <c r="C39">
        <v>1</v>
      </c>
      <c r="D39" s="3">
        <f t="shared" si="1"/>
        <v>3.1347962382445145E-2</v>
      </c>
    </row>
    <row r="40" spans="1:4" x14ac:dyDescent="0.25">
      <c r="A40" t="s">
        <v>220</v>
      </c>
      <c r="B40" t="s">
        <v>32</v>
      </c>
      <c r="C40">
        <v>46</v>
      </c>
      <c r="D40" s="3">
        <f t="shared" si="1"/>
        <v>1.4420062695924765</v>
      </c>
    </row>
    <row r="41" spans="1:4" x14ac:dyDescent="0.25">
      <c r="A41" t="s">
        <v>26</v>
      </c>
      <c r="B41" t="s">
        <v>24</v>
      </c>
      <c r="C41">
        <v>1</v>
      </c>
      <c r="D41" s="3">
        <f t="shared" si="1"/>
        <v>3.1347962382445145E-2</v>
      </c>
    </row>
    <row r="42" spans="1:4" x14ac:dyDescent="0.25">
      <c r="A42" t="s">
        <v>228</v>
      </c>
      <c r="B42" t="s">
        <v>24</v>
      </c>
      <c r="C42">
        <v>66</v>
      </c>
      <c r="D42" s="3">
        <f t="shared" si="1"/>
        <v>2.0689655172413794</v>
      </c>
    </row>
    <row r="43" spans="1:4" x14ac:dyDescent="0.25">
      <c r="A43" t="s">
        <v>123</v>
      </c>
      <c r="B43" t="s">
        <v>24</v>
      </c>
      <c r="C43">
        <v>2</v>
      </c>
      <c r="D43" s="3">
        <f t="shared" si="1"/>
        <v>6.269592476489029E-2</v>
      </c>
    </row>
    <row r="44" spans="1:4" x14ac:dyDescent="0.25">
      <c r="A44" t="s">
        <v>124</v>
      </c>
      <c r="B44" t="s">
        <v>32</v>
      </c>
      <c r="C44">
        <v>14</v>
      </c>
      <c r="D44" s="3">
        <f t="shared" si="1"/>
        <v>0.43887147335423199</v>
      </c>
    </row>
    <row r="45" spans="1:4" x14ac:dyDescent="0.25">
      <c r="A45" t="s">
        <v>125</v>
      </c>
      <c r="B45" t="s">
        <v>24</v>
      </c>
      <c r="C45">
        <v>6</v>
      </c>
      <c r="D45" s="3">
        <f t="shared" si="1"/>
        <v>0.18808777429467086</v>
      </c>
    </row>
    <row r="46" spans="1:4" x14ac:dyDescent="0.25">
      <c r="A46" t="s">
        <v>221</v>
      </c>
      <c r="B46" t="s">
        <v>24</v>
      </c>
      <c r="C46">
        <v>18</v>
      </c>
      <c r="D46" s="3">
        <f t="shared" si="1"/>
        <v>0.56426332288401249</v>
      </c>
    </row>
    <row r="47" spans="1:4" x14ac:dyDescent="0.25">
      <c r="A47" t="s">
        <v>127</v>
      </c>
      <c r="B47" t="s">
        <v>5</v>
      </c>
      <c r="C47">
        <v>2</v>
      </c>
      <c r="D47" s="3">
        <f t="shared" si="1"/>
        <v>6.269592476489029E-2</v>
      </c>
    </row>
    <row r="48" spans="1:4" x14ac:dyDescent="0.25">
      <c r="A48" t="s">
        <v>128</v>
      </c>
      <c r="B48" t="s">
        <v>32</v>
      </c>
      <c r="C48">
        <v>3</v>
      </c>
      <c r="D48" s="3">
        <f t="shared" si="1"/>
        <v>9.4043887147335428E-2</v>
      </c>
    </row>
    <row r="49" spans="1:4" x14ac:dyDescent="0.25">
      <c r="A49" t="s">
        <v>29</v>
      </c>
      <c r="B49" t="s">
        <v>5</v>
      </c>
      <c r="C49">
        <v>53</v>
      </c>
      <c r="D49" s="3">
        <f t="shared" si="1"/>
        <v>1.6614420062695927</v>
      </c>
    </row>
    <row r="50" spans="1:4" x14ac:dyDescent="0.25">
      <c r="A50" t="s">
        <v>131</v>
      </c>
      <c r="B50" t="s">
        <v>32</v>
      </c>
      <c r="C50">
        <v>1</v>
      </c>
      <c r="D50" s="3">
        <f t="shared" si="1"/>
        <v>3.1347962382445145E-2</v>
      </c>
    </row>
    <row r="51" spans="1:4" x14ac:dyDescent="0.25">
      <c r="A51" t="s">
        <v>229</v>
      </c>
      <c r="B51" t="s">
        <v>5</v>
      </c>
      <c r="C51">
        <v>20</v>
      </c>
      <c r="D51" s="3">
        <f t="shared" si="1"/>
        <v>0.62695924764890276</v>
      </c>
    </row>
    <row r="52" spans="1:4" x14ac:dyDescent="0.25">
      <c r="A52" t="s">
        <v>30</v>
      </c>
      <c r="B52" t="s">
        <v>32</v>
      </c>
      <c r="C52">
        <v>1</v>
      </c>
      <c r="D52" s="3">
        <f t="shared" si="1"/>
        <v>3.1347962382445145E-2</v>
      </c>
    </row>
    <row r="53" spans="1:4" x14ac:dyDescent="0.25">
      <c r="A53" t="s">
        <v>230</v>
      </c>
      <c r="B53" t="s">
        <v>24</v>
      </c>
      <c r="C53">
        <v>64</v>
      </c>
      <c r="D53" s="3">
        <f t="shared" si="1"/>
        <v>2.0062695924764893</v>
      </c>
    </row>
    <row r="54" spans="1:4" x14ac:dyDescent="0.25">
      <c r="A54" t="s">
        <v>137</v>
      </c>
      <c r="B54" t="s">
        <v>32</v>
      </c>
      <c r="C54">
        <v>1</v>
      </c>
      <c r="D54" s="3">
        <f t="shared" si="1"/>
        <v>3.1347962382445145E-2</v>
      </c>
    </row>
    <row r="55" spans="1:4" x14ac:dyDescent="0.25">
      <c r="A55" t="s">
        <v>231</v>
      </c>
      <c r="B55" t="s">
        <v>32</v>
      </c>
      <c r="C55">
        <v>26</v>
      </c>
      <c r="D55" s="3">
        <f t="shared" si="1"/>
        <v>0.8150470219435737</v>
      </c>
    </row>
    <row r="56" spans="1:4" x14ac:dyDescent="0.25">
      <c r="A56" t="s">
        <v>232</v>
      </c>
      <c r="B56" t="s">
        <v>32</v>
      </c>
      <c r="C56">
        <v>13</v>
      </c>
      <c r="D56" s="3">
        <f t="shared" si="1"/>
        <v>0.40752351097178685</v>
      </c>
    </row>
    <row r="57" spans="1:4" x14ac:dyDescent="0.25">
      <c r="A57" t="s">
        <v>233</v>
      </c>
      <c r="B57" t="s">
        <v>242</v>
      </c>
      <c r="C57">
        <v>14</v>
      </c>
      <c r="D57" s="3">
        <f t="shared" si="1"/>
        <v>0.43887147335423199</v>
      </c>
    </row>
    <row r="58" spans="1:4" x14ac:dyDescent="0.25">
      <c r="A58" t="s">
        <v>234</v>
      </c>
      <c r="B58" t="s">
        <v>240</v>
      </c>
      <c r="C58">
        <v>24</v>
      </c>
      <c r="D58" s="3">
        <f t="shared" si="1"/>
        <v>0.75235109717868343</v>
      </c>
    </row>
    <row r="59" spans="1:4" x14ac:dyDescent="0.25">
      <c r="A59" t="s">
        <v>32</v>
      </c>
      <c r="B59" t="s">
        <v>32</v>
      </c>
      <c r="C59">
        <v>56</v>
      </c>
      <c r="D59" s="3">
        <f t="shared" si="1"/>
        <v>1.755485893416928</v>
      </c>
    </row>
    <row r="60" spans="1:4" x14ac:dyDescent="0.25">
      <c r="A60" t="s">
        <v>235</v>
      </c>
      <c r="B60" t="s">
        <v>32</v>
      </c>
      <c r="C60">
        <v>7</v>
      </c>
      <c r="D60" s="3">
        <f t="shared" si="1"/>
        <v>0.21943573667711599</v>
      </c>
    </row>
    <row r="61" spans="1:4" x14ac:dyDescent="0.25">
      <c r="A61" t="s">
        <v>152</v>
      </c>
      <c r="B61" t="s">
        <v>32</v>
      </c>
      <c r="C61">
        <v>1</v>
      </c>
      <c r="D61" s="3">
        <f t="shared" si="1"/>
        <v>3.1347962382445145E-2</v>
      </c>
    </row>
    <row r="62" spans="1:4" x14ac:dyDescent="0.25">
      <c r="A62" t="s">
        <v>34</v>
      </c>
      <c r="B62" t="s">
        <v>32</v>
      </c>
      <c r="C62">
        <v>74</v>
      </c>
      <c r="D62" s="3">
        <f t="shared" si="1"/>
        <v>2.3197492163009406</v>
      </c>
    </row>
    <row r="63" spans="1:4" x14ac:dyDescent="0.25">
      <c r="A63" t="s">
        <v>155</v>
      </c>
      <c r="B63" t="s">
        <v>32</v>
      </c>
      <c r="C63">
        <v>5</v>
      </c>
      <c r="D63" s="3">
        <f t="shared" si="1"/>
        <v>0.15673981191222569</v>
      </c>
    </row>
    <row r="64" spans="1:4" x14ac:dyDescent="0.25">
      <c r="A64" t="s">
        <v>156</v>
      </c>
      <c r="B64" t="s">
        <v>32</v>
      </c>
      <c r="C64">
        <v>1</v>
      </c>
      <c r="D64" s="3">
        <f t="shared" si="1"/>
        <v>3.1347962382445145E-2</v>
      </c>
    </row>
    <row r="65" spans="1:4" x14ac:dyDescent="0.25">
      <c r="A65" t="s">
        <v>157</v>
      </c>
      <c r="B65" t="s">
        <v>32</v>
      </c>
      <c r="C65">
        <v>1</v>
      </c>
      <c r="D65" s="3">
        <f t="shared" si="1"/>
        <v>3.1347962382445145E-2</v>
      </c>
    </row>
    <row r="66" spans="1:4" x14ac:dyDescent="0.25">
      <c r="A66" t="s">
        <v>158</v>
      </c>
      <c r="B66" t="s">
        <v>32</v>
      </c>
      <c r="C66">
        <v>2</v>
      </c>
      <c r="D66" s="3">
        <f t="shared" ref="D66:D89" si="2">(C66/C$89)*100</f>
        <v>6.269592476489029E-2</v>
      </c>
    </row>
    <row r="67" spans="1:4" x14ac:dyDescent="0.25">
      <c r="A67" t="s">
        <v>159</v>
      </c>
      <c r="B67" t="s">
        <v>5</v>
      </c>
      <c r="C67">
        <v>37</v>
      </c>
      <c r="D67" s="3">
        <f t="shared" si="2"/>
        <v>1.1598746081504703</v>
      </c>
    </row>
    <row r="68" spans="1:4" x14ac:dyDescent="0.25">
      <c r="A68" t="s">
        <v>160</v>
      </c>
      <c r="B68" t="s">
        <v>240</v>
      </c>
      <c r="C68">
        <v>8</v>
      </c>
      <c r="D68" s="3">
        <f t="shared" si="2"/>
        <v>0.25078369905956116</v>
      </c>
    </row>
    <row r="69" spans="1:4" x14ac:dyDescent="0.25">
      <c r="A69" t="s">
        <v>35</v>
      </c>
      <c r="B69" t="s">
        <v>24</v>
      </c>
      <c r="C69">
        <v>7</v>
      </c>
      <c r="D69" s="3">
        <f t="shared" si="2"/>
        <v>0.21943573667711599</v>
      </c>
    </row>
    <row r="70" spans="1:4" x14ac:dyDescent="0.25">
      <c r="A70" t="s">
        <v>36</v>
      </c>
      <c r="B70" t="s">
        <v>24</v>
      </c>
      <c r="C70">
        <v>13</v>
      </c>
      <c r="D70" s="3">
        <f t="shared" si="2"/>
        <v>0.40752351097178685</v>
      </c>
    </row>
    <row r="71" spans="1:4" x14ac:dyDescent="0.25">
      <c r="A71" t="s">
        <v>161</v>
      </c>
      <c r="B71" t="s">
        <v>24</v>
      </c>
      <c r="C71">
        <v>1</v>
      </c>
      <c r="D71" s="3">
        <f t="shared" si="2"/>
        <v>3.1347962382445145E-2</v>
      </c>
    </row>
    <row r="72" spans="1:4" x14ac:dyDescent="0.25">
      <c r="A72" t="s">
        <v>236</v>
      </c>
      <c r="B72" t="s">
        <v>32</v>
      </c>
      <c r="C72">
        <v>15</v>
      </c>
      <c r="D72" s="3">
        <f t="shared" si="2"/>
        <v>0.47021943573667713</v>
      </c>
    </row>
    <row r="73" spans="1:4" x14ac:dyDescent="0.25">
      <c r="A73" t="s">
        <v>164</v>
      </c>
      <c r="B73" t="s">
        <v>32</v>
      </c>
      <c r="C73">
        <v>2</v>
      </c>
      <c r="D73" s="3">
        <f t="shared" si="2"/>
        <v>6.269592476489029E-2</v>
      </c>
    </row>
    <row r="74" spans="1:4" x14ac:dyDescent="0.25">
      <c r="A74" t="s">
        <v>165</v>
      </c>
      <c r="B74" t="s">
        <v>32</v>
      </c>
      <c r="C74">
        <v>1</v>
      </c>
      <c r="D74" s="3">
        <f t="shared" si="2"/>
        <v>3.1347962382445145E-2</v>
      </c>
    </row>
    <row r="75" spans="1:4" x14ac:dyDescent="0.25">
      <c r="A75" t="s">
        <v>37</v>
      </c>
      <c r="B75" t="s">
        <v>32</v>
      </c>
      <c r="C75">
        <v>1</v>
      </c>
      <c r="D75" s="3">
        <f t="shared" si="2"/>
        <v>3.1347962382445145E-2</v>
      </c>
    </row>
    <row r="76" spans="1:4" x14ac:dyDescent="0.25">
      <c r="A76" t="s">
        <v>166</v>
      </c>
      <c r="B76" t="s">
        <v>32</v>
      </c>
      <c r="C76">
        <v>1</v>
      </c>
      <c r="D76" s="3">
        <f t="shared" si="2"/>
        <v>3.1347962382445145E-2</v>
      </c>
    </row>
    <row r="77" spans="1:4" x14ac:dyDescent="0.25">
      <c r="A77" t="s">
        <v>167</v>
      </c>
      <c r="B77" t="s">
        <v>32</v>
      </c>
      <c r="C77">
        <v>1</v>
      </c>
      <c r="D77" s="3">
        <f t="shared" si="2"/>
        <v>3.1347962382445145E-2</v>
      </c>
    </row>
    <row r="78" spans="1:4" x14ac:dyDescent="0.25">
      <c r="A78" t="s">
        <v>38</v>
      </c>
      <c r="B78" t="s">
        <v>24</v>
      </c>
      <c r="C78">
        <v>5</v>
      </c>
      <c r="D78" s="3">
        <f t="shared" si="2"/>
        <v>0.15673981191222569</v>
      </c>
    </row>
    <row r="79" spans="1:4" x14ac:dyDescent="0.25">
      <c r="A79" s="1" t="s">
        <v>39</v>
      </c>
      <c r="B79" t="s">
        <v>24</v>
      </c>
      <c r="C79" s="1">
        <v>263</v>
      </c>
      <c r="D79" s="4">
        <f t="shared" si="2"/>
        <v>8.2445141065830718</v>
      </c>
    </row>
    <row r="80" spans="1:4" x14ac:dyDescent="0.25">
      <c r="A80" t="s">
        <v>237</v>
      </c>
      <c r="B80" t="s">
        <v>32</v>
      </c>
      <c r="C80">
        <v>20</v>
      </c>
      <c r="D80" s="3">
        <f t="shared" si="2"/>
        <v>0.62695924764890276</v>
      </c>
    </row>
    <row r="81" spans="1:4" x14ac:dyDescent="0.25">
      <c r="A81" s="1" t="s">
        <v>40</v>
      </c>
      <c r="B81" t="s">
        <v>24</v>
      </c>
      <c r="C81" s="1">
        <v>180</v>
      </c>
      <c r="D81" s="4">
        <f t="shared" si="2"/>
        <v>5.6426332288401255</v>
      </c>
    </row>
    <row r="82" spans="1:4" x14ac:dyDescent="0.25">
      <c r="A82" t="s">
        <v>41</v>
      </c>
      <c r="B82" t="s">
        <v>5</v>
      </c>
      <c r="C82">
        <v>97</v>
      </c>
      <c r="D82" s="3">
        <f t="shared" si="2"/>
        <v>3.0407523510971788</v>
      </c>
    </row>
    <row r="83" spans="1:4" x14ac:dyDescent="0.25">
      <c r="A83" t="s">
        <v>202</v>
      </c>
      <c r="B83" t="s">
        <v>242</v>
      </c>
      <c r="C83">
        <v>45</v>
      </c>
      <c r="D83" s="3">
        <f t="shared" si="2"/>
        <v>1.4106583072100314</v>
      </c>
    </row>
    <row r="84" spans="1:4" x14ac:dyDescent="0.25">
      <c r="A84" t="s">
        <v>203</v>
      </c>
      <c r="B84" t="s">
        <v>5</v>
      </c>
      <c r="C84">
        <v>15</v>
      </c>
      <c r="D84" s="3">
        <f t="shared" si="2"/>
        <v>0.47021943573667713</v>
      </c>
    </row>
    <row r="85" spans="1:4" x14ac:dyDescent="0.25">
      <c r="A85" t="s">
        <v>222</v>
      </c>
      <c r="B85" t="s">
        <v>32</v>
      </c>
      <c r="C85">
        <v>28</v>
      </c>
      <c r="D85" s="3">
        <f t="shared" si="2"/>
        <v>0.87774294670846398</v>
      </c>
    </row>
    <row r="86" spans="1:4" x14ac:dyDescent="0.25">
      <c r="A86" t="s">
        <v>208</v>
      </c>
      <c r="B86" t="s">
        <v>32</v>
      </c>
      <c r="C86">
        <v>1</v>
      </c>
      <c r="D86" s="3">
        <f t="shared" si="2"/>
        <v>3.1347962382445145E-2</v>
      </c>
    </row>
    <row r="87" spans="1:4" x14ac:dyDescent="0.25">
      <c r="A87" t="s">
        <v>209</v>
      </c>
      <c r="B87" t="s">
        <v>32</v>
      </c>
      <c r="C87">
        <v>8</v>
      </c>
      <c r="D87" s="3">
        <f t="shared" si="2"/>
        <v>0.25078369905956116</v>
      </c>
    </row>
    <row r="88" spans="1:4" x14ac:dyDescent="0.25">
      <c r="A88" t="s">
        <v>210</v>
      </c>
      <c r="B88" t="s">
        <v>242</v>
      </c>
      <c r="C88">
        <v>50</v>
      </c>
      <c r="D88" s="3">
        <f t="shared" si="2"/>
        <v>1.5673981191222568</v>
      </c>
    </row>
    <row r="89" spans="1:4" x14ac:dyDescent="0.25">
      <c r="A89" t="s">
        <v>238</v>
      </c>
      <c r="C89">
        <f>SUM(C2:C88)</f>
        <v>3190</v>
      </c>
      <c r="D89" s="3">
        <f t="shared" si="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species</vt:lpstr>
      <vt:lpstr>Grouped by Phylum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Agga, Getahun - ARS</dc:creator>
  <cp:lastModifiedBy>Agga, Getahun - REE-ARS</cp:lastModifiedBy>
  <dcterms:created xsi:type="dcterms:W3CDTF">2023-09-20T23:04:00Z</dcterms:created>
  <dcterms:modified xsi:type="dcterms:W3CDTF">2025-03-27T14:58:33Z</dcterms:modified>
</cp:coreProperties>
</file>