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getahun_agga_usda_gov/Documents/Desktop/laptop/CRIS 2021-2026/Collaborations/JL/Air-Sound AD/Manuscript/Tables/"/>
    </mc:Choice>
  </mc:AlternateContent>
  <xr:revisionPtr revIDLastSave="112" documentId="8_{8E91389F-617F-4055-A46B-5826D570AD6A}" xr6:coauthVersionLast="47" xr6:coauthVersionMax="47" xr10:uidLastSave="{ACCD89A6-6024-44D8-A168-A304A9956EEF}"/>
  <bookViews>
    <workbookView xWindow="15270" yWindow="-12900" windowWidth="21600" windowHeight="11295" firstSheet="5" activeTab="12" xr2:uid="{53F43F61-03A6-4C33-995B-DCA3BE262223}"/>
  </bookViews>
  <sheets>
    <sheet name="MLS-All" sheetId="1" r:id="rId1"/>
    <sheet name="MLS-by treatment" sheetId="2" r:id="rId2"/>
    <sheet name="TET-by treatment" sheetId="3" r:id="rId3"/>
    <sheet name="Tetracyclines" sheetId="4" r:id="rId4"/>
    <sheet name="Aminoglycosides" sheetId="5" r:id="rId5"/>
    <sheet name="Beta-lactams" sheetId="6" r:id="rId6"/>
    <sheet name="Floroquinolones" sheetId="7" r:id="rId7"/>
    <sheet name="Folate_pathway" sheetId="8" r:id="rId8"/>
    <sheet name="Fosfomycin" sheetId="9" r:id="rId9"/>
    <sheet name="Glycopeptides" sheetId="10" r:id="rId10"/>
    <sheet name="Phenicols" sheetId="11" r:id="rId11"/>
    <sheet name="MDR" sheetId="12" r:id="rId12"/>
    <sheet name="QACs" sheetId="13" r:id="rId13"/>
  </sheets>
  <definedNames>
    <definedName name="countif">'Beta-lactams'!$R$49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1" l="1"/>
  <c r="B18" i="11"/>
  <c r="H28" i="1"/>
  <c r="H27" i="1"/>
  <c r="H26" i="1"/>
  <c r="J29" i="1"/>
  <c r="J28" i="1"/>
  <c r="J27" i="1"/>
  <c r="J26" i="1"/>
  <c r="P3" i="8"/>
  <c r="C12" i="8"/>
  <c r="K50" i="6"/>
  <c r="P52" i="5"/>
  <c r="H31" i="5"/>
  <c r="O52" i="5"/>
  <c r="O27" i="5"/>
  <c r="G31" i="5"/>
  <c r="G13" i="5"/>
  <c r="P40" i="5"/>
  <c r="O40" i="5"/>
  <c r="H22" i="5"/>
  <c r="G22" i="5"/>
  <c r="P19" i="5"/>
  <c r="O19" i="5"/>
  <c r="H8" i="5"/>
  <c r="G8" i="5"/>
  <c r="M20" i="1"/>
  <c r="M19" i="1"/>
  <c r="M17" i="1"/>
  <c r="N10" i="1"/>
  <c r="N9" i="1"/>
  <c r="L25" i="1"/>
  <c r="J25" i="1"/>
  <c r="H25" i="1"/>
  <c r="C68" i="1"/>
  <c r="D68" i="1"/>
  <c r="E68" i="1"/>
  <c r="E69" i="1" s="1"/>
  <c r="B68" i="1"/>
  <c r="D69" i="1" l="1"/>
  <c r="C69" i="1"/>
  <c r="B69" i="1"/>
</calcChain>
</file>

<file path=xl/sharedStrings.xml><?xml version="1.0" encoding="utf-8"?>
<sst xmlns="http://schemas.openxmlformats.org/spreadsheetml/2006/main" count="918" uniqueCount="359">
  <si>
    <t>Proteins</t>
  </si>
  <si>
    <t>Total</t>
  </si>
  <si>
    <t>Cfr</t>
  </si>
  <si>
    <t>Cfr(B)</t>
  </si>
  <si>
    <t>EreA</t>
  </si>
  <si>
    <t>EreB</t>
  </si>
  <si>
    <t>EreD</t>
  </si>
  <si>
    <t>Erm(33)</t>
  </si>
  <si>
    <t>Erm(35)</t>
  </si>
  <si>
    <t>Erm(36)</t>
  </si>
  <si>
    <t>Erm(38)</t>
  </si>
  <si>
    <t>Erm(39)</t>
  </si>
  <si>
    <t>Erm(40)</t>
  </si>
  <si>
    <t>Erm(42)</t>
  </si>
  <si>
    <t>Erm(43)</t>
  </si>
  <si>
    <t>Erm(46)</t>
  </si>
  <si>
    <t>Erm(47)</t>
  </si>
  <si>
    <t>Erm(A)</t>
  </si>
  <si>
    <t>Erm(B)</t>
  </si>
  <si>
    <t>Erm(C)</t>
  </si>
  <si>
    <t>Erm(D)</t>
  </si>
  <si>
    <t>Erm(F)</t>
  </si>
  <si>
    <t>Erm(G)</t>
  </si>
  <si>
    <t>Erm(Q)</t>
  </si>
  <si>
    <t>Erm(T)</t>
  </si>
  <si>
    <t>Erm(X)</t>
  </si>
  <si>
    <t>Erm(Y)</t>
  </si>
  <si>
    <t>Lnu(A)</t>
  </si>
  <si>
    <t>Lnu(AN2)</t>
  </si>
  <si>
    <t>Lnu(B)</t>
  </si>
  <si>
    <t>Lnu(C)</t>
  </si>
  <si>
    <t>Lnu(D)</t>
  </si>
  <si>
    <t>Lnu(F)</t>
  </si>
  <si>
    <t>Lnu(G)</t>
  </si>
  <si>
    <t>Lnu(P)</t>
  </si>
  <si>
    <t>Lsa</t>
  </si>
  <si>
    <t>Lsa(A)</t>
  </si>
  <si>
    <t>Lsa(B)</t>
  </si>
  <si>
    <t>Lsa(E)</t>
  </si>
  <si>
    <t>Mef(A)</t>
  </si>
  <si>
    <t>Mef(B)</t>
  </si>
  <si>
    <t>Mef(C)</t>
  </si>
  <si>
    <t>Mef(En2)</t>
  </si>
  <si>
    <t>Mph(A)</t>
  </si>
  <si>
    <t>Mph(B)</t>
  </si>
  <si>
    <t>Mph(C)</t>
  </si>
  <si>
    <t>Mph(E)</t>
  </si>
  <si>
    <t>Mph(G)</t>
  </si>
  <si>
    <t>Msr(A)</t>
  </si>
  <si>
    <t>Msr(C)</t>
  </si>
  <si>
    <t>Msr(D)</t>
  </si>
  <si>
    <t>Msr(E)</t>
  </si>
  <si>
    <t>OleD</t>
  </si>
  <si>
    <t>OptrA</t>
  </si>
  <si>
    <t>Sal(A)</t>
  </si>
  <si>
    <t>Srm(B)</t>
  </si>
  <si>
    <t>Tlr(C)</t>
  </si>
  <si>
    <t>Vat(A)</t>
  </si>
  <si>
    <t>Vat(B)</t>
  </si>
  <si>
    <t>Vat(C)</t>
  </si>
  <si>
    <t>Vat(E)</t>
  </si>
  <si>
    <t>Vat(F)</t>
  </si>
  <si>
    <t>Vat(H)</t>
  </si>
  <si>
    <t>Vga(A)</t>
  </si>
  <si>
    <t>Vga(B)</t>
  </si>
  <si>
    <t>Vga(C)</t>
  </si>
  <si>
    <t>Vga(D)</t>
  </si>
  <si>
    <t>Vga(E)</t>
  </si>
  <si>
    <t xml:space="preserve">Efflux  </t>
  </si>
  <si>
    <t>Drug inactivation</t>
  </si>
  <si>
    <t>Target modification</t>
  </si>
  <si>
    <t>%</t>
  </si>
  <si>
    <t xml:space="preserve">Protein </t>
  </si>
  <si>
    <t>Frequency</t>
  </si>
  <si>
    <t>erm</t>
  </si>
  <si>
    <t>Air</t>
  </si>
  <si>
    <t>Sound</t>
  </si>
  <si>
    <t>Control</t>
  </si>
  <si>
    <t>Efflux</t>
  </si>
  <si>
    <t>Woodchip      Total</t>
  </si>
  <si>
    <t>Woodchip</t>
  </si>
  <si>
    <t>Digestate</t>
  </si>
  <si>
    <t>Poultry l</t>
  </si>
  <si>
    <t>Initial m</t>
  </si>
  <si>
    <t>Air &amp; sound</t>
  </si>
  <si>
    <t xml:space="preserve">Sound  </t>
  </si>
  <si>
    <t xml:space="preserve">Proteins  </t>
  </si>
  <si>
    <t>Poultry litter</t>
  </si>
  <si>
    <t>Initial mix</t>
  </si>
  <si>
    <t xml:space="preserve">Woodchip      </t>
  </si>
  <si>
    <t>Tet(X)</t>
  </si>
  <si>
    <t>Drug inactivation"</t>
  </si>
  <si>
    <t>Tet(31)</t>
  </si>
  <si>
    <t>Tet(33)</t>
  </si>
  <si>
    <t>Tet(35)</t>
  </si>
  <si>
    <t>Tet(40)</t>
  </si>
  <si>
    <t>Tet(45)</t>
  </si>
  <si>
    <t>Tet(A)</t>
  </si>
  <si>
    <t>Tet(C)</t>
  </si>
  <si>
    <t>Tet(E)</t>
  </si>
  <si>
    <t>Tet(G)</t>
  </si>
  <si>
    <t>Tet(H)</t>
  </si>
  <si>
    <t>Tet(K)</t>
  </si>
  <si>
    <t>Tet(L)</t>
  </si>
  <si>
    <t>Tet(Y)</t>
  </si>
  <si>
    <t>Tet(Z)</t>
  </si>
  <si>
    <t>TetA(P)</t>
  </si>
  <si>
    <t>TetB(46)</t>
  </si>
  <si>
    <t>Target protection"</t>
  </si>
  <si>
    <t>Otr(A)</t>
  </si>
  <si>
    <t>Tet(32)</t>
  </si>
  <si>
    <t>Tet(36)</t>
  </si>
  <si>
    <t>Tet(44)</t>
  </si>
  <si>
    <t>Tet(M)</t>
  </si>
  <si>
    <t>Tet(O)</t>
  </si>
  <si>
    <t>Tet(Q)</t>
  </si>
  <si>
    <t>Tet(S)</t>
  </si>
  <si>
    <t>Tet(T)</t>
  </si>
  <si>
    <t>Tet(W)</t>
  </si>
  <si>
    <t>TetB(P)</t>
  </si>
  <si>
    <t>Tet(30)</t>
  </si>
  <si>
    <t>Tet(39)</t>
  </si>
  <si>
    <t>Tet(41)</t>
  </si>
  <si>
    <t>Tet(42)</t>
  </si>
  <si>
    <t>Tet(B)</t>
  </si>
  <si>
    <t>Tet(V)</t>
  </si>
  <si>
    <t>TetA(B)</t>
  </si>
  <si>
    <t>AAC (6')</t>
  </si>
  <si>
    <t>AAC(3)-IIIb</t>
  </si>
  <si>
    <t>AAC(3)-IIb</t>
  </si>
  <si>
    <t>AAC(3)-IV</t>
  </si>
  <si>
    <t>AAC(3)-VIa</t>
  </si>
  <si>
    <t>AAC(6')-Iai</t>
  </si>
  <si>
    <t>AAC(6')-Ie-APH(2'')..</t>
  </si>
  <si>
    <t>ANT(4')-Ia</t>
  </si>
  <si>
    <t>ANT(6)-Ia</t>
  </si>
  <si>
    <t>ANT(6)-Ib</t>
  </si>
  <si>
    <t>ANT(9)</t>
  </si>
  <si>
    <t>ANT(9)-Ia</t>
  </si>
  <si>
    <t>APH(3'')-Ib</t>
  </si>
  <si>
    <t>APH(3')-I</t>
  </si>
  <si>
    <t>APH(3')-IIIa</t>
  </si>
  <si>
    <t>APH(3')-IIa</t>
  </si>
  <si>
    <t>APH(3')-IIb</t>
  </si>
  <si>
    <t>APH(3')-Ia</t>
  </si>
  <si>
    <t>APH(3')-Id</t>
  </si>
  <si>
    <t>APH(6)-Ic</t>
  </si>
  <si>
    <t>APH(6)-Id</t>
  </si>
  <si>
    <t>AadA</t>
  </si>
  <si>
    <t>AadA1</t>
  </si>
  <si>
    <t>AadA2</t>
  </si>
  <si>
    <t>AadA3</t>
  </si>
  <si>
    <t>AadA7</t>
  </si>
  <si>
    <t>AadA9</t>
  </si>
  <si>
    <t>AadE</t>
  </si>
  <si>
    <t>AadK</t>
  </si>
  <si>
    <t>AadS</t>
  </si>
  <si>
    <t>ApmA</t>
  </si>
  <si>
    <t>Sat2</t>
  </si>
  <si>
    <t>Sat3</t>
  </si>
  <si>
    <t>Sat4</t>
  </si>
  <si>
    <t>Spw</t>
  </si>
  <si>
    <t>Str</t>
  </si>
  <si>
    <t xml:space="preserve">Proteins    </t>
  </si>
  <si>
    <t>AAC(2')-Ib</t>
  </si>
  <si>
    <t>AAC(2')-Ic</t>
  </si>
  <si>
    <t>AAC(3)-II</t>
  </si>
  <si>
    <t>AAC(3)-IIa</t>
  </si>
  <si>
    <t>AAC(3)-IVa</t>
  </si>
  <si>
    <t>AAC(3)-IXa</t>
  </si>
  <si>
    <t>AAC(3)-Ic</t>
  </si>
  <si>
    <t>AAC(3)-Ih</t>
  </si>
  <si>
    <t>AAC(3)-Ii</t>
  </si>
  <si>
    <t>AAC(3)-VIIa</t>
  </si>
  <si>
    <t>AAC(6')-Ib</t>
  </si>
  <si>
    <t>AAC(6')-Im</t>
  </si>
  <si>
    <t>ANT(3'')-Ij-AAC(6')..</t>
  </si>
  <si>
    <t>ANT(4')-Ib</t>
  </si>
  <si>
    <t>ANT(9)-Ib</t>
  </si>
  <si>
    <t>APH(2'')-IIIa</t>
  </si>
  <si>
    <t>APH(2'')-IIa</t>
  </si>
  <si>
    <t>APH(3')-VI</t>
  </si>
  <si>
    <t>APH(4)-Ia</t>
  </si>
  <si>
    <t>APH(6)-Ia</t>
  </si>
  <si>
    <t>AadA10</t>
  </si>
  <si>
    <t>AadA4</t>
  </si>
  <si>
    <t>AadA5</t>
  </si>
  <si>
    <t>AadA6</t>
  </si>
  <si>
    <t>BCL-1</t>
  </si>
  <si>
    <t>BSU-1</t>
  </si>
  <si>
    <t>BlaEC</t>
  </si>
  <si>
    <t>BlaP</t>
  </si>
  <si>
    <t>CTX-M-204</t>
  </si>
  <si>
    <t>CTX-M-23</t>
  </si>
  <si>
    <t>CTX-M-58</t>
  </si>
  <si>
    <t>CTX-M-84</t>
  </si>
  <si>
    <t>CepA</t>
  </si>
  <si>
    <t>CfiA10</t>
  </si>
  <si>
    <t>CfxA</t>
  </si>
  <si>
    <t>CfxA4</t>
  </si>
  <si>
    <t>CfxA5</t>
  </si>
  <si>
    <t>DES-1</t>
  </si>
  <si>
    <t>EC-5</t>
  </si>
  <si>
    <t>OKP-B</t>
  </si>
  <si>
    <t>OXA-347</t>
  </si>
  <si>
    <t>SHV-41</t>
  </si>
  <si>
    <t>TER-2</t>
  </si>
  <si>
    <t>Unidentified</t>
  </si>
  <si>
    <t>AIM-1</t>
  </si>
  <si>
    <t>AST-1</t>
  </si>
  <si>
    <t>BKC-1</t>
  </si>
  <si>
    <t>BcII</t>
  </si>
  <si>
    <t>BlaR1</t>
  </si>
  <si>
    <t>BlaZ</t>
  </si>
  <si>
    <t>CARB-1</t>
  </si>
  <si>
    <t>CAU-1</t>
  </si>
  <si>
    <t>CGA-1</t>
  </si>
  <si>
    <t>CME-1</t>
  </si>
  <si>
    <t>ESP-1</t>
  </si>
  <si>
    <t>GOB-12</t>
  </si>
  <si>
    <t>GOB-13</t>
  </si>
  <si>
    <t>GOB-14</t>
  </si>
  <si>
    <t>GOB-16</t>
  </si>
  <si>
    <t>GOB-7</t>
  </si>
  <si>
    <t>LRA-12</t>
  </si>
  <si>
    <t>OXA-134</t>
  </si>
  <si>
    <t>OXA-18</t>
  </si>
  <si>
    <t>OXA-276</t>
  </si>
  <si>
    <t>OXA-277</t>
  </si>
  <si>
    <t>OXA-280</t>
  </si>
  <si>
    <t>OXA-282</t>
  </si>
  <si>
    <t>OXA-283</t>
  </si>
  <si>
    <t>OXA-3</t>
  </si>
  <si>
    <t>OXA-335</t>
  </si>
  <si>
    <t>OXA-360</t>
  </si>
  <si>
    <t>OXA-361</t>
  </si>
  <si>
    <t>OXA-362</t>
  </si>
  <si>
    <t>OXA-363</t>
  </si>
  <si>
    <t>OXA-396</t>
  </si>
  <si>
    <t>OXA-443</t>
  </si>
  <si>
    <t>OXA-485</t>
  </si>
  <si>
    <t>OXA-537</t>
  </si>
  <si>
    <t>OXA-539</t>
  </si>
  <si>
    <t>PDC-114</t>
  </si>
  <si>
    <t>Rm3</t>
  </si>
  <si>
    <t>SGM-1</t>
  </si>
  <si>
    <t>SGM-6</t>
  </si>
  <si>
    <t>THIN-B</t>
  </si>
  <si>
    <t>QepA</t>
  </si>
  <si>
    <t>QepA1</t>
  </si>
  <si>
    <t>QepA2</t>
  </si>
  <si>
    <t>DfrD</t>
  </si>
  <si>
    <t>DfrF</t>
  </si>
  <si>
    <t>DfrG</t>
  </si>
  <si>
    <t>DfrK</t>
  </si>
  <si>
    <t>Sul1</t>
  </si>
  <si>
    <t>Sul2</t>
  </si>
  <si>
    <t>Sul3</t>
  </si>
  <si>
    <t>DfrA1</t>
  </si>
  <si>
    <t>DfrA15</t>
  </si>
  <si>
    <t>DfrC</t>
  </si>
  <si>
    <t>dfr genes</t>
  </si>
  <si>
    <t>dfr</t>
  </si>
  <si>
    <t>FomA</t>
  </si>
  <si>
    <t>FomB</t>
  </si>
  <si>
    <t>FosB</t>
  </si>
  <si>
    <t>FosB2</t>
  </si>
  <si>
    <t>FosB6</t>
  </si>
  <si>
    <t>FosBx1</t>
  </si>
  <si>
    <t>FosD</t>
  </si>
  <si>
    <t>FosX</t>
  </si>
  <si>
    <t>FosX/FosE/FosI</t>
  </si>
  <si>
    <t>FosB1</t>
  </si>
  <si>
    <t>FosB3</t>
  </si>
  <si>
    <t>FosB5</t>
  </si>
  <si>
    <t>FosE</t>
  </si>
  <si>
    <t>FosF</t>
  </si>
  <si>
    <t>FosK</t>
  </si>
  <si>
    <t>BLMT</t>
  </si>
  <si>
    <t>VanA</t>
  </si>
  <si>
    <t>VanA-Ao2</t>
  </si>
  <si>
    <t>VanA-Pt</t>
  </si>
  <si>
    <t>VanA-Sc</t>
  </si>
  <si>
    <t>VanB</t>
  </si>
  <si>
    <t>VanG</t>
  </si>
  <si>
    <t>VanG/VanR</t>
  </si>
  <si>
    <t>VanG2</t>
  </si>
  <si>
    <t>VanH</t>
  </si>
  <si>
    <t>VanH-Ac1</t>
  </si>
  <si>
    <t>VanH-E</t>
  </si>
  <si>
    <t>VanI</t>
  </si>
  <si>
    <t>VanR</t>
  </si>
  <si>
    <t>VanS</t>
  </si>
  <si>
    <t>VanS-B-Delta</t>
  </si>
  <si>
    <t>VanW</t>
  </si>
  <si>
    <t>VanW-B</t>
  </si>
  <si>
    <t>VanW-G</t>
  </si>
  <si>
    <t>VanX-A</t>
  </si>
  <si>
    <t>VanX-Ao1</t>
  </si>
  <si>
    <t>VanX-B</t>
  </si>
  <si>
    <t>VanX-O</t>
  </si>
  <si>
    <t>VanX-Pt</t>
  </si>
  <si>
    <t>VanX-Sc</t>
  </si>
  <si>
    <t>VanXY-G</t>
  </si>
  <si>
    <t>VanY-A</t>
  </si>
  <si>
    <t>VanY-F</t>
  </si>
  <si>
    <t>VanY-G1</t>
  </si>
  <si>
    <t>VanY-M</t>
  </si>
  <si>
    <t>VanT</t>
  </si>
  <si>
    <t>VanT-G</t>
  </si>
  <si>
    <t>VanXY-G2</t>
  </si>
  <si>
    <t>lsa</t>
  </si>
  <si>
    <t>mef</t>
  </si>
  <si>
    <t>vga</t>
  </si>
  <si>
    <t>total 3</t>
  </si>
  <si>
    <t>lnu</t>
  </si>
  <si>
    <t>mph</t>
  </si>
  <si>
    <t>vat</t>
  </si>
  <si>
    <t>Cat</t>
  </si>
  <si>
    <t>Cat-TC</t>
  </si>
  <si>
    <t>CatA15</t>
  </si>
  <si>
    <t>CatB1</t>
  </si>
  <si>
    <t>CatB3</t>
  </si>
  <si>
    <t>CatB6</t>
  </si>
  <si>
    <t>CatB7</t>
  </si>
  <si>
    <t>CatB8</t>
  </si>
  <si>
    <t>CatQ</t>
  </si>
  <si>
    <t>Cmx</t>
  </si>
  <si>
    <t>FexA</t>
  </si>
  <si>
    <t>FloR</t>
  </si>
  <si>
    <t>CatB8-AAC(6')-Ib</t>
  </si>
  <si>
    <t>CatB2</t>
  </si>
  <si>
    <t>CatB9</t>
  </si>
  <si>
    <t>CmlA</t>
  </si>
  <si>
    <t>CmlB1</t>
  </si>
  <si>
    <t>EstDL136</t>
  </si>
  <si>
    <t>cat</t>
  </si>
  <si>
    <t>OqxB12</t>
  </si>
  <si>
    <t>OqxB2</t>
  </si>
  <si>
    <t>OqxB23</t>
  </si>
  <si>
    <t>OqxB24</t>
  </si>
  <si>
    <t>OqxB26</t>
  </si>
  <si>
    <t>OqxB28</t>
  </si>
  <si>
    <t>OqxB3</t>
  </si>
  <si>
    <t>Smr</t>
  </si>
  <si>
    <t>MexX</t>
  </si>
  <si>
    <t>OqxB31</t>
  </si>
  <si>
    <t>OqxB7</t>
  </si>
  <si>
    <t>QacA</t>
  </si>
  <si>
    <t>QacB</t>
  </si>
  <si>
    <t>QacE</t>
  </si>
  <si>
    <t>QacE delta 1</t>
  </si>
  <si>
    <t>QacK</t>
  </si>
  <si>
    <t>Qac-pB8</t>
  </si>
  <si>
    <t>QacC</t>
  </si>
  <si>
    <t>QacF</t>
  </si>
  <si>
    <t>QacG2</t>
  </si>
  <si>
    <t>QacH</t>
  </si>
  <si>
    <t>QacL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</si>
</sst>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E89-20A9-423F-B1F4-BC2E9BADBAA7}">
  <dimension ref="A1:N69"/>
  <sheetViews>
    <sheetView zoomScale="140" zoomScaleNormal="140" workbookViewId="0">
      <pane ySplit="1" topLeftCell="A14" activePane="bottomLeft" state="frozen"/>
      <selection pane="bottomLeft" activeCell="K33" sqref="K33"/>
    </sheetView>
  </sheetViews>
  <sheetFormatPr defaultRowHeight="15" x14ac:dyDescent="0.25"/>
  <cols>
    <col min="1" max="1" width="12.85546875" customWidth="1"/>
    <col min="2" max="2" width="16.42578125" customWidth="1"/>
    <col min="3" max="3" width="11.28515625" customWidth="1"/>
    <col min="4" max="4" width="18.7109375" customWidth="1"/>
    <col min="7" max="7" width="11.5703125" customWidth="1"/>
    <col min="8" max="8" width="10" customWidth="1"/>
    <col min="9" max="9" width="8.85546875" customWidth="1"/>
    <col min="10" max="10" width="10" customWidth="1"/>
  </cols>
  <sheetData>
    <row r="1" spans="1:14" x14ac:dyDescent="0.25">
      <c r="A1" s="2" t="s">
        <v>0</v>
      </c>
      <c r="B1" s="2" t="s">
        <v>69</v>
      </c>
      <c r="C1" s="2" t="s">
        <v>68</v>
      </c>
      <c r="D1" s="2" t="s">
        <v>70</v>
      </c>
      <c r="E1" s="2" t="s">
        <v>1</v>
      </c>
      <c r="G1" s="10" t="s">
        <v>69</v>
      </c>
      <c r="H1" s="10"/>
      <c r="I1" s="10" t="s">
        <v>68</v>
      </c>
      <c r="J1" s="10"/>
      <c r="K1" s="10" t="s">
        <v>70</v>
      </c>
      <c r="L1" s="10"/>
    </row>
    <row r="2" spans="1:14" x14ac:dyDescent="0.25">
      <c r="A2" s="3" t="s">
        <v>2</v>
      </c>
      <c r="B2">
        <v>0</v>
      </c>
      <c r="C2">
        <v>0</v>
      </c>
      <c r="D2" s="3">
        <v>11</v>
      </c>
      <c r="E2">
        <v>11</v>
      </c>
      <c r="G2" t="s">
        <v>72</v>
      </c>
      <c r="H2" t="s">
        <v>73</v>
      </c>
      <c r="I2" t="s">
        <v>72</v>
      </c>
      <c r="J2" t="s">
        <v>73</v>
      </c>
      <c r="K2" t="s">
        <v>72</v>
      </c>
      <c r="L2" t="s">
        <v>73</v>
      </c>
    </row>
    <row r="3" spans="1:14" x14ac:dyDescent="0.25">
      <c r="A3" s="3" t="s">
        <v>3</v>
      </c>
      <c r="B3">
        <v>0</v>
      </c>
      <c r="C3">
        <v>0</v>
      </c>
      <c r="D3" s="3">
        <v>13</v>
      </c>
      <c r="E3">
        <v>13</v>
      </c>
      <c r="G3" t="s">
        <v>4</v>
      </c>
      <c r="H3">
        <v>1</v>
      </c>
      <c r="I3" t="s">
        <v>35</v>
      </c>
      <c r="J3">
        <v>3</v>
      </c>
      <c r="K3" s="3" t="s">
        <v>2</v>
      </c>
      <c r="L3" s="3">
        <v>11</v>
      </c>
    </row>
    <row r="4" spans="1:14" x14ac:dyDescent="0.25">
      <c r="A4" t="s">
        <v>4</v>
      </c>
      <c r="B4">
        <v>1</v>
      </c>
      <c r="C4">
        <v>0</v>
      </c>
      <c r="D4">
        <v>0</v>
      </c>
      <c r="E4">
        <v>1</v>
      </c>
      <c r="G4" t="s">
        <v>5</v>
      </c>
      <c r="H4">
        <v>4</v>
      </c>
      <c r="I4" t="s">
        <v>36</v>
      </c>
      <c r="J4">
        <v>3</v>
      </c>
      <c r="K4" s="3" t="s">
        <v>3</v>
      </c>
      <c r="L4" s="3">
        <v>13</v>
      </c>
    </row>
    <row r="5" spans="1:14" x14ac:dyDescent="0.25">
      <c r="A5" t="s">
        <v>5</v>
      </c>
      <c r="B5">
        <v>4</v>
      </c>
      <c r="C5">
        <v>0</v>
      </c>
      <c r="D5">
        <v>0</v>
      </c>
      <c r="E5">
        <v>4</v>
      </c>
      <c r="G5" t="s">
        <v>6</v>
      </c>
      <c r="H5">
        <v>3</v>
      </c>
      <c r="I5" t="s">
        <v>37</v>
      </c>
      <c r="J5">
        <v>17</v>
      </c>
      <c r="K5" t="s">
        <v>7</v>
      </c>
      <c r="L5">
        <v>13</v>
      </c>
    </row>
    <row r="6" spans="1:14" x14ac:dyDescent="0.25">
      <c r="A6" t="s">
        <v>6</v>
      </c>
      <c r="B6">
        <v>3</v>
      </c>
      <c r="C6">
        <v>0</v>
      </c>
      <c r="D6">
        <v>0</v>
      </c>
      <c r="E6">
        <v>3</v>
      </c>
      <c r="G6" t="s">
        <v>27</v>
      </c>
      <c r="H6">
        <v>65</v>
      </c>
      <c r="I6" t="s">
        <v>38</v>
      </c>
      <c r="J6">
        <v>21</v>
      </c>
      <c r="K6" t="s">
        <v>8</v>
      </c>
      <c r="L6">
        <v>11</v>
      </c>
    </row>
    <row r="7" spans="1:14" x14ac:dyDescent="0.25">
      <c r="A7" t="s">
        <v>7</v>
      </c>
      <c r="B7">
        <v>0</v>
      </c>
      <c r="C7">
        <v>0</v>
      </c>
      <c r="D7">
        <v>13</v>
      </c>
      <c r="E7">
        <v>13</v>
      </c>
      <c r="G7" t="s">
        <v>28</v>
      </c>
      <c r="H7">
        <v>10</v>
      </c>
      <c r="I7" t="s">
        <v>39</v>
      </c>
      <c r="J7">
        <v>94</v>
      </c>
      <c r="K7" t="s">
        <v>9</v>
      </c>
      <c r="L7">
        <v>16</v>
      </c>
    </row>
    <row r="8" spans="1:14" x14ac:dyDescent="0.25">
      <c r="A8" t="s">
        <v>8</v>
      </c>
      <c r="B8">
        <v>0</v>
      </c>
      <c r="C8">
        <v>0</v>
      </c>
      <c r="D8">
        <v>11</v>
      </c>
      <c r="E8">
        <v>11</v>
      </c>
      <c r="G8" t="s">
        <v>29</v>
      </c>
      <c r="H8">
        <v>31</v>
      </c>
      <c r="I8" t="s">
        <v>40</v>
      </c>
      <c r="J8">
        <v>16</v>
      </c>
      <c r="K8" t="s">
        <v>10</v>
      </c>
      <c r="L8">
        <v>5</v>
      </c>
    </row>
    <row r="9" spans="1:14" x14ac:dyDescent="0.25">
      <c r="A9" t="s">
        <v>9</v>
      </c>
      <c r="B9">
        <v>0</v>
      </c>
      <c r="C9">
        <v>0</v>
      </c>
      <c r="D9">
        <v>16</v>
      </c>
      <c r="E9">
        <v>16</v>
      </c>
      <c r="G9" t="s">
        <v>30</v>
      </c>
      <c r="H9">
        <v>17</v>
      </c>
      <c r="I9" t="s">
        <v>41</v>
      </c>
      <c r="J9">
        <v>1</v>
      </c>
      <c r="K9" t="s">
        <v>11</v>
      </c>
      <c r="L9">
        <v>13</v>
      </c>
      <c r="M9" t="s">
        <v>74</v>
      </c>
      <c r="N9">
        <f>SUM(L5:L24)</f>
        <v>308</v>
      </c>
    </row>
    <row r="10" spans="1:14" x14ac:dyDescent="0.25">
      <c r="A10" t="s">
        <v>10</v>
      </c>
      <c r="B10">
        <v>0</v>
      </c>
      <c r="C10">
        <v>0</v>
      </c>
      <c r="D10">
        <v>5</v>
      </c>
      <c r="E10">
        <v>5</v>
      </c>
      <c r="G10" t="s">
        <v>31</v>
      </c>
      <c r="H10">
        <v>21</v>
      </c>
      <c r="I10" t="s">
        <v>42</v>
      </c>
      <c r="J10">
        <v>15</v>
      </c>
      <c r="K10" t="s">
        <v>12</v>
      </c>
      <c r="L10">
        <v>13</v>
      </c>
      <c r="N10">
        <f>(N9/L25)*100</f>
        <v>92.771084337349393</v>
      </c>
    </row>
    <row r="11" spans="1:14" x14ac:dyDescent="0.25">
      <c r="A11" t="s">
        <v>11</v>
      </c>
      <c r="B11">
        <v>0</v>
      </c>
      <c r="C11">
        <v>0</v>
      </c>
      <c r="D11">
        <v>13</v>
      </c>
      <c r="E11">
        <v>13</v>
      </c>
      <c r="G11" t="s">
        <v>32</v>
      </c>
      <c r="H11">
        <v>20</v>
      </c>
      <c r="I11" t="s">
        <v>48</v>
      </c>
      <c r="J11">
        <v>4</v>
      </c>
      <c r="K11" t="s">
        <v>13</v>
      </c>
      <c r="L11">
        <v>14</v>
      </c>
    </row>
    <row r="12" spans="1:14" x14ac:dyDescent="0.25">
      <c r="A12" t="s">
        <v>12</v>
      </c>
      <c r="B12">
        <v>0</v>
      </c>
      <c r="C12">
        <v>0</v>
      </c>
      <c r="D12">
        <v>13</v>
      </c>
      <c r="E12">
        <v>13</v>
      </c>
      <c r="G12" t="s">
        <v>33</v>
      </c>
      <c r="H12">
        <v>20</v>
      </c>
      <c r="I12" t="s">
        <v>49</v>
      </c>
      <c r="J12">
        <v>4</v>
      </c>
      <c r="K12" t="s">
        <v>14</v>
      </c>
      <c r="L12">
        <v>2</v>
      </c>
    </row>
    <row r="13" spans="1:14" x14ac:dyDescent="0.25">
      <c r="A13" t="s">
        <v>13</v>
      </c>
      <c r="B13">
        <v>0</v>
      </c>
      <c r="C13">
        <v>0</v>
      </c>
      <c r="D13">
        <v>14</v>
      </c>
      <c r="E13">
        <v>14</v>
      </c>
      <c r="G13" t="s">
        <v>34</v>
      </c>
      <c r="H13">
        <v>15</v>
      </c>
      <c r="I13" t="s">
        <v>50</v>
      </c>
      <c r="J13">
        <v>32</v>
      </c>
      <c r="K13" t="s">
        <v>15</v>
      </c>
      <c r="L13">
        <v>9</v>
      </c>
    </row>
    <row r="14" spans="1:14" x14ac:dyDescent="0.25">
      <c r="A14" t="s">
        <v>14</v>
      </c>
      <c r="B14">
        <v>0</v>
      </c>
      <c r="C14">
        <v>0</v>
      </c>
      <c r="D14">
        <v>2</v>
      </c>
      <c r="E14">
        <v>2</v>
      </c>
      <c r="G14" t="s">
        <v>43</v>
      </c>
      <c r="H14">
        <v>1</v>
      </c>
      <c r="I14" t="s">
        <v>51</v>
      </c>
      <c r="J14">
        <v>3</v>
      </c>
      <c r="K14" t="s">
        <v>16</v>
      </c>
      <c r="L14">
        <v>14</v>
      </c>
    </row>
    <row r="15" spans="1:14" x14ac:dyDescent="0.25">
      <c r="A15" t="s">
        <v>15</v>
      </c>
      <c r="B15">
        <v>0</v>
      </c>
      <c r="C15">
        <v>0</v>
      </c>
      <c r="D15">
        <v>9</v>
      </c>
      <c r="E15">
        <v>9</v>
      </c>
      <c r="G15" t="s">
        <v>44</v>
      </c>
      <c r="H15">
        <v>17</v>
      </c>
      <c r="I15" t="s">
        <v>52</v>
      </c>
      <c r="J15">
        <v>4</v>
      </c>
      <c r="K15" t="s">
        <v>17</v>
      </c>
      <c r="L15">
        <v>16</v>
      </c>
    </row>
    <row r="16" spans="1:14" x14ac:dyDescent="0.25">
      <c r="A16" t="s">
        <v>16</v>
      </c>
      <c r="B16">
        <v>0</v>
      </c>
      <c r="C16">
        <v>0</v>
      </c>
      <c r="D16">
        <v>14</v>
      </c>
      <c r="E16">
        <v>14</v>
      </c>
      <c r="G16" t="s">
        <v>45</v>
      </c>
      <c r="H16">
        <v>12</v>
      </c>
      <c r="I16" t="s">
        <v>53</v>
      </c>
      <c r="J16">
        <v>6</v>
      </c>
      <c r="K16" t="s">
        <v>18</v>
      </c>
      <c r="L16">
        <v>23</v>
      </c>
    </row>
    <row r="17" spans="1:13" x14ac:dyDescent="0.25">
      <c r="A17" t="s">
        <v>17</v>
      </c>
      <c r="B17">
        <v>0</v>
      </c>
      <c r="C17">
        <v>0</v>
      </c>
      <c r="D17">
        <v>16</v>
      </c>
      <c r="E17">
        <v>16</v>
      </c>
      <c r="G17" t="s">
        <v>46</v>
      </c>
      <c r="H17">
        <v>2</v>
      </c>
      <c r="I17" t="s">
        <v>54</v>
      </c>
      <c r="J17">
        <v>1</v>
      </c>
      <c r="K17" t="s">
        <v>19</v>
      </c>
      <c r="L17">
        <v>47</v>
      </c>
      <c r="M17">
        <f>(47/308)*100</f>
        <v>15.259740259740258</v>
      </c>
    </row>
    <row r="18" spans="1:13" x14ac:dyDescent="0.25">
      <c r="A18" t="s">
        <v>18</v>
      </c>
      <c r="B18">
        <v>0</v>
      </c>
      <c r="C18">
        <v>0</v>
      </c>
      <c r="D18">
        <v>23</v>
      </c>
      <c r="E18">
        <v>23</v>
      </c>
      <c r="G18" t="s">
        <v>47</v>
      </c>
      <c r="H18">
        <v>1</v>
      </c>
      <c r="I18" t="s">
        <v>55</v>
      </c>
      <c r="J18">
        <v>1</v>
      </c>
      <c r="K18" t="s">
        <v>20</v>
      </c>
      <c r="L18">
        <v>6</v>
      </c>
    </row>
    <row r="19" spans="1:13" x14ac:dyDescent="0.25">
      <c r="A19" t="s">
        <v>19</v>
      </c>
      <c r="B19">
        <v>0</v>
      </c>
      <c r="C19">
        <v>0</v>
      </c>
      <c r="D19">
        <v>47</v>
      </c>
      <c r="E19">
        <v>47</v>
      </c>
      <c r="G19" t="s">
        <v>57</v>
      </c>
      <c r="H19">
        <v>1</v>
      </c>
      <c r="I19" t="s">
        <v>56</v>
      </c>
      <c r="J19">
        <v>2</v>
      </c>
      <c r="K19" t="s">
        <v>21</v>
      </c>
      <c r="L19">
        <v>29</v>
      </c>
      <c r="M19">
        <f>(29/308)*100</f>
        <v>9.4155844155844157</v>
      </c>
    </row>
    <row r="20" spans="1:13" x14ac:dyDescent="0.25">
      <c r="A20" t="s">
        <v>20</v>
      </c>
      <c r="B20">
        <v>0</v>
      </c>
      <c r="C20">
        <v>0</v>
      </c>
      <c r="D20">
        <v>6</v>
      </c>
      <c r="E20">
        <v>6</v>
      </c>
      <c r="G20" t="s">
        <v>58</v>
      </c>
      <c r="H20">
        <v>21</v>
      </c>
      <c r="I20" t="s">
        <v>63</v>
      </c>
      <c r="J20">
        <v>22</v>
      </c>
      <c r="K20" t="s">
        <v>22</v>
      </c>
      <c r="L20">
        <v>27</v>
      </c>
      <c r="M20">
        <f>(27/308)*100</f>
        <v>8.7662337662337659</v>
      </c>
    </row>
    <row r="21" spans="1:13" x14ac:dyDescent="0.25">
      <c r="A21" t="s">
        <v>21</v>
      </c>
      <c r="B21">
        <v>0</v>
      </c>
      <c r="C21">
        <v>0</v>
      </c>
      <c r="D21">
        <v>29</v>
      </c>
      <c r="E21">
        <v>29</v>
      </c>
      <c r="G21" t="s">
        <v>59</v>
      </c>
      <c r="H21">
        <v>4</v>
      </c>
      <c r="I21" t="s">
        <v>64</v>
      </c>
      <c r="J21">
        <v>5</v>
      </c>
      <c r="K21" t="s">
        <v>23</v>
      </c>
      <c r="L21">
        <v>2</v>
      </c>
    </row>
    <row r="22" spans="1:13" x14ac:dyDescent="0.25">
      <c r="A22" t="s">
        <v>22</v>
      </c>
      <c r="B22">
        <v>0</v>
      </c>
      <c r="C22">
        <v>0</v>
      </c>
      <c r="D22">
        <v>27</v>
      </c>
      <c r="E22">
        <v>27</v>
      </c>
      <c r="G22" t="s">
        <v>60</v>
      </c>
      <c r="H22">
        <v>2</v>
      </c>
      <c r="I22" t="s">
        <v>65</v>
      </c>
      <c r="J22">
        <v>16</v>
      </c>
      <c r="K22" t="s">
        <v>24</v>
      </c>
      <c r="L22">
        <v>14</v>
      </c>
    </row>
    <row r="23" spans="1:13" x14ac:dyDescent="0.25">
      <c r="A23" t="s">
        <v>23</v>
      </c>
      <c r="B23">
        <v>0</v>
      </c>
      <c r="C23">
        <v>0</v>
      </c>
      <c r="D23">
        <v>2</v>
      </c>
      <c r="E23">
        <v>2</v>
      </c>
      <c r="G23" t="s">
        <v>61</v>
      </c>
      <c r="H23">
        <v>8</v>
      </c>
      <c r="I23" t="s">
        <v>66</v>
      </c>
      <c r="J23">
        <v>16</v>
      </c>
      <c r="K23" t="s">
        <v>25</v>
      </c>
      <c r="L23">
        <v>27</v>
      </c>
    </row>
    <row r="24" spans="1:13" x14ac:dyDescent="0.25">
      <c r="A24" t="s">
        <v>24</v>
      </c>
      <c r="B24">
        <v>0</v>
      </c>
      <c r="C24">
        <v>0</v>
      </c>
      <c r="D24">
        <v>14</v>
      </c>
      <c r="E24">
        <v>14</v>
      </c>
      <c r="G24" t="s">
        <v>62</v>
      </c>
      <c r="H24">
        <v>7</v>
      </c>
      <c r="I24" t="s">
        <v>67</v>
      </c>
      <c r="J24">
        <v>14</v>
      </c>
      <c r="K24" t="s">
        <v>26</v>
      </c>
      <c r="L24">
        <v>7</v>
      </c>
    </row>
    <row r="25" spans="1:13" x14ac:dyDescent="0.25">
      <c r="A25" t="s">
        <v>25</v>
      </c>
      <c r="B25">
        <v>0</v>
      </c>
      <c r="C25">
        <v>0</v>
      </c>
      <c r="D25">
        <v>27</v>
      </c>
      <c r="E25">
        <v>27</v>
      </c>
      <c r="H25">
        <f>SUM(H3:H24)</f>
        <v>283</v>
      </c>
      <c r="J25">
        <f>SUM(J3:J24)</f>
        <v>300</v>
      </c>
      <c r="L25">
        <f>SUM(L3:L24)</f>
        <v>332</v>
      </c>
    </row>
    <row r="26" spans="1:13" x14ac:dyDescent="0.25">
      <c r="A26" t="s">
        <v>26</v>
      </c>
      <c r="B26">
        <v>0</v>
      </c>
      <c r="C26">
        <v>0</v>
      </c>
      <c r="D26">
        <v>7</v>
      </c>
      <c r="E26">
        <v>7</v>
      </c>
      <c r="G26" t="s">
        <v>315</v>
      </c>
      <c r="H26">
        <f>SUM(H6:H13)</f>
        <v>199</v>
      </c>
      <c r="I26" t="s">
        <v>311</v>
      </c>
      <c r="J26">
        <f>SUM(J3:J6)</f>
        <v>44</v>
      </c>
    </row>
    <row r="27" spans="1:13" x14ac:dyDescent="0.25">
      <c r="A27" t="s">
        <v>27</v>
      </c>
      <c r="B27">
        <v>65</v>
      </c>
      <c r="C27">
        <v>0</v>
      </c>
      <c r="D27">
        <v>0</v>
      </c>
      <c r="E27">
        <v>65</v>
      </c>
      <c r="G27" t="s">
        <v>316</v>
      </c>
      <c r="H27">
        <f>SUM(H14:H18)</f>
        <v>33</v>
      </c>
      <c r="I27" t="s">
        <v>312</v>
      </c>
      <c r="J27">
        <f>SUM(J7:J10)</f>
        <v>126</v>
      </c>
    </row>
    <row r="28" spans="1:13" x14ac:dyDescent="0.25">
      <c r="A28" t="s">
        <v>28</v>
      </c>
      <c r="B28">
        <v>10</v>
      </c>
      <c r="C28">
        <v>0</v>
      </c>
      <c r="D28">
        <v>0</v>
      </c>
      <c r="E28">
        <v>10</v>
      </c>
      <c r="G28" t="s">
        <v>317</v>
      </c>
      <c r="H28">
        <f>SUM(H19:H24)</f>
        <v>43</v>
      </c>
      <c r="I28" t="s">
        <v>313</v>
      </c>
      <c r="J28">
        <f>SUM(J20:J24)</f>
        <v>73</v>
      </c>
    </row>
    <row r="29" spans="1:13" x14ac:dyDescent="0.25">
      <c r="A29" t="s">
        <v>29</v>
      </c>
      <c r="B29">
        <v>31</v>
      </c>
      <c r="C29">
        <v>0</v>
      </c>
      <c r="D29">
        <v>0</v>
      </c>
      <c r="E29">
        <v>31</v>
      </c>
      <c r="I29" t="s">
        <v>314</v>
      </c>
      <c r="J29">
        <f>SUM(J26:J28)</f>
        <v>243</v>
      </c>
    </row>
    <row r="30" spans="1:13" x14ac:dyDescent="0.25">
      <c r="A30" t="s">
        <v>30</v>
      </c>
      <c r="B30">
        <v>17</v>
      </c>
      <c r="C30">
        <v>0</v>
      </c>
      <c r="D30">
        <v>0</v>
      </c>
      <c r="E30">
        <v>17</v>
      </c>
    </row>
    <row r="31" spans="1:13" x14ac:dyDescent="0.25">
      <c r="A31" t="s">
        <v>31</v>
      </c>
      <c r="B31">
        <v>21</v>
      </c>
      <c r="C31">
        <v>0</v>
      </c>
      <c r="D31">
        <v>0</v>
      </c>
      <c r="E31">
        <v>21</v>
      </c>
    </row>
    <row r="32" spans="1:13" x14ac:dyDescent="0.25">
      <c r="A32" t="s">
        <v>32</v>
      </c>
      <c r="B32">
        <v>20</v>
      </c>
      <c r="C32">
        <v>0</v>
      </c>
      <c r="D32">
        <v>0</v>
      </c>
      <c r="E32">
        <v>20</v>
      </c>
    </row>
    <row r="33" spans="1:5" x14ac:dyDescent="0.25">
      <c r="A33" t="s">
        <v>33</v>
      </c>
      <c r="B33">
        <v>20</v>
      </c>
      <c r="C33">
        <v>0</v>
      </c>
      <c r="D33">
        <v>0</v>
      </c>
      <c r="E33">
        <v>20</v>
      </c>
    </row>
    <row r="34" spans="1:5" x14ac:dyDescent="0.25">
      <c r="A34" t="s">
        <v>34</v>
      </c>
      <c r="B34">
        <v>15</v>
      </c>
      <c r="C34">
        <v>0</v>
      </c>
      <c r="D34">
        <v>0</v>
      </c>
      <c r="E34">
        <v>15</v>
      </c>
    </row>
    <row r="35" spans="1:5" x14ac:dyDescent="0.25">
      <c r="A35" t="s">
        <v>35</v>
      </c>
      <c r="B35">
        <v>0</v>
      </c>
      <c r="C35">
        <v>3</v>
      </c>
      <c r="D35">
        <v>0</v>
      </c>
      <c r="E35">
        <v>3</v>
      </c>
    </row>
    <row r="36" spans="1:5" x14ac:dyDescent="0.25">
      <c r="A36" t="s">
        <v>36</v>
      </c>
      <c r="B36">
        <v>0</v>
      </c>
      <c r="C36">
        <v>3</v>
      </c>
      <c r="D36">
        <v>0</v>
      </c>
      <c r="E36">
        <v>3</v>
      </c>
    </row>
    <row r="37" spans="1:5" x14ac:dyDescent="0.25">
      <c r="A37" t="s">
        <v>37</v>
      </c>
      <c r="B37">
        <v>0</v>
      </c>
      <c r="C37">
        <v>17</v>
      </c>
      <c r="D37">
        <v>0</v>
      </c>
      <c r="E37">
        <v>17</v>
      </c>
    </row>
    <row r="38" spans="1:5" x14ac:dyDescent="0.25">
      <c r="A38" t="s">
        <v>38</v>
      </c>
      <c r="B38">
        <v>0</v>
      </c>
      <c r="C38">
        <v>21</v>
      </c>
      <c r="D38">
        <v>0</v>
      </c>
      <c r="E38">
        <v>21</v>
      </c>
    </row>
    <row r="39" spans="1:5" x14ac:dyDescent="0.25">
      <c r="A39" t="s">
        <v>39</v>
      </c>
      <c r="B39">
        <v>0</v>
      </c>
      <c r="C39">
        <v>94</v>
      </c>
      <c r="D39">
        <v>0</v>
      </c>
      <c r="E39">
        <v>94</v>
      </c>
    </row>
    <row r="40" spans="1:5" x14ac:dyDescent="0.25">
      <c r="A40" t="s">
        <v>40</v>
      </c>
      <c r="B40">
        <v>0</v>
      </c>
      <c r="C40">
        <v>16</v>
      </c>
      <c r="D40">
        <v>0</v>
      </c>
      <c r="E40">
        <v>16</v>
      </c>
    </row>
    <row r="41" spans="1:5" x14ac:dyDescent="0.25">
      <c r="A41" t="s">
        <v>41</v>
      </c>
      <c r="B41">
        <v>0</v>
      </c>
      <c r="C41">
        <v>1</v>
      </c>
      <c r="D41">
        <v>0</v>
      </c>
      <c r="E41">
        <v>1</v>
      </c>
    </row>
    <row r="42" spans="1:5" x14ac:dyDescent="0.25">
      <c r="A42" t="s">
        <v>42</v>
      </c>
      <c r="B42">
        <v>0</v>
      </c>
      <c r="C42">
        <v>15</v>
      </c>
      <c r="D42">
        <v>0</v>
      </c>
      <c r="E42">
        <v>15</v>
      </c>
    </row>
    <row r="43" spans="1:5" x14ac:dyDescent="0.25">
      <c r="A43" t="s">
        <v>43</v>
      </c>
      <c r="B43">
        <v>1</v>
      </c>
      <c r="C43">
        <v>0</v>
      </c>
      <c r="D43">
        <v>0</v>
      </c>
      <c r="E43">
        <v>1</v>
      </c>
    </row>
    <row r="44" spans="1:5" x14ac:dyDescent="0.25">
      <c r="A44" t="s">
        <v>44</v>
      </c>
      <c r="B44">
        <v>17</v>
      </c>
      <c r="C44">
        <v>0</v>
      </c>
      <c r="D44">
        <v>0</v>
      </c>
      <c r="E44">
        <v>17</v>
      </c>
    </row>
    <row r="45" spans="1:5" x14ac:dyDescent="0.25">
      <c r="A45" t="s">
        <v>45</v>
      </c>
      <c r="B45">
        <v>12</v>
      </c>
      <c r="C45">
        <v>0</v>
      </c>
      <c r="D45">
        <v>0</v>
      </c>
      <c r="E45">
        <v>12</v>
      </c>
    </row>
    <row r="46" spans="1:5" x14ac:dyDescent="0.25">
      <c r="A46" t="s">
        <v>46</v>
      </c>
      <c r="B46">
        <v>2</v>
      </c>
      <c r="C46">
        <v>0</v>
      </c>
      <c r="D46">
        <v>0</v>
      </c>
      <c r="E46">
        <v>2</v>
      </c>
    </row>
    <row r="47" spans="1:5" x14ac:dyDescent="0.25">
      <c r="A47" t="s">
        <v>47</v>
      </c>
      <c r="B47">
        <v>1</v>
      </c>
      <c r="C47">
        <v>0</v>
      </c>
      <c r="D47">
        <v>0</v>
      </c>
      <c r="E47">
        <v>1</v>
      </c>
    </row>
    <row r="48" spans="1:5" x14ac:dyDescent="0.25">
      <c r="A48" t="s">
        <v>48</v>
      </c>
      <c r="B48">
        <v>0</v>
      </c>
      <c r="C48">
        <v>4</v>
      </c>
      <c r="D48">
        <v>0</v>
      </c>
      <c r="E48">
        <v>4</v>
      </c>
    </row>
    <row r="49" spans="1:5" x14ac:dyDescent="0.25">
      <c r="A49" t="s">
        <v>49</v>
      </c>
      <c r="B49">
        <v>0</v>
      </c>
      <c r="C49">
        <v>4</v>
      </c>
      <c r="D49">
        <v>0</v>
      </c>
      <c r="E49">
        <v>4</v>
      </c>
    </row>
    <row r="50" spans="1:5" x14ac:dyDescent="0.25">
      <c r="A50" t="s">
        <v>50</v>
      </c>
      <c r="B50">
        <v>0</v>
      </c>
      <c r="C50">
        <v>32</v>
      </c>
      <c r="D50">
        <v>0</v>
      </c>
      <c r="E50">
        <v>32</v>
      </c>
    </row>
    <row r="51" spans="1:5" x14ac:dyDescent="0.25">
      <c r="A51" t="s">
        <v>51</v>
      </c>
      <c r="B51">
        <v>0</v>
      </c>
      <c r="C51">
        <v>3</v>
      </c>
      <c r="D51">
        <v>0</v>
      </c>
      <c r="E51">
        <v>3</v>
      </c>
    </row>
    <row r="52" spans="1:5" x14ac:dyDescent="0.25">
      <c r="A52" t="s">
        <v>52</v>
      </c>
      <c r="B52">
        <v>0</v>
      </c>
      <c r="C52">
        <v>4</v>
      </c>
      <c r="D52">
        <v>0</v>
      </c>
      <c r="E52">
        <v>4</v>
      </c>
    </row>
    <row r="53" spans="1:5" x14ac:dyDescent="0.25">
      <c r="A53" t="s">
        <v>53</v>
      </c>
      <c r="B53">
        <v>0</v>
      </c>
      <c r="C53">
        <v>6</v>
      </c>
      <c r="D53">
        <v>0</v>
      </c>
      <c r="E53">
        <v>6</v>
      </c>
    </row>
    <row r="54" spans="1:5" x14ac:dyDescent="0.25">
      <c r="A54" t="s">
        <v>54</v>
      </c>
      <c r="B54">
        <v>0</v>
      </c>
      <c r="C54">
        <v>1</v>
      </c>
      <c r="D54">
        <v>0</v>
      </c>
      <c r="E54">
        <v>1</v>
      </c>
    </row>
    <row r="55" spans="1:5" x14ac:dyDescent="0.25">
      <c r="A55" t="s">
        <v>55</v>
      </c>
      <c r="B55">
        <v>0</v>
      </c>
      <c r="C55">
        <v>1</v>
      </c>
      <c r="D55">
        <v>0</v>
      </c>
      <c r="E55">
        <v>1</v>
      </c>
    </row>
    <row r="56" spans="1:5" x14ac:dyDescent="0.25">
      <c r="A56" t="s">
        <v>56</v>
      </c>
      <c r="B56">
        <v>0</v>
      </c>
      <c r="C56">
        <v>2</v>
      </c>
      <c r="D56">
        <v>0</v>
      </c>
      <c r="E56">
        <v>2</v>
      </c>
    </row>
    <row r="57" spans="1:5" x14ac:dyDescent="0.25">
      <c r="A57" t="s">
        <v>57</v>
      </c>
      <c r="B57">
        <v>1</v>
      </c>
      <c r="C57">
        <v>0</v>
      </c>
      <c r="D57">
        <v>0</v>
      </c>
      <c r="E57">
        <v>1</v>
      </c>
    </row>
    <row r="58" spans="1:5" x14ac:dyDescent="0.25">
      <c r="A58" t="s">
        <v>58</v>
      </c>
      <c r="B58">
        <v>21</v>
      </c>
      <c r="C58">
        <v>0</v>
      </c>
      <c r="D58">
        <v>0</v>
      </c>
      <c r="E58">
        <v>21</v>
      </c>
    </row>
    <row r="59" spans="1:5" x14ac:dyDescent="0.25">
      <c r="A59" t="s">
        <v>59</v>
      </c>
      <c r="B59">
        <v>4</v>
      </c>
      <c r="C59">
        <v>0</v>
      </c>
      <c r="D59">
        <v>0</v>
      </c>
      <c r="E59">
        <v>4</v>
      </c>
    </row>
    <row r="60" spans="1:5" x14ac:dyDescent="0.25">
      <c r="A60" t="s">
        <v>60</v>
      </c>
      <c r="B60">
        <v>2</v>
      </c>
      <c r="C60">
        <v>0</v>
      </c>
      <c r="D60">
        <v>0</v>
      </c>
      <c r="E60">
        <v>2</v>
      </c>
    </row>
    <row r="61" spans="1:5" x14ac:dyDescent="0.25">
      <c r="A61" t="s">
        <v>61</v>
      </c>
      <c r="B61">
        <v>8</v>
      </c>
      <c r="C61">
        <v>0</v>
      </c>
      <c r="D61">
        <v>0</v>
      </c>
      <c r="E61">
        <v>8</v>
      </c>
    </row>
    <row r="62" spans="1:5" x14ac:dyDescent="0.25">
      <c r="A62" t="s">
        <v>62</v>
      </c>
      <c r="B62">
        <v>7</v>
      </c>
      <c r="C62">
        <v>0</v>
      </c>
      <c r="D62">
        <v>0</v>
      </c>
      <c r="E62">
        <v>7</v>
      </c>
    </row>
    <row r="63" spans="1:5" x14ac:dyDescent="0.25">
      <c r="A63" t="s">
        <v>63</v>
      </c>
      <c r="B63">
        <v>0</v>
      </c>
      <c r="C63">
        <v>22</v>
      </c>
      <c r="D63">
        <v>0</v>
      </c>
      <c r="E63">
        <v>22</v>
      </c>
    </row>
    <row r="64" spans="1:5" x14ac:dyDescent="0.25">
      <c r="A64" t="s">
        <v>64</v>
      </c>
      <c r="B64">
        <v>0</v>
      </c>
      <c r="C64">
        <v>5</v>
      </c>
      <c r="D64">
        <v>0</v>
      </c>
      <c r="E64">
        <v>5</v>
      </c>
    </row>
    <row r="65" spans="1:5" x14ac:dyDescent="0.25">
      <c r="A65" t="s">
        <v>65</v>
      </c>
      <c r="B65">
        <v>0</v>
      </c>
      <c r="C65">
        <v>16</v>
      </c>
      <c r="D65">
        <v>0</v>
      </c>
      <c r="E65">
        <v>16</v>
      </c>
    </row>
    <row r="66" spans="1:5" x14ac:dyDescent="0.25">
      <c r="A66" t="s">
        <v>66</v>
      </c>
      <c r="B66">
        <v>0</v>
      </c>
      <c r="C66">
        <v>16</v>
      </c>
      <c r="D66">
        <v>0</v>
      </c>
      <c r="E66">
        <v>16</v>
      </c>
    </row>
    <row r="67" spans="1:5" x14ac:dyDescent="0.25">
      <c r="A67" t="s">
        <v>67</v>
      </c>
      <c r="B67">
        <v>0</v>
      </c>
      <c r="C67">
        <v>14</v>
      </c>
      <c r="D67">
        <v>0</v>
      </c>
      <c r="E67">
        <v>14</v>
      </c>
    </row>
    <row r="68" spans="1:5" x14ac:dyDescent="0.25">
      <c r="A68" t="s">
        <v>1</v>
      </c>
      <c r="B68">
        <f>SUM(B2:B67)</f>
        <v>283</v>
      </c>
      <c r="C68">
        <f t="shared" ref="C68:E68" si="0">SUM(C2:C67)</f>
        <v>300</v>
      </c>
      <c r="D68">
        <f t="shared" si="0"/>
        <v>332</v>
      </c>
      <c r="E68">
        <f t="shared" si="0"/>
        <v>915</v>
      </c>
    </row>
    <row r="69" spans="1:5" x14ac:dyDescent="0.25">
      <c r="A69" t="s">
        <v>71</v>
      </c>
      <c r="B69" s="1">
        <f>(B68/E68)*100</f>
        <v>30.928961748633881</v>
      </c>
      <c r="C69" s="1">
        <f>(C68/E68)*100</f>
        <v>32.786885245901637</v>
      </c>
      <c r="D69" s="1">
        <f>(D68/E68)*100</f>
        <v>36.284153005464482</v>
      </c>
      <c r="E69">
        <f>(E68/E68)*100</f>
        <v>100</v>
      </c>
    </row>
  </sheetData>
  <mergeCells count="3">
    <mergeCell ref="G1:H1"/>
    <mergeCell ref="I1:J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FAB9-D2A8-4AA6-B371-E5900B2FF85A}">
  <dimension ref="A1:M73"/>
  <sheetViews>
    <sheetView workbookViewId="0">
      <selection activeCell="J12" sqref="J12"/>
    </sheetView>
  </sheetViews>
  <sheetFormatPr defaultRowHeight="15" x14ac:dyDescent="0.25"/>
  <cols>
    <col min="2" max="2" width="12.7109375" customWidth="1"/>
    <col min="5" max="5" width="12.7109375" customWidth="1"/>
    <col min="6" max="6" width="10" customWidth="1"/>
    <col min="8" max="8" width="11" customWidth="1"/>
    <col min="9" max="9" width="12.42578125" customWidth="1"/>
    <col min="10" max="10" width="11.7109375" customWidth="1"/>
    <col min="11" max="11" width="13.140625" customWidth="1"/>
    <col min="12" max="12" width="12.28515625" customWidth="1"/>
  </cols>
  <sheetData>
    <row r="1" spans="1:13" x14ac:dyDescent="0.25">
      <c r="A1" t="s">
        <v>69</v>
      </c>
    </row>
    <row r="2" spans="1:13" x14ac:dyDescent="0.25">
      <c r="A2" t="s">
        <v>0</v>
      </c>
      <c r="B2" s="5" t="s">
        <v>77</v>
      </c>
      <c r="C2" s="5" t="s">
        <v>75</v>
      </c>
      <c r="D2" s="5" t="s">
        <v>85</v>
      </c>
      <c r="E2" s="5" t="s">
        <v>84</v>
      </c>
      <c r="F2" s="5" t="s">
        <v>1</v>
      </c>
      <c r="H2" t="s">
        <v>86</v>
      </c>
      <c r="I2" s="5" t="s">
        <v>81</v>
      </c>
      <c r="J2" s="5" t="s">
        <v>87</v>
      </c>
      <c r="K2" s="5" t="s">
        <v>88</v>
      </c>
      <c r="L2" s="5" t="s">
        <v>89</v>
      </c>
      <c r="M2" s="5" t="s">
        <v>1</v>
      </c>
    </row>
    <row r="3" spans="1:13" x14ac:dyDescent="0.25">
      <c r="A3" t="s">
        <v>4</v>
      </c>
      <c r="B3" s="5">
        <v>1</v>
      </c>
      <c r="C3" s="5">
        <v>0</v>
      </c>
      <c r="D3" s="5">
        <v>0</v>
      </c>
      <c r="E3" s="5">
        <v>0</v>
      </c>
      <c r="F3" s="5">
        <v>1</v>
      </c>
      <c r="H3" s="2" t="s">
        <v>27</v>
      </c>
      <c r="I3" s="5">
        <v>5</v>
      </c>
      <c r="J3" s="4">
        <v>17</v>
      </c>
      <c r="K3" s="5">
        <v>0</v>
      </c>
      <c r="L3" s="4">
        <v>9</v>
      </c>
      <c r="M3" s="5">
        <v>31</v>
      </c>
    </row>
    <row r="4" spans="1:13" x14ac:dyDescent="0.25">
      <c r="A4" t="s">
        <v>5</v>
      </c>
      <c r="B4" s="5">
        <v>0</v>
      </c>
      <c r="C4" s="5">
        <v>4</v>
      </c>
      <c r="D4" s="5">
        <v>0</v>
      </c>
      <c r="E4" s="5">
        <v>0</v>
      </c>
      <c r="F4" s="5">
        <v>4</v>
      </c>
      <c r="H4" t="s">
        <v>28</v>
      </c>
      <c r="I4" s="5">
        <v>1</v>
      </c>
      <c r="J4" s="5">
        <v>0</v>
      </c>
      <c r="K4" s="5">
        <v>0</v>
      </c>
      <c r="L4" s="5">
        <v>1</v>
      </c>
      <c r="M4" s="5">
        <v>2</v>
      </c>
    </row>
    <row r="5" spans="1:13" x14ac:dyDescent="0.25">
      <c r="A5" t="s">
        <v>6</v>
      </c>
      <c r="B5" s="5">
        <v>2</v>
      </c>
      <c r="C5" s="5">
        <v>0</v>
      </c>
      <c r="D5" s="5">
        <v>1</v>
      </c>
      <c r="E5" s="5">
        <v>0</v>
      </c>
      <c r="F5" s="5">
        <v>3</v>
      </c>
      <c r="H5" t="s">
        <v>29</v>
      </c>
      <c r="I5" s="5">
        <v>2</v>
      </c>
      <c r="J5" s="5">
        <v>6</v>
      </c>
      <c r="K5" s="5">
        <v>4</v>
      </c>
      <c r="L5" s="5">
        <v>4</v>
      </c>
      <c r="M5" s="5">
        <v>16</v>
      </c>
    </row>
    <row r="6" spans="1:13" x14ac:dyDescent="0.25">
      <c r="A6" s="2" t="s">
        <v>27</v>
      </c>
      <c r="B6" s="4">
        <v>8</v>
      </c>
      <c r="C6" s="4">
        <v>7</v>
      </c>
      <c r="D6" s="4">
        <v>11</v>
      </c>
      <c r="E6" s="4">
        <v>8</v>
      </c>
      <c r="F6" s="4">
        <v>34</v>
      </c>
      <c r="H6" t="s">
        <v>30</v>
      </c>
      <c r="I6" s="5">
        <v>1</v>
      </c>
      <c r="J6" s="5">
        <v>2</v>
      </c>
      <c r="K6" s="5">
        <v>0</v>
      </c>
      <c r="L6" s="5">
        <v>2</v>
      </c>
      <c r="M6" s="5">
        <v>5</v>
      </c>
    </row>
    <row r="7" spans="1:13" x14ac:dyDescent="0.25">
      <c r="A7" t="s">
        <v>28</v>
      </c>
      <c r="B7" s="5">
        <v>3</v>
      </c>
      <c r="C7" s="5">
        <v>2</v>
      </c>
      <c r="D7" s="5">
        <v>1</v>
      </c>
      <c r="E7" s="5">
        <v>2</v>
      </c>
      <c r="F7" s="5">
        <v>8</v>
      </c>
      <c r="H7" t="s">
        <v>31</v>
      </c>
      <c r="I7" s="5">
        <v>1</v>
      </c>
      <c r="J7" s="5">
        <v>4</v>
      </c>
      <c r="K7" s="5">
        <v>2</v>
      </c>
      <c r="L7" s="5">
        <v>2</v>
      </c>
      <c r="M7" s="5">
        <v>9</v>
      </c>
    </row>
    <row r="8" spans="1:13" x14ac:dyDescent="0.25">
      <c r="A8" t="s">
        <v>29</v>
      </c>
      <c r="B8" s="5">
        <v>4</v>
      </c>
      <c r="C8" s="5">
        <v>3</v>
      </c>
      <c r="D8" s="5">
        <v>4</v>
      </c>
      <c r="E8" s="5">
        <v>4</v>
      </c>
      <c r="F8" s="5">
        <v>15</v>
      </c>
      <c r="H8" t="s">
        <v>32</v>
      </c>
      <c r="I8" s="5">
        <v>0</v>
      </c>
      <c r="J8" s="5">
        <v>2</v>
      </c>
      <c r="K8" s="5">
        <v>0</v>
      </c>
      <c r="L8" s="5">
        <v>0</v>
      </c>
      <c r="M8" s="5">
        <v>2</v>
      </c>
    </row>
    <row r="9" spans="1:13" x14ac:dyDescent="0.25">
      <c r="A9" t="s">
        <v>30</v>
      </c>
      <c r="B9" s="5">
        <v>3</v>
      </c>
      <c r="C9" s="5">
        <v>3</v>
      </c>
      <c r="D9" s="5">
        <v>3</v>
      </c>
      <c r="E9" s="5">
        <v>3</v>
      </c>
      <c r="F9" s="5">
        <v>12</v>
      </c>
      <c r="H9" t="s">
        <v>33</v>
      </c>
      <c r="I9" s="5">
        <v>1</v>
      </c>
      <c r="J9" s="5">
        <v>4</v>
      </c>
      <c r="K9" s="5">
        <v>1</v>
      </c>
      <c r="L9" s="5">
        <v>2</v>
      </c>
      <c r="M9" s="5">
        <v>8</v>
      </c>
    </row>
    <row r="10" spans="1:13" x14ac:dyDescent="0.25">
      <c r="A10" t="s">
        <v>31</v>
      </c>
      <c r="B10" s="5">
        <v>3</v>
      </c>
      <c r="C10" s="5">
        <v>3</v>
      </c>
      <c r="D10" s="5">
        <v>3</v>
      </c>
      <c r="E10" s="5">
        <v>3</v>
      </c>
      <c r="F10" s="5">
        <v>12</v>
      </c>
      <c r="H10" t="s">
        <v>34</v>
      </c>
      <c r="I10" s="5">
        <v>1</v>
      </c>
      <c r="J10" s="5">
        <v>2</v>
      </c>
      <c r="K10" s="5">
        <v>2</v>
      </c>
      <c r="L10" s="5">
        <v>2</v>
      </c>
      <c r="M10" s="5">
        <v>7</v>
      </c>
    </row>
    <row r="11" spans="1:13" x14ac:dyDescent="0.25">
      <c r="A11" t="s">
        <v>32</v>
      </c>
      <c r="B11" s="5">
        <v>4</v>
      </c>
      <c r="C11" s="5">
        <v>5</v>
      </c>
      <c r="D11" s="5">
        <v>7</v>
      </c>
      <c r="E11" s="5">
        <v>2</v>
      </c>
      <c r="F11" s="5">
        <v>18</v>
      </c>
      <c r="H11" t="s">
        <v>44</v>
      </c>
      <c r="I11" s="5">
        <v>1</v>
      </c>
      <c r="J11" s="5">
        <v>3</v>
      </c>
      <c r="K11" s="5">
        <v>0</v>
      </c>
      <c r="L11" s="5">
        <v>1</v>
      </c>
      <c r="M11" s="5">
        <v>5</v>
      </c>
    </row>
    <row r="12" spans="1:13" x14ac:dyDescent="0.25">
      <c r="A12" t="s">
        <v>33</v>
      </c>
      <c r="B12" s="5">
        <v>3</v>
      </c>
      <c r="C12" s="5">
        <v>3</v>
      </c>
      <c r="D12" s="5">
        <v>3</v>
      </c>
      <c r="E12" s="5">
        <v>3</v>
      </c>
      <c r="F12" s="5">
        <v>12</v>
      </c>
      <c r="H12" s="2" t="s">
        <v>45</v>
      </c>
      <c r="I12" s="5">
        <v>0</v>
      </c>
      <c r="J12" s="4">
        <v>11</v>
      </c>
      <c r="K12" s="5">
        <v>0</v>
      </c>
      <c r="L12" s="5">
        <v>0</v>
      </c>
      <c r="M12" s="5">
        <v>11</v>
      </c>
    </row>
    <row r="13" spans="1:13" x14ac:dyDescent="0.25">
      <c r="A13" t="s">
        <v>34</v>
      </c>
      <c r="B13" s="5">
        <v>1</v>
      </c>
      <c r="C13" s="5">
        <v>2</v>
      </c>
      <c r="D13" s="5">
        <v>3</v>
      </c>
      <c r="E13" s="5">
        <v>2</v>
      </c>
      <c r="F13" s="5">
        <v>8</v>
      </c>
      <c r="H13" t="s">
        <v>46</v>
      </c>
      <c r="I13" s="5">
        <v>0</v>
      </c>
      <c r="J13" s="5">
        <v>0</v>
      </c>
      <c r="K13" s="5">
        <v>2</v>
      </c>
      <c r="L13" s="5">
        <v>0</v>
      </c>
      <c r="M13" s="5">
        <v>2</v>
      </c>
    </row>
    <row r="14" spans="1:13" x14ac:dyDescent="0.25">
      <c r="A14" t="s">
        <v>43</v>
      </c>
      <c r="B14" s="5">
        <v>0</v>
      </c>
      <c r="C14" s="5">
        <v>0</v>
      </c>
      <c r="D14" s="5">
        <v>0</v>
      </c>
      <c r="E14" s="5">
        <v>1</v>
      </c>
      <c r="F14" s="5">
        <v>1</v>
      </c>
      <c r="H14" t="s">
        <v>58</v>
      </c>
      <c r="I14" s="5">
        <v>1</v>
      </c>
      <c r="J14" s="5">
        <v>4</v>
      </c>
      <c r="K14" s="5">
        <v>2</v>
      </c>
      <c r="L14" s="5">
        <v>2</v>
      </c>
      <c r="M14" s="5">
        <v>9</v>
      </c>
    </row>
    <row r="15" spans="1:13" x14ac:dyDescent="0.25">
      <c r="A15" t="s">
        <v>44</v>
      </c>
      <c r="B15" s="5">
        <v>3</v>
      </c>
      <c r="C15" s="5">
        <v>3</v>
      </c>
      <c r="D15" s="5">
        <v>3</v>
      </c>
      <c r="E15" s="5">
        <v>3</v>
      </c>
      <c r="F15" s="5">
        <v>12</v>
      </c>
      <c r="H15" t="s">
        <v>59</v>
      </c>
      <c r="I15" s="5">
        <v>0</v>
      </c>
      <c r="J15" s="5">
        <v>2</v>
      </c>
      <c r="K15" s="5">
        <v>0</v>
      </c>
      <c r="L15" s="5">
        <v>0</v>
      </c>
      <c r="M15" s="5">
        <v>2</v>
      </c>
    </row>
    <row r="16" spans="1:13" x14ac:dyDescent="0.25">
      <c r="A16" t="s">
        <v>45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H16" t="s">
        <v>60</v>
      </c>
      <c r="I16" s="5">
        <v>0</v>
      </c>
      <c r="J16" s="5">
        <v>2</v>
      </c>
      <c r="K16" s="5">
        <v>0</v>
      </c>
      <c r="L16" s="5">
        <v>0</v>
      </c>
      <c r="M16" s="5">
        <v>2</v>
      </c>
    </row>
    <row r="17" spans="1:13" x14ac:dyDescent="0.25">
      <c r="A17" t="s">
        <v>47</v>
      </c>
      <c r="B17" s="5">
        <v>0</v>
      </c>
      <c r="C17" s="5">
        <v>0</v>
      </c>
      <c r="D17" s="5">
        <v>1</v>
      </c>
      <c r="E17" s="5">
        <v>0</v>
      </c>
      <c r="F17" s="5">
        <v>1</v>
      </c>
      <c r="H17" t="s">
        <v>61</v>
      </c>
      <c r="I17" s="5">
        <v>1</v>
      </c>
      <c r="J17" s="5">
        <v>0</v>
      </c>
      <c r="K17" s="5">
        <v>1</v>
      </c>
      <c r="L17" s="5">
        <v>0</v>
      </c>
      <c r="M17" s="5">
        <v>2</v>
      </c>
    </row>
    <row r="18" spans="1:13" x14ac:dyDescent="0.25">
      <c r="A18" t="s">
        <v>57</v>
      </c>
      <c r="B18" s="5">
        <v>0</v>
      </c>
      <c r="C18" s="5">
        <v>0</v>
      </c>
      <c r="D18" s="5">
        <v>1</v>
      </c>
      <c r="E18" s="5">
        <v>0</v>
      </c>
      <c r="F18" s="5">
        <v>1</v>
      </c>
      <c r="H18" t="s">
        <v>62</v>
      </c>
      <c r="I18" s="5">
        <v>0</v>
      </c>
      <c r="J18" s="5">
        <v>1</v>
      </c>
      <c r="K18" s="5">
        <v>0</v>
      </c>
      <c r="L18" s="5">
        <v>1</v>
      </c>
      <c r="M18" s="5">
        <v>2</v>
      </c>
    </row>
    <row r="19" spans="1:13" x14ac:dyDescent="0.25">
      <c r="A19" t="s">
        <v>58</v>
      </c>
      <c r="B19" s="5">
        <v>3</v>
      </c>
      <c r="C19" s="5">
        <v>3</v>
      </c>
      <c r="D19" s="5">
        <v>3</v>
      </c>
      <c r="E19" s="5">
        <v>3</v>
      </c>
      <c r="F19" s="5">
        <v>12</v>
      </c>
      <c r="H19" s="2" t="s">
        <v>1</v>
      </c>
      <c r="I19" s="4">
        <v>15</v>
      </c>
      <c r="J19" s="4">
        <v>60</v>
      </c>
      <c r="K19" s="4">
        <v>14</v>
      </c>
      <c r="L19" s="4">
        <v>26</v>
      </c>
      <c r="M19" s="4">
        <v>115</v>
      </c>
    </row>
    <row r="20" spans="1:13" x14ac:dyDescent="0.25">
      <c r="A20" t="s">
        <v>59</v>
      </c>
      <c r="B20" s="5">
        <v>0</v>
      </c>
      <c r="C20" s="5">
        <v>0</v>
      </c>
      <c r="D20" s="5">
        <v>1</v>
      </c>
      <c r="E20" s="5">
        <v>1</v>
      </c>
      <c r="F20" s="5">
        <v>2</v>
      </c>
    </row>
    <row r="21" spans="1:13" x14ac:dyDescent="0.25">
      <c r="A21" t="s">
        <v>61</v>
      </c>
      <c r="B21" s="5">
        <v>1</v>
      </c>
      <c r="C21" s="5">
        <v>2</v>
      </c>
      <c r="D21" s="5">
        <v>2</v>
      </c>
      <c r="E21" s="5">
        <v>1</v>
      </c>
      <c r="F21" s="5">
        <v>6</v>
      </c>
    </row>
    <row r="22" spans="1:13" x14ac:dyDescent="0.25">
      <c r="A22" t="s">
        <v>62</v>
      </c>
      <c r="B22" s="5">
        <v>1</v>
      </c>
      <c r="C22" s="5">
        <v>2</v>
      </c>
      <c r="D22" s="5">
        <v>1</v>
      </c>
      <c r="E22" s="5">
        <v>1</v>
      </c>
      <c r="F22" s="5">
        <v>5</v>
      </c>
    </row>
    <row r="23" spans="1:13" x14ac:dyDescent="0.25">
      <c r="A23" s="2" t="s">
        <v>1</v>
      </c>
      <c r="B23" s="4">
        <v>41</v>
      </c>
      <c r="C23" s="4">
        <v>42</v>
      </c>
      <c r="D23" s="4">
        <v>48</v>
      </c>
      <c r="E23" s="4">
        <v>37</v>
      </c>
      <c r="F23" s="4">
        <v>168</v>
      </c>
    </row>
    <row r="25" spans="1:13" x14ac:dyDescent="0.25">
      <c r="A25" t="s">
        <v>78</v>
      </c>
    </row>
    <row r="26" spans="1:13" x14ac:dyDescent="0.25">
      <c r="A26" t="s">
        <v>0</v>
      </c>
      <c r="B26" s="5" t="s">
        <v>77</v>
      </c>
      <c r="C26" s="5" t="s">
        <v>75</v>
      </c>
      <c r="D26" s="5" t="s">
        <v>76</v>
      </c>
      <c r="E26" s="5" t="s">
        <v>84</v>
      </c>
      <c r="F26" s="5" t="s">
        <v>1</v>
      </c>
      <c r="H26" t="s">
        <v>0</v>
      </c>
      <c r="I26" s="5" t="s">
        <v>81</v>
      </c>
      <c r="J26" s="5" t="s">
        <v>87</v>
      </c>
      <c r="K26" s="5" t="s">
        <v>88</v>
      </c>
      <c r="L26" s="5" t="s">
        <v>80</v>
      </c>
      <c r="M26" s="5" t="s">
        <v>1</v>
      </c>
    </row>
    <row r="27" spans="1:13" x14ac:dyDescent="0.25">
      <c r="A27" t="s">
        <v>35</v>
      </c>
      <c r="B27" s="5">
        <v>0</v>
      </c>
      <c r="C27" s="5">
        <v>1</v>
      </c>
      <c r="D27" s="5">
        <v>0</v>
      </c>
      <c r="E27" s="5">
        <v>0</v>
      </c>
      <c r="F27" s="5">
        <v>1</v>
      </c>
      <c r="H27" t="s">
        <v>35</v>
      </c>
      <c r="I27" s="5">
        <v>0</v>
      </c>
      <c r="J27" s="5">
        <v>2</v>
      </c>
      <c r="K27" s="5">
        <v>0</v>
      </c>
      <c r="L27" s="5">
        <v>0</v>
      </c>
      <c r="M27" s="5">
        <v>2</v>
      </c>
    </row>
    <row r="28" spans="1:13" x14ac:dyDescent="0.25">
      <c r="A28" t="s">
        <v>36</v>
      </c>
      <c r="B28" s="5">
        <v>1</v>
      </c>
      <c r="C28" s="5">
        <v>0</v>
      </c>
      <c r="D28" s="5">
        <v>0</v>
      </c>
      <c r="E28" s="5">
        <v>0</v>
      </c>
      <c r="F28" s="5">
        <v>1</v>
      </c>
      <c r="H28" t="s">
        <v>36</v>
      </c>
      <c r="I28" s="5">
        <v>0</v>
      </c>
      <c r="J28" s="5">
        <v>2</v>
      </c>
      <c r="K28" s="5">
        <v>0</v>
      </c>
      <c r="L28" s="5">
        <v>0</v>
      </c>
      <c r="M28" s="5">
        <v>2</v>
      </c>
    </row>
    <row r="29" spans="1:13" x14ac:dyDescent="0.25">
      <c r="A29" t="s">
        <v>37</v>
      </c>
      <c r="B29" s="5">
        <v>3</v>
      </c>
      <c r="C29" s="5">
        <v>3</v>
      </c>
      <c r="D29" s="5">
        <v>3</v>
      </c>
      <c r="E29" s="5">
        <v>3</v>
      </c>
      <c r="F29" s="5">
        <v>12</v>
      </c>
      <c r="H29" t="s">
        <v>37</v>
      </c>
      <c r="I29" s="5">
        <v>1</v>
      </c>
      <c r="J29" s="5">
        <v>2</v>
      </c>
      <c r="K29" s="5">
        <v>0</v>
      </c>
      <c r="L29" s="5">
        <v>2</v>
      </c>
      <c r="M29" s="5">
        <v>5</v>
      </c>
    </row>
    <row r="30" spans="1:13" x14ac:dyDescent="0.25">
      <c r="A30" t="s">
        <v>38</v>
      </c>
      <c r="B30" s="5">
        <v>3</v>
      </c>
      <c r="C30" s="5">
        <v>3</v>
      </c>
      <c r="D30" s="5">
        <v>3</v>
      </c>
      <c r="E30" s="5">
        <v>3</v>
      </c>
      <c r="F30" s="5">
        <v>12</v>
      </c>
      <c r="H30" t="s">
        <v>38</v>
      </c>
      <c r="I30" s="5">
        <v>1</v>
      </c>
      <c r="J30" s="5">
        <v>4</v>
      </c>
      <c r="K30" s="5">
        <v>2</v>
      </c>
      <c r="L30" s="5">
        <v>2</v>
      </c>
      <c r="M30" s="5">
        <v>9</v>
      </c>
    </row>
    <row r="31" spans="1:13" x14ac:dyDescent="0.25">
      <c r="A31" s="2" t="s">
        <v>39</v>
      </c>
      <c r="B31" s="4">
        <v>18</v>
      </c>
      <c r="C31" s="4">
        <v>17</v>
      </c>
      <c r="D31" s="4">
        <v>17</v>
      </c>
      <c r="E31" s="4">
        <v>15</v>
      </c>
      <c r="F31" s="4">
        <v>67</v>
      </c>
      <c r="H31" s="2" t="s">
        <v>39</v>
      </c>
      <c r="I31" s="5">
        <v>5</v>
      </c>
      <c r="J31" s="5">
        <v>6</v>
      </c>
      <c r="K31" s="5">
        <v>3</v>
      </c>
      <c r="L31" s="4">
        <v>13</v>
      </c>
      <c r="M31" s="5">
        <v>27</v>
      </c>
    </row>
    <row r="32" spans="1:13" x14ac:dyDescent="0.25">
      <c r="A32" t="s">
        <v>40</v>
      </c>
      <c r="B32" s="5">
        <v>3</v>
      </c>
      <c r="C32" s="5">
        <v>3</v>
      </c>
      <c r="D32" s="5">
        <v>3</v>
      </c>
      <c r="E32" s="5">
        <v>3</v>
      </c>
      <c r="F32" s="5">
        <v>12</v>
      </c>
      <c r="H32" t="s">
        <v>40</v>
      </c>
      <c r="I32" s="5">
        <v>1</v>
      </c>
      <c r="J32" s="5">
        <v>0</v>
      </c>
      <c r="K32" s="5">
        <v>1</v>
      </c>
      <c r="L32" s="5">
        <v>2</v>
      </c>
      <c r="M32" s="5">
        <v>4</v>
      </c>
    </row>
    <row r="33" spans="1:13" x14ac:dyDescent="0.25">
      <c r="A33" t="s">
        <v>41</v>
      </c>
      <c r="B33" s="5">
        <v>0</v>
      </c>
      <c r="C33" s="5">
        <v>0</v>
      </c>
      <c r="D33" s="5">
        <v>1</v>
      </c>
      <c r="E33" s="5">
        <v>0</v>
      </c>
      <c r="F33" s="5">
        <v>1</v>
      </c>
      <c r="H33" t="s">
        <v>42</v>
      </c>
      <c r="I33" s="5">
        <v>1</v>
      </c>
      <c r="J33" s="5">
        <v>1</v>
      </c>
      <c r="K33" s="5">
        <v>1</v>
      </c>
      <c r="L33" s="5">
        <v>1</v>
      </c>
      <c r="M33" s="5">
        <v>4</v>
      </c>
    </row>
    <row r="34" spans="1:13" x14ac:dyDescent="0.25">
      <c r="A34" t="s">
        <v>42</v>
      </c>
      <c r="B34" s="5">
        <v>3</v>
      </c>
      <c r="C34" s="5">
        <v>3</v>
      </c>
      <c r="D34" s="5">
        <v>3</v>
      </c>
      <c r="E34" s="5">
        <v>2</v>
      </c>
      <c r="F34" s="5">
        <v>11</v>
      </c>
      <c r="H34" t="s">
        <v>48</v>
      </c>
      <c r="I34" s="5">
        <v>0</v>
      </c>
      <c r="J34" s="5">
        <v>4</v>
      </c>
      <c r="K34" s="5">
        <v>0</v>
      </c>
      <c r="L34" s="5">
        <v>0</v>
      </c>
      <c r="M34" s="5">
        <v>4</v>
      </c>
    </row>
    <row r="35" spans="1:13" x14ac:dyDescent="0.25">
      <c r="A35" t="s">
        <v>49</v>
      </c>
      <c r="B35" s="5">
        <v>0</v>
      </c>
      <c r="C35" s="5">
        <v>0</v>
      </c>
      <c r="D35" s="5">
        <v>1</v>
      </c>
      <c r="E35" s="5">
        <v>0</v>
      </c>
      <c r="F35" s="5">
        <v>1</v>
      </c>
      <c r="H35" t="s">
        <v>49</v>
      </c>
      <c r="I35" s="5">
        <v>0</v>
      </c>
      <c r="J35" s="5">
        <v>2</v>
      </c>
      <c r="K35" s="5">
        <v>1</v>
      </c>
      <c r="L35" s="5">
        <v>0</v>
      </c>
      <c r="M35" s="5">
        <v>3</v>
      </c>
    </row>
    <row r="36" spans="1:13" x14ac:dyDescent="0.25">
      <c r="A36" t="s">
        <v>50</v>
      </c>
      <c r="B36" s="5">
        <v>4</v>
      </c>
      <c r="C36" s="5">
        <v>3</v>
      </c>
      <c r="D36" s="5">
        <v>5</v>
      </c>
      <c r="E36" s="5">
        <v>5</v>
      </c>
      <c r="F36" s="5">
        <v>17</v>
      </c>
      <c r="H36" t="s">
        <v>50</v>
      </c>
      <c r="I36" s="5">
        <v>2</v>
      </c>
      <c r="J36" s="5">
        <v>5</v>
      </c>
      <c r="K36" s="5">
        <v>4</v>
      </c>
      <c r="L36" s="5">
        <v>4</v>
      </c>
      <c r="M36" s="5">
        <v>15</v>
      </c>
    </row>
    <row r="37" spans="1:13" x14ac:dyDescent="0.25">
      <c r="A37" t="s">
        <v>51</v>
      </c>
      <c r="B37" s="5">
        <v>0</v>
      </c>
      <c r="C37" s="5">
        <v>0</v>
      </c>
      <c r="D37" s="5">
        <v>0</v>
      </c>
      <c r="E37" s="5">
        <v>1</v>
      </c>
      <c r="F37" s="5">
        <v>1</v>
      </c>
      <c r="H37" t="s">
        <v>51</v>
      </c>
      <c r="I37" s="5">
        <v>0</v>
      </c>
      <c r="J37" s="5">
        <v>0</v>
      </c>
      <c r="K37" s="5">
        <v>1</v>
      </c>
      <c r="L37" s="5">
        <v>1</v>
      </c>
      <c r="M37" s="5">
        <v>2</v>
      </c>
    </row>
    <row r="38" spans="1:13" x14ac:dyDescent="0.25">
      <c r="A38" t="s">
        <v>52</v>
      </c>
      <c r="B38" s="5">
        <v>1</v>
      </c>
      <c r="C38" s="5">
        <v>0</v>
      </c>
      <c r="D38" s="5">
        <v>0</v>
      </c>
      <c r="E38" s="5">
        <v>0</v>
      </c>
      <c r="F38" s="5">
        <v>1</v>
      </c>
      <c r="H38" t="s">
        <v>52</v>
      </c>
      <c r="I38" s="5">
        <v>1</v>
      </c>
      <c r="J38" s="5">
        <v>2</v>
      </c>
      <c r="K38" s="5">
        <v>0</v>
      </c>
      <c r="L38" s="5">
        <v>0</v>
      </c>
      <c r="M38" s="5">
        <v>3</v>
      </c>
    </row>
    <row r="39" spans="1:13" x14ac:dyDescent="0.25">
      <c r="A39" t="s">
        <v>53</v>
      </c>
      <c r="B39" s="5">
        <v>1</v>
      </c>
      <c r="C39" s="5">
        <v>3</v>
      </c>
      <c r="D39" s="5">
        <v>0</v>
      </c>
      <c r="E39" s="5">
        <v>2</v>
      </c>
      <c r="F39" s="5">
        <v>6</v>
      </c>
      <c r="H39" t="s">
        <v>54</v>
      </c>
      <c r="I39" s="5">
        <v>0</v>
      </c>
      <c r="J39" s="5">
        <v>1</v>
      </c>
      <c r="K39" s="5">
        <v>0</v>
      </c>
      <c r="L39" s="5">
        <v>0</v>
      </c>
      <c r="M39" s="5">
        <v>1</v>
      </c>
    </row>
    <row r="40" spans="1:13" x14ac:dyDescent="0.25">
      <c r="A40" t="s">
        <v>63</v>
      </c>
      <c r="B40" s="5">
        <v>2</v>
      </c>
      <c r="C40" s="5">
        <v>3</v>
      </c>
      <c r="D40" s="5">
        <v>4</v>
      </c>
      <c r="E40" s="5">
        <v>2</v>
      </c>
      <c r="F40" s="5">
        <v>11</v>
      </c>
      <c r="H40" t="s">
        <v>55</v>
      </c>
      <c r="I40" s="5">
        <v>0</v>
      </c>
      <c r="J40" s="5">
        <v>0</v>
      </c>
      <c r="K40" s="5">
        <v>0</v>
      </c>
      <c r="L40" s="5">
        <v>1</v>
      </c>
      <c r="M40" s="5">
        <v>1</v>
      </c>
    </row>
    <row r="41" spans="1:13" x14ac:dyDescent="0.25">
      <c r="A41" t="s">
        <v>64</v>
      </c>
      <c r="B41" s="5">
        <v>0</v>
      </c>
      <c r="C41" s="5">
        <v>1</v>
      </c>
      <c r="D41" s="5">
        <v>0</v>
      </c>
      <c r="E41" s="5">
        <v>1</v>
      </c>
      <c r="F41" s="5">
        <v>2</v>
      </c>
      <c r="H41" t="s">
        <v>56</v>
      </c>
      <c r="I41" s="5">
        <v>0</v>
      </c>
      <c r="J41" s="5">
        <v>1</v>
      </c>
      <c r="K41" s="5">
        <v>0</v>
      </c>
      <c r="L41" s="5">
        <v>1</v>
      </c>
      <c r="M41" s="5">
        <v>2</v>
      </c>
    </row>
    <row r="42" spans="1:13" x14ac:dyDescent="0.25">
      <c r="A42" t="s">
        <v>65</v>
      </c>
      <c r="B42" s="5">
        <v>3</v>
      </c>
      <c r="C42" s="5">
        <v>2</v>
      </c>
      <c r="D42" s="5">
        <v>3</v>
      </c>
      <c r="E42" s="5">
        <v>2</v>
      </c>
      <c r="F42" s="5">
        <v>10</v>
      </c>
      <c r="H42" t="s">
        <v>63</v>
      </c>
      <c r="I42" s="5">
        <v>0</v>
      </c>
      <c r="J42" s="4">
        <v>6</v>
      </c>
      <c r="K42" s="5">
        <v>1</v>
      </c>
      <c r="L42" s="5">
        <v>4</v>
      </c>
      <c r="M42" s="5">
        <v>11</v>
      </c>
    </row>
    <row r="43" spans="1:13" x14ac:dyDescent="0.25">
      <c r="A43" t="s">
        <v>66</v>
      </c>
      <c r="B43" s="5">
        <v>2</v>
      </c>
      <c r="C43" s="5">
        <v>3</v>
      </c>
      <c r="D43" s="5">
        <v>3</v>
      </c>
      <c r="E43" s="5">
        <v>1</v>
      </c>
      <c r="F43" s="5">
        <v>9</v>
      </c>
      <c r="H43" t="s">
        <v>64</v>
      </c>
      <c r="I43" s="5">
        <v>0</v>
      </c>
      <c r="J43" s="5">
        <v>2</v>
      </c>
      <c r="K43" s="5">
        <v>1</v>
      </c>
      <c r="L43" s="5">
        <v>0</v>
      </c>
      <c r="M43" s="5">
        <v>3</v>
      </c>
    </row>
    <row r="44" spans="1:13" x14ac:dyDescent="0.25">
      <c r="A44" t="s">
        <v>67</v>
      </c>
      <c r="B44" s="5">
        <v>1</v>
      </c>
      <c r="C44" s="5">
        <v>3</v>
      </c>
      <c r="D44" s="5">
        <v>2</v>
      </c>
      <c r="E44" s="5">
        <v>1</v>
      </c>
      <c r="F44" s="5">
        <v>7</v>
      </c>
      <c r="H44" t="s">
        <v>65</v>
      </c>
      <c r="I44" s="5">
        <v>0</v>
      </c>
      <c r="J44" s="5">
        <v>4</v>
      </c>
      <c r="K44" s="5">
        <v>0</v>
      </c>
      <c r="L44" s="5">
        <v>2</v>
      </c>
      <c r="M44" s="5">
        <v>6</v>
      </c>
    </row>
    <row r="45" spans="1:13" x14ac:dyDescent="0.25">
      <c r="A45" s="2" t="s">
        <v>1</v>
      </c>
      <c r="B45" s="4">
        <v>45</v>
      </c>
      <c r="C45" s="4">
        <v>48</v>
      </c>
      <c r="D45" s="4">
        <v>48</v>
      </c>
      <c r="E45" s="4">
        <v>41</v>
      </c>
      <c r="F45" s="4">
        <v>182</v>
      </c>
      <c r="H45" t="s">
        <v>66</v>
      </c>
      <c r="I45" s="5">
        <v>1</v>
      </c>
      <c r="J45" s="5">
        <v>4</v>
      </c>
      <c r="K45" s="5">
        <v>0</v>
      </c>
      <c r="L45" s="5">
        <v>2</v>
      </c>
      <c r="M45" s="5">
        <v>7</v>
      </c>
    </row>
    <row r="46" spans="1:13" x14ac:dyDescent="0.25">
      <c r="H46" t="s">
        <v>67</v>
      </c>
      <c r="I46" s="5">
        <v>1</v>
      </c>
      <c r="J46" s="5">
        <v>4</v>
      </c>
      <c r="K46" s="5">
        <v>1</v>
      </c>
      <c r="L46" s="5">
        <v>1</v>
      </c>
      <c r="M46" s="5">
        <v>7</v>
      </c>
    </row>
    <row r="47" spans="1:13" x14ac:dyDescent="0.25">
      <c r="H47" s="2" t="s">
        <v>1</v>
      </c>
      <c r="I47" s="4">
        <v>14</v>
      </c>
      <c r="J47" s="4">
        <v>52</v>
      </c>
      <c r="K47" s="4">
        <v>16</v>
      </c>
      <c r="L47" s="4">
        <v>36</v>
      </c>
      <c r="M47" s="4">
        <v>118</v>
      </c>
    </row>
    <row r="48" spans="1:13" x14ac:dyDescent="0.25">
      <c r="A48" t="s">
        <v>70</v>
      </c>
    </row>
    <row r="49" spans="1:13" x14ac:dyDescent="0.25">
      <c r="A49" t="s">
        <v>0</v>
      </c>
      <c r="B49" s="5" t="s">
        <v>77</v>
      </c>
      <c r="C49" s="5" t="s">
        <v>75</v>
      </c>
      <c r="D49" s="5" t="s">
        <v>76</v>
      </c>
      <c r="E49" s="5" t="s">
        <v>84</v>
      </c>
      <c r="F49" s="5" t="s">
        <v>1</v>
      </c>
      <c r="H49" t="s">
        <v>0</v>
      </c>
      <c r="I49" s="5" t="s">
        <v>81</v>
      </c>
      <c r="J49" s="5" t="s">
        <v>87</v>
      </c>
      <c r="K49" s="5" t="s">
        <v>88</v>
      </c>
      <c r="L49" s="5" t="s">
        <v>80</v>
      </c>
      <c r="M49" s="5" t="s">
        <v>1</v>
      </c>
    </row>
    <row r="50" spans="1:13" x14ac:dyDescent="0.25">
      <c r="A50" t="s">
        <v>2</v>
      </c>
      <c r="B50" s="5">
        <v>1</v>
      </c>
      <c r="C50" s="5">
        <v>2</v>
      </c>
      <c r="D50" s="5">
        <v>4</v>
      </c>
      <c r="E50" s="5">
        <v>4</v>
      </c>
      <c r="F50" s="5">
        <v>11</v>
      </c>
      <c r="H50" t="s">
        <v>3</v>
      </c>
      <c r="I50" s="5">
        <v>0</v>
      </c>
      <c r="J50" s="5">
        <v>2</v>
      </c>
      <c r="K50" s="5">
        <v>0</v>
      </c>
      <c r="L50" s="5">
        <v>2</v>
      </c>
      <c r="M50" s="5">
        <v>4</v>
      </c>
    </row>
    <row r="51" spans="1:13" x14ac:dyDescent="0.25">
      <c r="A51" t="s">
        <v>3</v>
      </c>
      <c r="B51" s="5">
        <v>2</v>
      </c>
      <c r="C51" s="5">
        <v>3</v>
      </c>
      <c r="D51" s="5">
        <v>2</v>
      </c>
      <c r="E51" s="5">
        <v>2</v>
      </c>
      <c r="F51" s="5">
        <v>9</v>
      </c>
      <c r="H51" t="s">
        <v>7</v>
      </c>
      <c r="I51" s="5">
        <v>1</v>
      </c>
      <c r="J51" s="4">
        <v>3</v>
      </c>
      <c r="K51" s="5">
        <v>1</v>
      </c>
      <c r="L51" s="5">
        <v>0</v>
      </c>
      <c r="M51" s="5">
        <v>5</v>
      </c>
    </row>
    <row r="52" spans="1:13" x14ac:dyDescent="0.25">
      <c r="A52" t="s">
        <v>7</v>
      </c>
      <c r="B52" s="5">
        <v>2</v>
      </c>
      <c r="C52" s="5">
        <v>3</v>
      </c>
      <c r="D52" s="5">
        <v>2</v>
      </c>
      <c r="E52" s="5">
        <v>1</v>
      </c>
      <c r="F52" s="5">
        <v>8</v>
      </c>
      <c r="H52" t="s">
        <v>8</v>
      </c>
      <c r="I52" s="5">
        <v>0</v>
      </c>
      <c r="J52" s="5">
        <v>0</v>
      </c>
      <c r="K52" s="5">
        <v>0</v>
      </c>
      <c r="L52" s="5">
        <v>2</v>
      </c>
      <c r="M52" s="5">
        <v>2</v>
      </c>
    </row>
    <row r="53" spans="1:13" x14ac:dyDescent="0.25">
      <c r="A53" t="s">
        <v>8</v>
      </c>
      <c r="B53" s="5">
        <v>2</v>
      </c>
      <c r="C53" s="5">
        <v>3</v>
      </c>
      <c r="D53" s="5">
        <v>2</v>
      </c>
      <c r="E53" s="5">
        <v>2</v>
      </c>
      <c r="F53" s="5">
        <v>9</v>
      </c>
      <c r="H53" t="s">
        <v>9</v>
      </c>
      <c r="I53" s="5">
        <v>1</v>
      </c>
      <c r="J53" s="4">
        <v>4</v>
      </c>
      <c r="K53" s="5">
        <v>1</v>
      </c>
      <c r="L53" s="5">
        <v>1</v>
      </c>
      <c r="M53" s="5">
        <v>7</v>
      </c>
    </row>
    <row r="54" spans="1:13" x14ac:dyDescent="0.25">
      <c r="A54" t="s">
        <v>9</v>
      </c>
      <c r="B54" s="5">
        <v>2</v>
      </c>
      <c r="C54" s="5">
        <v>3</v>
      </c>
      <c r="D54" s="5">
        <v>3</v>
      </c>
      <c r="E54" s="5">
        <v>1</v>
      </c>
      <c r="F54" s="5">
        <v>9</v>
      </c>
      <c r="H54" s="2" t="s">
        <v>10</v>
      </c>
      <c r="I54" s="5">
        <v>1</v>
      </c>
      <c r="J54" s="4">
        <v>4</v>
      </c>
      <c r="K54" s="5">
        <v>0</v>
      </c>
      <c r="L54" s="5">
        <v>0</v>
      </c>
      <c r="M54" s="5">
        <v>5</v>
      </c>
    </row>
    <row r="55" spans="1:13" x14ac:dyDescent="0.25">
      <c r="A55" t="s">
        <v>11</v>
      </c>
      <c r="B55" s="5">
        <v>1</v>
      </c>
      <c r="C55" s="5">
        <v>2</v>
      </c>
      <c r="D55" s="5">
        <v>2</v>
      </c>
      <c r="E55" s="5">
        <v>1</v>
      </c>
      <c r="F55" s="5">
        <v>6</v>
      </c>
      <c r="H55" t="s">
        <v>11</v>
      </c>
      <c r="I55" s="5">
        <v>1</v>
      </c>
      <c r="J55" s="4">
        <v>4</v>
      </c>
      <c r="K55" s="5">
        <v>0</v>
      </c>
      <c r="L55" s="5">
        <v>2</v>
      </c>
      <c r="M55" s="5">
        <v>7</v>
      </c>
    </row>
    <row r="56" spans="1:13" x14ac:dyDescent="0.25">
      <c r="A56" t="s">
        <v>12</v>
      </c>
      <c r="B56" s="5">
        <v>2</v>
      </c>
      <c r="C56" s="5">
        <v>2</v>
      </c>
      <c r="D56" s="5">
        <v>1</v>
      </c>
      <c r="E56" s="5">
        <v>1</v>
      </c>
      <c r="F56" s="5">
        <v>6</v>
      </c>
      <c r="H56" t="s">
        <v>12</v>
      </c>
      <c r="I56" s="5">
        <v>1</v>
      </c>
      <c r="J56" s="4">
        <v>4</v>
      </c>
      <c r="K56" s="5">
        <v>0</v>
      </c>
      <c r="L56" s="5">
        <v>2</v>
      </c>
      <c r="M56" s="5">
        <v>7</v>
      </c>
    </row>
    <row r="57" spans="1:13" x14ac:dyDescent="0.25">
      <c r="A57" t="s">
        <v>13</v>
      </c>
      <c r="B57" s="5">
        <v>3</v>
      </c>
      <c r="C57" s="5">
        <v>4</v>
      </c>
      <c r="D57" s="5">
        <v>3</v>
      </c>
      <c r="E57" s="5">
        <v>4</v>
      </c>
      <c r="F57" s="5">
        <v>14</v>
      </c>
      <c r="H57" t="s">
        <v>14</v>
      </c>
      <c r="I57" s="5">
        <v>0</v>
      </c>
      <c r="J57" s="5">
        <v>1</v>
      </c>
      <c r="K57" s="5">
        <v>0</v>
      </c>
      <c r="L57" s="5">
        <v>0</v>
      </c>
      <c r="M57" s="5">
        <v>1</v>
      </c>
    </row>
    <row r="58" spans="1:13" x14ac:dyDescent="0.25">
      <c r="A58" t="s">
        <v>14</v>
      </c>
      <c r="B58" s="5">
        <v>1</v>
      </c>
      <c r="C58" s="5">
        <v>0</v>
      </c>
      <c r="D58" s="5">
        <v>0</v>
      </c>
      <c r="E58" s="5">
        <v>0</v>
      </c>
      <c r="F58" s="5">
        <v>1</v>
      </c>
      <c r="H58" s="2" t="s">
        <v>15</v>
      </c>
      <c r="I58" s="5">
        <v>0</v>
      </c>
      <c r="J58" s="4">
        <v>4</v>
      </c>
      <c r="K58" s="5">
        <v>2</v>
      </c>
      <c r="L58" s="5">
        <v>2</v>
      </c>
      <c r="M58" s="5">
        <v>8</v>
      </c>
    </row>
    <row r="59" spans="1:13" x14ac:dyDescent="0.25">
      <c r="A59" s="2" t="s">
        <v>15</v>
      </c>
      <c r="B59" s="5">
        <v>0</v>
      </c>
      <c r="C59" s="5">
        <v>0</v>
      </c>
      <c r="D59" s="5">
        <v>1</v>
      </c>
      <c r="E59" s="5">
        <v>0</v>
      </c>
      <c r="F59" s="5">
        <v>1</v>
      </c>
      <c r="H59" t="s">
        <v>16</v>
      </c>
      <c r="I59" s="5">
        <v>1</v>
      </c>
      <c r="J59" s="5">
        <v>0</v>
      </c>
      <c r="K59" s="5">
        <v>1</v>
      </c>
      <c r="L59" s="5">
        <v>1</v>
      </c>
      <c r="M59" s="5">
        <v>3</v>
      </c>
    </row>
    <row r="60" spans="1:13" x14ac:dyDescent="0.25">
      <c r="A60" t="s">
        <v>16</v>
      </c>
      <c r="B60" s="5">
        <v>2</v>
      </c>
      <c r="C60" s="5">
        <v>3</v>
      </c>
      <c r="D60" s="5">
        <v>3</v>
      </c>
      <c r="E60" s="5">
        <v>3</v>
      </c>
      <c r="F60" s="5">
        <v>11</v>
      </c>
      <c r="H60" s="2" t="s">
        <v>17</v>
      </c>
      <c r="I60" s="4">
        <v>0</v>
      </c>
      <c r="J60" s="4">
        <v>0</v>
      </c>
      <c r="K60" s="5">
        <v>3</v>
      </c>
      <c r="L60" s="5">
        <v>0</v>
      </c>
      <c r="M60" s="5">
        <v>3</v>
      </c>
    </row>
    <row r="61" spans="1:13" x14ac:dyDescent="0.25">
      <c r="A61" s="2" t="s">
        <v>17</v>
      </c>
      <c r="B61" s="5">
        <v>4</v>
      </c>
      <c r="C61" s="5">
        <v>1</v>
      </c>
      <c r="D61" s="5">
        <v>4</v>
      </c>
      <c r="E61" s="5">
        <v>4</v>
      </c>
      <c r="F61" s="5">
        <v>13</v>
      </c>
      <c r="H61" s="2" t="s">
        <v>18</v>
      </c>
      <c r="I61" s="4">
        <v>3</v>
      </c>
      <c r="J61" s="4">
        <v>0</v>
      </c>
      <c r="K61" s="5">
        <v>0</v>
      </c>
      <c r="L61" s="5">
        <v>5</v>
      </c>
      <c r="M61" s="5">
        <v>8</v>
      </c>
    </row>
    <row r="62" spans="1:13" x14ac:dyDescent="0.25">
      <c r="A62" s="2" t="s">
        <v>18</v>
      </c>
      <c r="B62" s="5">
        <v>6</v>
      </c>
      <c r="C62" s="5">
        <v>3</v>
      </c>
      <c r="D62" s="5">
        <v>3</v>
      </c>
      <c r="E62" s="5">
        <v>3</v>
      </c>
      <c r="F62" s="5">
        <v>15</v>
      </c>
      <c r="H62" s="2" t="s">
        <v>19</v>
      </c>
      <c r="I62" s="5">
        <v>2</v>
      </c>
      <c r="J62" s="4">
        <v>13</v>
      </c>
      <c r="K62" s="5">
        <v>8</v>
      </c>
      <c r="L62" s="5">
        <v>3</v>
      </c>
      <c r="M62" s="5">
        <v>26</v>
      </c>
    </row>
    <row r="63" spans="1:13" x14ac:dyDescent="0.25">
      <c r="A63" t="s">
        <v>19</v>
      </c>
      <c r="B63" s="5">
        <v>6</v>
      </c>
      <c r="C63" s="5">
        <v>5</v>
      </c>
      <c r="D63" s="5">
        <v>4</v>
      </c>
      <c r="E63" s="5">
        <v>6</v>
      </c>
      <c r="F63" s="5">
        <v>21</v>
      </c>
      <c r="H63" t="s">
        <v>20</v>
      </c>
      <c r="I63" s="5">
        <v>0</v>
      </c>
      <c r="J63" s="5">
        <v>1</v>
      </c>
      <c r="K63" s="5">
        <v>0</v>
      </c>
      <c r="L63" s="5">
        <v>0</v>
      </c>
      <c r="M63" s="5">
        <v>1</v>
      </c>
    </row>
    <row r="64" spans="1:13" x14ac:dyDescent="0.25">
      <c r="A64" t="s">
        <v>20</v>
      </c>
      <c r="B64" s="5">
        <v>0</v>
      </c>
      <c r="C64" s="5">
        <v>2</v>
      </c>
      <c r="D64" s="5">
        <v>1</v>
      </c>
      <c r="E64" s="5">
        <v>2</v>
      </c>
      <c r="F64" s="5">
        <v>5</v>
      </c>
      <c r="H64" t="s">
        <v>21</v>
      </c>
      <c r="I64" s="5">
        <v>0</v>
      </c>
      <c r="J64" s="5">
        <v>0</v>
      </c>
      <c r="K64" s="5">
        <v>3</v>
      </c>
      <c r="L64" s="5">
        <v>5</v>
      </c>
      <c r="M64" s="5">
        <v>8</v>
      </c>
    </row>
    <row r="65" spans="1:13" x14ac:dyDescent="0.25">
      <c r="A65" t="s">
        <v>21</v>
      </c>
      <c r="B65" s="5">
        <v>7</v>
      </c>
      <c r="C65" s="5">
        <v>3</v>
      </c>
      <c r="D65" s="5">
        <v>6</v>
      </c>
      <c r="E65" s="5">
        <v>5</v>
      </c>
      <c r="F65" s="5">
        <v>21</v>
      </c>
      <c r="H65" t="s">
        <v>22</v>
      </c>
      <c r="I65" s="5">
        <v>0</v>
      </c>
      <c r="J65" s="5">
        <v>1</v>
      </c>
      <c r="K65" s="5">
        <v>4</v>
      </c>
      <c r="L65" s="5">
        <v>4</v>
      </c>
      <c r="M65" s="5">
        <v>9</v>
      </c>
    </row>
    <row r="66" spans="1:13" x14ac:dyDescent="0.25">
      <c r="A66" t="s">
        <v>22</v>
      </c>
      <c r="B66" s="5">
        <v>4</v>
      </c>
      <c r="C66" s="5">
        <v>4</v>
      </c>
      <c r="D66" s="5">
        <v>7</v>
      </c>
      <c r="E66" s="5">
        <v>3</v>
      </c>
      <c r="F66" s="5">
        <v>18</v>
      </c>
      <c r="H66" t="s">
        <v>23</v>
      </c>
      <c r="I66" s="5">
        <v>0</v>
      </c>
      <c r="J66" s="5">
        <v>0</v>
      </c>
      <c r="K66" s="5">
        <v>0</v>
      </c>
      <c r="L66" s="5">
        <v>1</v>
      </c>
      <c r="M66" s="5">
        <v>1</v>
      </c>
    </row>
    <row r="67" spans="1:13" x14ac:dyDescent="0.25">
      <c r="A67" t="s">
        <v>23</v>
      </c>
      <c r="B67" s="5">
        <v>1</v>
      </c>
      <c r="C67" s="5">
        <v>0</v>
      </c>
      <c r="D67" s="5">
        <v>0</v>
      </c>
      <c r="E67" s="5">
        <v>0</v>
      </c>
      <c r="F67" s="5">
        <v>1</v>
      </c>
      <c r="H67" t="s">
        <v>24</v>
      </c>
      <c r="I67" s="5">
        <v>0</v>
      </c>
      <c r="J67" s="4">
        <v>6</v>
      </c>
      <c r="K67" s="5">
        <v>0</v>
      </c>
      <c r="L67" s="5">
        <v>3</v>
      </c>
      <c r="M67" s="5">
        <v>9</v>
      </c>
    </row>
    <row r="68" spans="1:13" x14ac:dyDescent="0.25">
      <c r="A68" t="s">
        <v>24</v>
      </c>
      <c r="B68" s="5">
        <v>0</v>
      </c>
      <c r="C68" s="5">
        <v>2</v>
      </c>
      <c r="D68" s="5">
        <v>1</v>
      </c>
      <c r="E68" s="5">
        <v>2</v>
      </c>
      <c r="F68" s="5">
        <v>5</v>
      </c>
      <c r="H68" t="s">
        <v>25</v>
      </c>
      <c r="I68" s="5">
        <v>0</v>
      </c>
      <c r="J68" s="4">
        <v>4</v>
      </c>
      <c r="K68" s="5">
        <v>0</v>
      </c>
      <c r="L68" s="5">
        <v>1</v>
      </c>
      <c r="M68" s="5">
        <v>5</v>
      </c>
    </row>
    <row r="69" spans="1:13" x14ac:dyDescent="0.25">
      <c r="A69" t="s">
        <v>25</v>
      </c>
      <c r="B69" s="5">
        <v>8</v>
      </c>
      <c r="C69" s="5">
        <v>2</v>
      </c>
      <c r="D69" s="5">
        <v>6</v>
      </c>
      <c r="E69" s="5">
        <v>6</v>
      </c>
      <c r="F69" s="5">
        <v>22</v>
      </c>
      <c r="H69" t="s">
        <v>26</v>
      </c>
      <c r="I69" s="5">
        <v>0</v>
      </c>
      <c r="J69" s="4">
        <v>3</v>
      </c>
      <c r="K69" s="5">
        <v>0</v>
      </c>
      <c r="L69" s="5">
        <v>1</v>
      </c>
      <c r="M69" s="5">
        <v>4</v>
      </c>
    </row>
    <row r="70" spans="1:13" x14ac:dyDescent="0.25">
      <c r="A70" t="s">
        <v>26</v>
      </c>
      <c r="B70" s="5">
        <v>0</v>
      </c>
      <c r="C70" s="5">
        <v>1</v>
      </c>
      <c r="D70" s="5">
        <v>1</v>
      </c>
      <c r="E70" s="5">
        <v>1</v>
      </c>
      <c r="F70" s="5">
        <v>3</v>
      </c>
      <c r="H70" s="2" t="s">
        <v>1</v>
      </c>
      <c r="I70" s="4">
        <v>11</v>
      </c>
      <c r="J70" s="4">
        <v>54</v>
      </c>
      <c r="K70" s="4">
        <v>23</v>
      </c>
      <c r="L70" s="4">
        <v>35</v>
      </c>
      <c r="M70" s="4">
        <v>123</v>
      </c>
    </row>
    <row r="71" spans="1:13" x14ac:dyDescent="0.25">
      <c r="A71" s="2" t="s">
        <v>1</v>
      </c>
      <c r="B71" s="4">
        <v>54</v>
      </c>
      <c r="C71" s="4">
        <v>48</v>
      </c>
      <c r="D71" s="4">
        <v>56</v>
      </c>
      <c r="E71" s="4">
        <v>51</v>
      </c>
      <c r="F71" s="4">
        <v>209</v>
      </c>
    </row>
    <row r="73" spans="1:13" x14ac:dyDescent="0.25">
      <c r="I73" s="5"/>
      <c r="J73" s="5"/>
      <c r="K73" s="5"/>
      <c r="L73" s="5"/>
      <c r="M7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F08C-A916-4161-B7AC-BC66BC34446A}">
  <dimension ref="A1:O45"/>
  <sheetViews>
    <sheetView topLeftCell="A10" workbookViewId="0">
      <selection activeCell="D50" sqref="D50"/>
    </sheetView>
  </sheetViews>
  <sheetFormatPr defaultRowHeight="15" x14ac:dyDescent="0.25"/>
  <cols>
    <col min="4" max="4" width="12" customWidth="1"/>
    <col min="5" max="5" width="11.7109375" customWidth="1"/>
  </cols>
  <sheetData>
    <row r="1" spans="1:15" x14ac:dyDescent="0.25">
      <c r="A1" t="s">
        <v>91</v>
      </c>
    </row>
    <row r="2" spans="1:15" x14ac:dyDescent="0.25">
      <c r="A2" t="s">
        <v>0</v>
      </c>
      <c r="B2" t="s">
        <v>75</v>
      </c>
      <c r="C2" t="s">
        <v>76</v>
      </c>
      <c r="D2" t="s">
        <v>84</v>
      </c>
      <c r="E2" t="s">
        <v>1</v>
      </c>
      <c r="J2" t="s">
        <v>86</v>
      </c>
      <c r="K2" t="s">
        <v>88</v>
      </c>
      <c r="L2" t="s">
        <v>79</v>
      </c>
    </row>
    <row r="3" spans="1:15" x14ac:dyDescent="0.25">
      <c r="A3" t="s">
        <v>90</v>
      </c>
      <c r="B3">
        <v>1</v>
      </c>
      <c r="C3">
        <v>4</v>
      </c>
      <c r="D3">
        <v>3</v>
      </c>
      <c r="E3">
        <v>8</v>
      </c>
      <c r="J3" t="s">
        <v>90</v>
      </c>
      <c r="K3">
        <v>2</v>
      </c>
      <c r="L3">
        <v>3</v>
      </c>
      <c r="M3">
        <v>5</v>
      </c>
    </row>
    <row r="6" spans="1:15" x14ac:dyDescent="0.25">
      <c r="A6" t="s">
        <v>78</v>
      </c>
    </row>
    <row r="7" spans="1:15" x14ac:dyDescent="0.25">
      <c r="A7" t="s">
        <v>0</v>
      </c>
      <c r="B7" t="s">
        <v>77</v>
      </c>
      <c r="C7" t="s">
        <v>75</v>
      </c>
      <c r="D7" t="s">
        <v>76</v>
      </c>
      <c r="E7" t="s">
        <v>84</v>
      </c>
      <c r="F7" t="s">
        <v>1</v>
      </c>
      <c r="J7" t="s">
        <v>0</v>
      </c>
      <c r="K7" t="s">
        <v>81</v>
      </c>
      <c r="L7" t="s">
        <v>82</v>
      </c>
      <c r="M7" t="s">
        <v>83</v>
      </c>
      <c r="N7" t="s">
        <v>80</v>
      </c>
      <c r="O7" t="s">
        <v>1</v>
      </c>
    </row>
    <row r="8" spans="1:15" x14ac:dyDescent="0.25">
      <c r="A8" t="s">
        <v>92</v>
      </c>
      <c r="B8">
        <v>0</v>
      </c>
      <c r="C8">
        <v>0</v>
      </c>
      <c r="D8">
        <v>1</v>
      </c>
      <c r="E8">
        <v>1</v>
      </c>
      <c r="F8">
        <v>2</v>
      </c>
      <c r="J8" t="s">
        <v>120</v>
      </c>
      <c r="K8">
        <v>0</v>
      </c>
      <c r="L8">
        <v>0</v>
      </c>
      <c r="M8">
        <v>2</v>
      </c>
      <c r="N8">
        <v>0</v>
      </c>
      <c r="O8">
        <v>2</v>
      </c>
    </row>
    <row r="9" spans="1:15" x14ac:dyDescent="0.25">
      <c r="A9" t="s">
        <v>93</v>
      </c>
      <c r="B9">
        <v>5</v>
      </c>
      <c r="C9">
        <v>2</v>
      </c>
      <c r="D9">
        <v>5</v>
      </c>
      <c r="E9">
        <v>3</v>
      </c>
      <c r="F9">
        <v>15</v>
      </c>
      <c r="J9" t="s">
        <v>92</v>
      </c>
      <c r="K9">
        <v>0</v>
      </c>
      <c r="L9">
        <v>0</v>
      </c>
      <c r="M9">
        <v>1</v>
      </c>
      <c r="N9">
        <v>0</v>
      </c>
      <c r="O9">
        <v>1</v>
      </c>
    </row>
    <row r="10" spans="1:15" x14ac:dyDescent="0.25">
      <c r="A10" t="s">
        <v>94</v>
      </c>
      <c r="B10">
        <v>2</v>
      </c>
      <c r="C10">
        <v>1</v>
      </c>
      <c r="D10">
        <v>2</v>
      </c>
      <c r="E10">
        <v>1</v>
      </c>
      <c r="F10">
        <v>6</v>
      </c>
      <c r="J10" t="s">
        <v>93</v>
      </c>
      <c r="K10">
        <v>2</v>
      </c>
      <c r="L10">
        <v>8</v>
      </c>
      <c r="M10">
        <v>0</v>
      </c>
      <c r="N10">
        <v>0</v>
      </c>
      <c r="O10">
        <v>10</v>
      </c>
    </row>
    <row r="11" spans="1:15" x14ac:dyDescent="0.25">
      <c r="A11" s="2" t="s">
        <v>95</v>
      </c>
      <c r="B11">
        <v>5</v>
      </c>
      <c r="C11">
        <v>7</v>
      </c>
      <c r="D11">
        <v>4</v>
      </c>
      <c r="E11">
        <v>3</v>
      </c>
      <c r="F11">
        <v>19</v>
      </c>
      <c r="J11" t="s">
        <v>94</v>
      </c>
      <c r="K11">
        <v>1</v>
      </c>
      <c r="L11">
        <v>4</v>
      </c>
      <c r="M11">
        <v>1</v>
      </c>
      <c r="N11">
        <v>2</v>
      </c>
      <c r="O11">
        <v>8</v>
      </c>
    </row>
    <row r="12" spans="1:15" x14ac:dyDescent="0.25">
      <c r="A12" t="s">
        <v>96</v>
      </c>
      <c r="B12">
        <v>0</v>
      </c>
      <c r="C12">
        <v>2</v>
      </c>
      <c r="D12">
        <v>0</v>
      </c>
      <c r="E12">
        <v>1</v>
      </c>
      <c r="F12">
        <v>3</v>
      </c>
      <c r="J12" t="s">
        <v>121</v>
      </c>
      <c r="K12">
        <v>0</v>
      </c>
      <c r="L12">
        <v>0</v>
      </c>
      <c r="M12">
        <v>2</v>
      </c>
      <c r="N12">
        <v>0</v>
      </c>
      <c r="O12">
        <v>2</v>
      </c>
    </row>
    <row r="13" spans="1:15" x14ac:dyDescent="0.25">
      <c r="A13" t="s">
        <v>97</v>
      </c>
      <c r="B13">
        <v>5</v>
      </c>
      <c r="C13">
        <v>4</v>
      </c>
      <c r="D13">
        <v>5</v>
      </c>
      <c r="E13">
        <v>4</v>
      </c>
      <c r="F13">
        <v>18</v>
      </c>
      <c r="J13" t="s">
        <v>95</v>
      </c>
      <c r="K13">
        <v>2</v>
      </c>
      <c r="L13">
        <v>0</v>
      </c>
      <c r="M13">
        <v>0</v>
      </c>
      <c r="N13">
        <v>5</v>
      </c>
      <c r="O13">
        <v>7</v>
      </c>
    </row>
    <row r="14" spans="1:15" x14ac:dyDescent="0.25">
      <c r="A14" s="2" t="s">
        <v>98</v>
      </c>
      <c r="B14">
        <v>7</v>
      </c>
      <c r="C14">
        <v>10</v>
      </c>
      <c r="D14">
        <v>7</v>
      </c>
      <c r="E14">
        <v>5</v>
      </c>
      <c r="F14">
        <v>29</v>
      </c>
      <c r="J14" t="s">
        <v>122</v>
      </c>
      <c r="K14">
        <v>0</v>
      </c>
      <c r="L14">
        <v>0</v>
      </c>
      <c r="M14">
        <v>2</v>
      </c>
      <c r="N14">
        <v>0</v>
      </c>
      <c r="O14">
        <v>2</v>
      </c>
    </row>
    <row r="15" spans="1:15" x14ac:dyDescent="0.25">
      <c r="A15" t="s">
        <v>99</v>
      </c>
      <c r="B15">
        <v>0</v>
      </c>
      <c r="C15">
        <v>3</v>
      </c>
      <c r="D15">
        <v>4</v>
      </c>
      <c r="E15">
        <v>2</v>
      </c>
      <c r="F15">
        <v>9</v>
      </c>
      <c r="J15" t="s">
        <v>123</v>
      </c>
      <c r="K15">
        <v>0</v>
      </c>
      <c r="L15">
        <v>0</v>
      </c>
      <c r="M15">
        <v>2</v>
      </c>
      <c r="N15">
        <v>0</v>
      </c>
      <c r="O15">
        <v>2</v>
      </c>
    </row>
    <row r="16" spans="1:15" x14ac:dyDescent="0.25">
      <c r="A16" t="s">
        <v>100</v>
      </c>
      <c r="B16">
        <v>7</v>
      </c>
      <c r="C16">
        <v>4</v>
      </c>
      <c r="D16">
        <v>5</v>
      </c>
      <c r="E16">
        <v>1</v>
      </c>
      <c r="F16">
        <v>17</v>
      </c>
      <c r="J16" t="s">
        <v>97</v>
      </c>
      <c r="K16">
        <v>1</v>
      </c>
      <c r="L16">
        <v>0</v>
      </c>
      <c r="M16">
        <v>3</v>
      </c>
      <c r="N16">
        <v>2</v>
      </c>
      <c r="O16">
        <v>6</v>
      </c>
    </row>
    <row r="17" spans="1:15" x14ac:dyDescent="0.25">
      <c r="A17" s="2" t="s">
        <v>101</v>
      </c>
      <c r="B17">
        <v>11</v>
      </c>
      <c r="C17">
        <v>10</v>
      </c>
      <c r="D17">
        <v>7</v>
      </c>
      <c r="E17">
        <v>8</v>
      </c>
      <c r="F17">
        <v>36</v>
      </c>
      <c r="J17" t="s">
        <v>124</v>
      </c>
      <c r="K17">
        <v>0</v>
      </c>
      <c r="L17">
        <v>1</v>
      </c>
      <c r="M17">
        <v>0</v>
      </c>
      <c r="N17">
        <v>0</v>
      </c>
      <c r="O17">
        <v>1</v>
      </c>
    </row>
    <row r="18" spans="1:15" x14ac:dyDescent="0.25">
      <c r="A18" t="s">
        <v>102</v>
      </c>
      <c r="B18">
        <v>1</v>
      </c>
      <c r="C18">
        <v>1</v>
      </c>
      <c r="D18">
        <v>0</v>
      </c>
      <c r="E18">
        <v>0</v>
      </c>
      <c r="F18">
        <v>2</v>
      </c>
      <c r="J18" s="2" t="s">
        <v>98</v>
      </c>
      <c r="K18">
        <v>2</v>
      </c>
      <c r="L18" s="6">
        <v>0</v>
      </c>
      <c r="M18">
        <v>2</v>
      </c>
      <c r="N18">
        <v>8</v>
      </c>
      <c r="O18">
        <v>12</v>
      </c>
    </row>
    <row r="19" spans="1:15" x14ac:dyDescent="0.25">
      <c r="A19" s="2" t="s">
        <v>103</v>
      </c>
      <c r="B19">
        <v>9</v>
      </c>
      <c r="C19">
        <v>6</v>
      </c>
      <c r="D19">
        <v>9</v>
      </c>
      <c r="E19">
        <v>8</v>
      </c>
      <c r="F19">
        <v>32</v>
      </c>
      <c r="J19" t="s">
        <v>100</v>
      </c>
      <c r="K19">
        <v>0</v>
      </c>
      <c r="L19">
        <v>4</v>
      </c>
      <c r="M19">
        <v>4</v>
      </c>
      <c r="N19">
        <v>2</v>
      </c>
      <c r="O19">
        <v>10</v>
      </c>
    </row>
    <row r="20" spans="1:15" x14ac:dyDescent="0.25">
      <c r="A20" t="s">
        <v>104</v>
      </c>
      <c r="B20">
        <v>3</v>
      </c>
      <c r="C20">
        <v>4</v>
      </c>
      <c r="D20">
        <v>3</v>
      </c>
      <c r="E20">
        <v>4</v>
      </c>
      <c r="F20">
        <v>14</v>
      </c>
      <c r="J20" s="2" t="s">
        <v>101</v>
      </c>
      <c r="K20">
        <v>2</v>
      </c>
      <c r="L20" s="6">
        <v>1</v>
      </c>
      <c r="M20">
        <v>0</v>
      </c>
      <c r="N20">
        <v>9</v>
      </c>
      <c r="O20">
        <v>12</v>
      </c>
    </row>
    <row r="21" spans="1:15" x14ac:dyDescent="0.25">
      <c r="A21" t="s">
        <v>105</v>
      </c>
      <c r="B21">
        <v>1</v>
      </c>
      <c r="C21">
        <v>2</v>
      </c>
      <c r="D21">
        <v>2</v>
      </c>
      <c r="E21">
        <v>0</v>
      </c>
      <c r="F21">
        <v>5</v>
      </c>
      <c r="J21" t="s">
        <v>102</v>
      </c>
      <c r="K21">
        <v>0</v>
      </c>
      <c r="L21">
        <v>4</v>
      </c>
      <c r="M21">
        <v>0</v>
      </c>
      <c r="N21">
        <v>0</v>
      </c>
      <c r="O21">
        <v>4</v>
      </c>
    </row>
    <row r="22" spans="1:15" x14ac:dyDescent="0.25">
      <c r="A22" s="2" t="s">
        <v>106</v>
      </c>
      <c r="B22">
        <v>6</v>
      </c>
      <c r="C22">
        <v>5</v>
      </c>
      <c r="D22">
        <v>6</v>
      </c>
      <c r="E22">
        <v>6</v>
      </c>
      <c r="F22">
        <v>23</v>
      </c>
      <c r="J22" s="2" t="s">
        <v>103</v>
      </c>
      <c r="K22">
        <v>2</v>
      </c>
      <c r="L22">
        <v>15</v>
      </c>
      <c r="M22">
        <v>8</v>
      </c>
      <c r="N22">
        <v>3</v>
      </c>
      <c r="O22">
        <v>28</v>
      </c>
    </row>
    <row r="23" spans="1:15" x14ac:dyDescent="0.25">
      <c r="A23" t="s">
        <v>107</v>
      </c>
      <c r="B23">
        <v>0</v>
      </c>
      <c r="C23">
        <v>0</v>
      </c>
      <c r="D23">
        <v>1</v>
      </c>
      <c r="E23">
        <v>0</v>
      </c>
      <c r="F23">
        <v>1</v>
      </c>
      <c r="J23" t="s">
        <v>125</v>
      </c>
      <c r="K23">
        <v>0</v>
      </c>
      <c r="L23">
        <v>0</v>
      </c>
      <c r="M23">
        <v>0</v>
      </c>
      <c r="N23">
        <v>1</v>
      </c>
      <c r="O23">
        <v>1</v>
      </c>
    </row>
    <row r="24" spans="1:15" x14ac:dyDescent="0.25">
      <c r="A24" s="2" t="s">
        <v>1</v>
      </c>
      <c r="B24" s="2">
        <v>62</v>
      </c>
      <c r="C24" s="2">
        <v>61</v>
      </c>
      <c r="D24" s="2">
        <v>61</v>
      </c>
      <c r="E24" s="2">
        <v>47</v>
      </c>
      <c r="F24" s="2">
        <v>231</v>
      </c>
      <c r="J24" t="s">
        <v>105</v>
      </c>
      <c r="K24">
        <v>1</v>
      </c>
      <c r="L24">
        <v>4</v>
      </c>
      <c r="M24">
        <v>1</v>
      </c>
      <c r="N24">
        <v>2</v>
      </c>
      <c r="O24">
        <v>8</v>
      </c>
    </row>
    <row r="25" spans="1:15" x14ac:dyDescent="0.25">
      <c r="J25" t="s">
        <v>126</v>
      </c>
      <c r="K25">
        <v>0</v>
      </c>
      <c r="L25">
        <v>1</v>
      </c>
      <c r="M25">
        <v>0</v>
      </c>
      <c r="N25">
        <v>0</v>
      </c>
      <c r="O25">
        <v>1</v>
      </c>
    </row>
    <row r="26" spans="1:15" x14ac:dyDescent="0.25">
      <c r="J26" t="s">
        <v>106</v>
      </c>
      <c r="K26">
        <v>2</v>
      </c>
      <c r="L26">
        <v>4</v>
      </c>
      <c r="M26">
        <v>1</v>
      </c>
      <c r="N26">
        <v>2</v>
      </c>
      <c r="O26">
        <v>9</v>
      </c>
    </row>
    <row r="27" spans="1:15" x14ac:dyDescent="0.25">
      <c r="J27" t="s">
        <v>107</v>
      </c>
      <c r="K27">
        <v>0</v>
      </c>
      <c r="L27">
        <v>1</v>
      </c>
      <c r="M27">
        <v>0</v>
      </c>
      <c r="N27">
        <v>0</v>
      </c>
      <c r="O27">
        <v>1</v>
      </c>
    </row>
    <row r="28" spans="1:15" x14ac:dyDescent="0.25">
      <c r="J28" s="2" t="s">
        <v>1</v>
      </c>
      <c r="K28" s="2">
        <v>15</v>
      </c>
      <c r="L28" s="2">
        <v>47</v>
      </c>
      <c r="M28" s="2">
        <v>29</v>
      </c>
      <c r="N28" s="2">
        <v>36</v>
      </c>
      <c r="O28" s="2">
        <v>127</v>
      </c>
    </row>
    <row r="30" spans="1:15" x14ac:dyDescent="0.25">
      <c r="A30" t="s">
        <v>108</v>
      </c>
    </row>
    <row r="31" spans="1:15" x14ac:dyDescent="0.25">
      <c r="A31" t="s">
        <v>0</v>
      </c>
      <c r="B31" t="s">
        <v>77</v>
      </c>
      <c r="C31" t="s">
        <v>75</v>
      </c>
      <c r="D31" t="s">
        <v>76</v>
      </c>
      <c r="E31" t="s">
        <v>84</v>
      </c>
      <c r="F31" t="s">
        <v>1</v>
      </c>
      <c r="J31" t="s">
        <v>108</v>
      </c>
    </row>
    <row r="32" spans="1:15" x14ac:dyDescent="0.25">
      <c r="A32" t="s">
        <v>109</v>
      </c>
      <c r="B32">
        <v>1</v>
      </c>
      <c r="C32">
        <v>1</v>
      </c>
      <c r="D32">
        <v>0</v>
      </c>
      <c r="E32">
        <v>1</v>
      </c>
      <c r="F32">
        <v>3</v>
      </c>
    </row>
    <row r="33" spans="1:15" x14ac:dyDescent="0.25">
      <c r="A33" t="s">
        <v>110</v>
      </c>
      <c r="B33">
        <v>6</v>
      </c>
      <c r="C33">
        <v>5</v>
      </c>
      <c r="D33">
        <v>6</v>
      </c>
      <c r="E33">
        <v>5</v>
      </c>
      <c r="F33">
        <v>22</v>
      </c>
      <c r="J33" t="s">
        <v>0</v>
      </c>
      <c r="K33" t="s">
        <v>81</v>
      </c>
      <c r="L33" t="s">
        <v>82</v>
      </c>
      <c r="M33" t="s">
        <v>83</v>
      </c>
      <c r="N33" t="s">
        <v>80</v>
      </c>
      <c r="O33" t="s">
        <v>1</v>
      </c>
    </row>
    <row r="34" spans="1:15" x14ac:dyDescent="0.25">
      <c r="A34" t="s">
        <v>111</v>
      </c>
      <c r="B34">
        <v>3</v>
      </c>
      <c r="C34">
        <v>3</v>
      </c>
      <c r="D34">
        <v>3</v>
      </c>
      <c r="E34">
        <v>2</v>
      </c>
      <c r="F34">
        <v>11</v>
      </c>
      <c r="J34" t="s">
        <v>109</v>
      </c>
      <c r="K34">
        <v>1</v>
      </c>
      <c r="L34">
        <v>4</v>
      </c>
      <c r="M34">
        <v>0</v>
      </c>
      <c r="N34">
        <v>2</v>
      </c>
      <c r="O34">
        <v>7</v>
      </c>
    </row>
    <row r="35" spans="1:15" x14ac:dyDescent="0.25">
      <c r="A35" t="s">
        <v>112</v>
      </c>
      <c r="B35">
        <v>6</v>
      </c>
      <c r="C35">
        <v>6</v>
      </c>
      <c r="D35">
        <v>5</v>
      </c>
      <c r="E35">
        <v>6</v>
      </c>
      <c r="F35">
        <v>23</v>
      </c>
      <c r="J35" t="s">
        <v>110</v>
      </c>
      <c r="K35">
        <v>2</v>
      </c>
      <c r="L35">
        <v>0</v>
      </c>
      <c r="M35">
        <v>2</v>
      </c>
      <c r="N35">
        <v>2</v>
      </c>
      <c r="O35">
        <v>6</v>
      </c>
    </row>
    <row r="36" spans="1:15" x14ac:dyDescent="0.25">
      <c r="A36" t="s">
        <v>113</v>
      </c>
      <c r="B36">
        <v>10</v>
      </c>
      <c r="C36">
        <v>9</v>
      </c>
      <c r="D36">
        <v>12</v>
      </c>
      <c r="E36">
        <v>11</v>
      </c>
      <c r="F36">
        <v>42</v>
      </c>
      <c r="J36" t="s">
        <v>111</v>
      </c>
      <c r="K36">
        <v>1</v>
      </c>
      <c r="L36">
        <v>0</v>
      </c>
      <c r="M36">
        <v>2</v>
      </c>
      <c r="N36">
        <v>2</v>
      </c>
      <c r="O36">
        <v>5</v>
      </c>
    </row>
    <row r="37" spans="1:15" x14ac:dyDescent="0.25">
      <c r="A37" t="s">
        <v>114</v>
      </c>
      <c r="B37">
        <v>6</v>
      </c>
      <c r="C37">
        <v>7</v>
      </c>
      <c r="D37">
        <v>8</v>
      </c>
      <c r="E37">
        <v>6</v>
      </c>
      <c r="F37">
        <v>27</v>
      </c>
      <c r="J37" t="s">
        <v>112</v>
      </c>
      <c r="K37">
        <v>1</v>
      </c>
      <c r="L37">
        <v>3</v>
      </c>
      <c r="M37">
        <v>4</v>
      </c>
      <c r="N37">
        <v>3</v>
      </c>
      <c r="O37">
        <v>11</v>
      </c>
    </row>
    <row r="38" spans="1:15" x14ac:dyDescent="0.25">
      <c r="A38" t="s">
        <v>115</v>
      </c>
      <c r="B38">
        <v>10</v>
      </c>
      <c r="C38">
        <v>5</v>
      </c>
      <c r="D38">
        <v>10</v>
      </c>
      <c r="E38">
        <v>6</v>
      </c>
      <c r="F38">
        <v>31</v>
      </c>
      <c r="J38" t="s">
        <v>113</v>
      </c>
      <c r="K38">
        <v>3</v>
      </c>
      <c r="L38">
        <v>19</v>
      </c>
      <c r="M38">
        <v>5</v>
      </c>
      <c r="N38">
        <v>6</v>
      </c>
      <c r="O38">
        <v>33</v>
      </c>
    </row>
    <row r="39" spans="1:15" x14ac:dyDescent="0.25">
      <c r="A39" t="s">
        <v>116</v>
      </c>
      <c r="B39">
        <v>1</v>
      </c>
      <c r="C39">
        <v>3</v>
      </c>
      <c r="D39">
        <v>2</v>
      </c>
      <c r="E39">
        <v>1</v>
      </c>
      <c r="F39">
        <v>7</v>
      </c>
      <c r="J39" t="s">
        <v>114</v>
      </c>
      <c r="K39">
        <v>2</v>
      </c>
      <c r="L39">
        <v>6</v>
      </c>
      <c r="M39">
        <v>3</v>
      </c>
      <c r="N39">
        <v>4</v>
      </c>
      <c r="O39">
        <v>15</v>
      </c>
    </row>
    <row r="40" spans="1:15" x14ac:dyDescent="0.25">
      <c r="A40" t="s">
        <v>117</v>
      </c>
      <c r="B40">
        <v>6</v>
      </c>
      <c r="C40">
        <v>6</v>
      </c>
      <c r="D40">
        <v>5</v>
      </c>
      <c r="E40">
        <v>5</v>
      </c>
      <c r="F40">
        <v>22</v>
      </c>
      <c r="J40" t="s">
        <v>115</v>
      </c>
      <c r="K40">
        <v>4</v>
      </c>
      <c r="L40">
        <v>2</v>
      </c>
      <c r="M40">
        <v>4</v>
      </c>
      <c r="N40">
        <v>5</v>
      </c>
      <c r="O40">
        <v>15</v>
      </c>
    </row>
    <row r="41" spans="1:15" x14ac:dyDescent="0.25">
      <c r="A41" t="s">
        <v>118</v>
      </c>
      <c r="B41">
        <v>21</v>
      </c>
      <c r="C41">
        <v>16</v>
      </c>
      <c r="D41">
        <v>20</v>
      </c>
      <c r="E41">
        <v>23</v>
      </c>
      <c r="F41">
        <v>80</v>
      </c>
      <c r="J41" t="s">
        <v>116</v>
      </c>
      <c r="K41">
        <v>0</v>
      </c>
      <c r="L41">
        <v>1</v>
      </c>
      <c r="M41">
        <v>0</v>
      </c>
      <c r="N41">
        <v>1</v>
      </c>
      <c r="O41">
        <v>2</v>
      </c>
    </row>
    <row r="42" spans="1:15" x14ac:dyDescent="0.25">
      <c r="A42" t="s">
        <v>119</v>
      </c>
      <c r="B42">
        <v>3</v>
      </c>
      <c r="C42">
        <v>2</v>
      </c>
      <c r="D42">
        <v>3</v>
      </c>
      <c r="E42">
        <v>3</v>
      </c>
      <c r="F42">
        <v>11</v>
      </c>
      <c r="J42" t="s">
        <v>117</v>
      </c>
      <c r="K42">
        <v>2</v>
      </c>
      <c r="L42">
        <v>7</v>
      </c>
      <c r="M42">
        <v>4</v>
      </c>
      <c r="N42">
        <v>4</v>
      </c>
      <c r="O42">
        <v>17</v>
      </c>
    </row>
    <row r="43" spans="1:15" x14ac:dyDescent="0.25">
      <c r="A43" s="2" t="s">
        <v>1</v>
      </c>
      <c r="B43" s="2">
        <v>73</v>
      </c>
      <c r="C43" s="2">
        <v>63</v>
      </c>
      <c r="D43" s="2">
        <v>74</v>
      </c>
      <c r="E43" s="2">
        <v>69</v>
      </c>
      <c r="F43" s="2">
        <v>279</v>
      </c>
      <c r="J43" t="s">
        <v>118</v>
      </c>
      <c r="K43">
        <v>5</v>
      </c>
      <c r="L43">
        <v>13</v>
      </c>
      <c r="M43">
        <v>4</v>
      </c>
      <c r="N43">
        <v>12</v>
      </c>
      <c r="O43">
        <v>34</v>
      </c>
    </row>
    <row r="44" spans="1:15" x14ac:dyDescent="0.25">
      <c r="J44" t="s">
        <v>119</v>
      </c>
      <c r="K44">
        <v>1</v>
      </c>
      <c r="L44">
        <v>4</v>
      </c>
      <c r="M44">
        <v>0</v>
      </c>
      <c r="N44">
        <v>2</v>
      </c>
      <c r="O44">
        <v>7</v>
      </c>
    </row>
    <row r="45" spans="1:15" x14ac:dyDescent="0.25">
      <c r="J45" s="2" t="s">
        <v>1</v>
      </c>
      <c r="K45" s="2">
        <v>22</v>
      </c>
      <c r="L45" s="2">
        <v>59</v>
      </c>
      <c r="M45" s="2">
        <v>28</v>
      </c>
      <c r="N45" s="2">
        <v>43</v>
      </c>
      <c r="O45" s="2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043C-C42E-412A-9AF4-935ED6BD519C}">
  <dimension ref="A1:M34"/>
  <sheetViews>
    <sheetView workbookViewId="0">
      <selection activeCell="A24" sqref="A24:F24"/>
    </sheetView>
  </sheetViews>
  <sheetFormatPr defaultRowHeight="15" x14ac:dyDescent="0.25"/>
  <cols>
    <col min="5" max="5" width="12.85546875" customWidth="1"/>
    <col min="8" max="8" width="11.85546875" customWidth="1"/>
    <col min="10" max="10" width="11.7109375" customWidth="1"/>
    <col min="11" max="11" width="12.42578125" customWidth="1"/>
    <col min="12" max="12" width="10.7109375" customWidth="1"/>
  </cols>
  <sheetData>
    <row r="1" spans="1:13" x14ac:dyDescent="0.25">
      <c r="A1" t="s">
        <v>0</v>
      </c>
      <c r="B1" t="s">
        <v>77</v>
      </c>
      <c r="C1" t="s">
        <v>75</v>
      </c>
      <c r="D1" t="s">
        <v>76</v>
      </c>
      <c r="E1" t="s">
        <v>84</v>
      </c>
      <c r="F1" t="s">
        <v>1</v>
      </c>
      <c r="H1" t="s">
        <v>86</v>
      </c>
      <c r="I1" t="s">
        <v>81</v>
      </c>
      <c r="J1" t="s">
        <v>87</v>
      </c>
      <c r="K1" t="s">
        <v>88</v>
      </c>
      <c r="L1" t="s">
        <v>89</v>
      </c>
      <c r="M1" t="s">
        <v>1</v>
      </c>
    </row>
    <row r="2" spans="1:13" x14ac:dyDescent="0.25">
      <c r="A2" t="s">
        <v>109</v>
      </c>
      <c r="B2">
        <v>1</v>
      </c>
      <c r="C2">
        <v>1</v>
      </c>
      <c r="D2">
        <v>0</v>
      </c>
      <c r="E2">
        <v>1</v>
      </c>
      <c r="F2">
        <v>3</v>
      </c>
      <c r="H2" t="s">
        <v>109</v>
      </c>
      <c r="I2">
        <v>1</v>
      </c>
      <c r="J2">
        <v>4</v>
      </c>
      <c r="K2">
        <v>0</v>
      </c>
      <c r="L2">
        <v>2</v>
      </c>
      <c r="M2">
        <v>7</v>
      </c>
    </row>
    <row r="3" spans="1:13" x14ac:dyDescent="0.25">
      <c r="A3" t="s">
        <v>92</v>
      </c>
      <c r="B3">
        <v>0</v>
      </c>
      <c r="C3">
        <v>0</v>
      </c>
      <c r="D3">
        <v>1</v>
      </c>
      <c r="E3">
        <v>1</v>
      </c>
      <c r="F3">
        <v>2</v>
      </c>
      <c r="H3" t="s">
        <v>120</v>
      </c>
      <c r="I3">
        <v>0</v>
      </c>
      <c r="J3">
        <v>0</v>
      </c>
      <c r="K3">
        <v>2</v>
      </c>
      <c r="L3">
        <v>0</v>
      </c>
      <c r="M3">
        <v>2</v>
      </c>
    </row>
    <row r="4" spans="1:13" x14ac:dyDescent="0.25">
      <c r="A4" t="s">
        <v>110</v>
      </c>
      <c r="B4">
        <v>6</v>
      </c>
      <c r="C4">
        <v>5</v>
      </c>
      <c r="D4">
        <v>6</v>
      </c>
      <c r="E4">
        <v>5</v>
      </c>
      <c r="F4">
        <v>22</v>
      </c>
      <c r="H4" t="s">
        <v>92</v>
      </c>
      <c r="I4">
        <v>0</v>
      </c>
      <c r="J4">
        <v>0</v>
      </c>
      <c r="K4">
        <v>1</v>
      </c>
      <c r="L4">
        <v>0</v>
      </c>
      <c r="M4">
        <v>1</v>
      </c>
    </row>
    <row r="5" spans="1:13" x14ac:dyDescent="0.25">
      <c r="A5" t="s">
        <v>93</v>
      </c>
      <c r="B5">
        <v>5</v>
      </c>
      <c r="C5">
        <v>2</v>
      </c>
      <c r="D5">
        <v>5</v>
      </c>
      <c r="E5">
        <v>3</v>
      </c>
      <c r="F5">
        <v>15</v>
      </c>
      <c r="H5" t="s">
        <v>110</v>
      </c>
      <c r="I5">
        <v>2</v>
      </c>
      <c r="J5" s="6">
        <v>0</v>
      </c>
      <c r="K5">
        <v>2</v>
      </c>
      <c r="L5">
        <v>2</v>
      </c>
      <c r="M5">
        <v>6</v>
      </c>
    </row>
    <row r="6" spans="1:13" x14ac:dyDescent="0.25">
      <c r="A6" t="s">
        <v>94</v>
      </c>
      <c r="B6">
        <v>2</v>
      </c>
      <c r="C6">
        <v>1</v>
      </c>
      <c r="D6">
        <v>2</v>
      </c>
      <c r="E6">
        <v>1</v>
      </c>
      <c r="F6">
        <v>6</v>
      </c>
      <c r="H6" t="s">
        <v>93</v>
      </c>
      <c r="I6">
        <v>2</v>
      </c>
      <c r="J6">
        <v>8</v>
      </c>
      <c r="K6">
        <v>0</v>
      </c>
      <c r="L6">
        <v>0</v>
      </c>
      <c r="M6">
        <v>10</v>
      </c>
    </row>
    <row r="7" spans="1:13" x14ac:dyDescent="0.25">
      <c r="A7" t="s">
        <v>111</v>
      </c>
      <c r="B7">
        <v>3</v>
      </c>
      <c r="C7">
        <v>3</v>
      </c>
      <c r="D7">
        <v>3</v>
      </c>
      <c r="E7">
        <v>2</v>
      </c>
      <c r="F7">
        <v>11</v>
      </c>
      <c r="H7" t="s">
        <v>94</v>
      </c>
      <c r="I7">
        <v>1</v>
      </c>
      <c r="J7">
        <v>4</v>
      </c>
      <c r="K7">
        <v>1</v>
      </c>
      <c r="L7">
        <v>2</v>
      </c>
      <c r="M7">
        <v>8</v>
      </c>
    </row>
    <row r="8" spans="1:13" x14ac:dyDescent="0.25">
      <c r="A8" t="s">
        <v>95</v>
      </c>
      <c r="B8">
        <v>5</v>
      </c>
      <c r="C8">
        <v>7</v>
      </c>
      <c r="D8">
        <v>4</v>
      </c>
      <c r="E8">
        <v>3</v>
      </c>
      <c r="F8">
        <v>19</v>
      </c>
      <c r="H8" t="s">
        <v>111</v>
      </c>
      <c r="I8">
        <v>1</v>
      </c>
      <c r="J8">
        <v>0</v>
      </c>
      <c r="K8">
        <v>2</v>
      </c>
      <c r="L8">
        <v>2</v>
      </c>
      <c r="M8">
        <v>5</v>
      </c>
    </row>
    <row r="9" spans="1:13" x14ac:dyDescent="0.25">
      <c r="A9" t="s">
        <v>112</v>
      </c>
      <c r="B9">
        <v>6</v>
      </c>
      <c r="C9">
        <v>6</v>
      </c>
      <c r="D9">
        <v>5</v>
      </c>
      <c r="E9">
        <v>6</v>
      </c>
      <c r="F9">
        <v>23</v>
      </c>
      <c r="H9" t="s">
        <v>121</v>
      </c>
      <c r="I9">
        <v>0</v>
      </c>
      <c r="J9">
        <v>0</v>
      </c>
      <c r="K9">
        <v>2</v>
      </c>
      <c r="L9">
        <v>0</v>
      </c>
      <c r="M9">
        <v>2</v>
      </c>
    </row>
    <row r="10" spans="1:13" x14ac:dyDescent="0.25">
      <c r="A10" t="s">
        <v>96</v>
      </c>
      <c r="B10">
        <v>0</v>
      </c>
      <c r="C10">
        <v>2</v>
      </c>
      <c r="D10">
        <v>0</v>
      </c>
      <c r="E10">
        <v>1</v>
      </c>
      <c r="F10">
        <v>3</v>
      </c>
      <c r="H10" t="s">
        <v>95</v>
      </c>
      <c r="I10">
        <v>2</v>
      </c>
      <c r="J10">
        <v>0</v>
      </c>
      <c r="K10">
        <v>0</v>
      </c>
      <c r="L10">
        <v>5</v>
      </c>
      <c r="M10">
        <v>7</v>
      </c>
    </row>
    <row r="11" spans="1:13" x14ac:dyDescent="0.25">
      <c r="A11" t="s">
        <v>97</v>
      </c>
      <c r="B11">
        <v>5</v>
      </c>
      <c r="C11">
        <v>4</v>
      </c>
      <c r="D11">
        <v>5</v>
      </c>
      <c r="E11">
        <v>4</v>
      </c>
      <c r="F11">
        <v>18</v>
      </c>
      <c r="H11" t="s">
        <v>122</v>
      </c>
      <c r="I11">
        <v>0</v>
      </c>
      <c r="J11">
        <v>0</v>
      </c>
      <c r="K11">
        <v>2</v>
      </c>
      <c r="L11">
        <v>0</v>
      </c>
      <c r="M11">
        <v>2</v>
      </c>
    </row>
    <row r="12" spans="1:13" x14ac:dyDescent="0.25">
      <c r="A12" s="6" t="s">
        <v>98</v>
      </c>
      <c r="B12" s="6">
        <v>7</v>
      </c>
      <c r="C12" s="6">
        <v>10</v>
      </c>
      <c r="D12" s="6">
        <v>7</v>
      </c>
      <c r="E12" s="6">
        <v>5</v>
      </c>
      <c r="F12" s="6">
        <v>29</v>
      </c>
      <c r="H12" t="s">
        <v>123</v>
      </c>
      <c r="I12">
        <v>0</v>
      </c>
      <c r="J12">
        <v>0</v>
      </c>
      <c r="K12">
        <v>2</v>
      </c>
      <c r="L12">
        <v>0</v>
      </c>
      <c r="M12">
        <v>2</v>
      </c>
    </row>
    <row r="13" spans="1:13" x14ac:dyDescent="0.25">
      <c r="A13" t="s">
        <v>99</v>
      </c>
      <c r="B13">
        <v>0</v>
      </c>
      <c r="C13">
        <v>3</v>
      </c>
      <c r="D13">
        <v>4</v>
      </c>
      <c r="E13">
        <v>2</v>
      </c>
      <c r="F13">
        <v>9</v>
      </c>
      <c r="H13" t="s">
        <v>112</v>
      </c>
      <c r="I13">
        <v>1</v>
      </c>
      <c r="J13">
        <v>3</v>
      </c>
      <c r="K13">
        <v>4</v>
      </c>
      <c r="L13">
        <v>3</v>
      </c>
      <c r="M13">
        <v>11</v>
      </c>
    </row>
    <row r="14" spans="1:13" x14ac:dyDescent="0.25">
      <c r="A14" t="s">
        <v>100</v>
      </c>
      <c r="B14">
        <v>7</v>
      </c>
      <c r="C14">
        <v>4</v>
      </c>
      <c r="D14">
        <v>5</v>
      </c>
      <c r="E14">
        <v>1</v>
      </c>
      <c r="F14">
        <v>17</v>
      </c>
      <c r="H14" t="s">
        <v>97</v>
      </c>
      <c r="I14">
        <v>1</v>
      </c>
      <c r="J14">
        <v>0</v>
      </c>
      <c r="K14">
        <v>3</v>
      </c>
      <c r="L14">
        <v>2</v>
      </c>
      <c r="M14">
        <v>6</v>
      </c>
    </row>
    <row r="15" spans="1:13" x14ac:dyDescent="0.25">
      <c r="A15" s="6" t="s">
        <v>101</v>
      </c>
      <c r="B15" s="6">
        <v>11</v>
      </c>
      <c r="C15" s="6">
        <v>10</v>
      </c>
      <c r="D15" s="6">
        <v>7</v>
      </c>
      <c r="E15" s="6">
        <v>8</v>
      </c>
      <c r="F15" s="6">
        <v>36</v>
      </c>
      <c r="H15" t="s">
        <v>124</v>
      </c>
      <c r="I15">
        <v>0</v>
      </c>
      <c r="J15">
        <v>1</v>
      </c>
      <c r="K15">
        <v>0</v>
      </c>
      <c r="L15">
        <v>0</v>
      </c>
      <c r="M15">
        <v>1</v>
      </c>
    </row>
    <row r="16" spans="1:13" x14ac:dyDescent="0.25">
      <c r="A16" t="s">
        <v>102</v>
      </c>
      <c r="B16">
        <v>1</v>
      </c>
      <c r="C16">
        <v>1</v>
      </c>
      <c r="D16">
        <v>0</v>
      </c>
      <c r="E16">
        <v>0</v>
      </c>
      <c r="F16">
        <v>2</v>
      </c>
      <c r="H16" t="s">
        <v>98</v>
      </c>
      <c r="I16">
        <v>2</v>
      </c>
      <c r="J16" s="6">
        <v>0</v>
      </c>
      <c r="K16">
        <v>2</v>
      </c>
      <c r="L16">
        <v>8</v>
      </c>
      <c r="M16">
        <v>12</v>
      </c>
    </row>
    <row r="17" spans="1:13" x14ac:dyDescent="0.25">
      <c r="A17" s="6" t="s">
        <v>103</v>
      </c>
      <c r="B17" s="6">
        <v>9</v>
      </c>
      <c r="C17" s="6">
        <v>6</v>
      </c>
      <c r="D17" s="6">
        <v>9</v>
      </c>
      <c r="E17" s="6">
        <v>8</v>
      </c>
      <c r="F17" s="6">
        <v>32</v>
      </c>
      <c r="H17" t="s">
        <v>100</v>
      </c>
      <c r="I17">
        <v>0</v>
      </c>
      <c r="J17">
        <v>4</v>
      </c>
      <c r="K17">
        <v>4</v>
      </c>
      <c r="L17">
        <v>2</v>
      </c>
      <c r="M17">
        <v>10</v>
      </c>
    </row>
    <row r="18" spans="1:13" x14ac:dyDescent="0.25">
      <c r="A18" s="6" t="s">
        <v>113</v>
      </c>
      <c r="B18" s="6">
        <v>10</v>
      </c>
      <c r="C18" s="6">
        <v>9</v>
      </c>
      <c r="D18" s="6">
        <v>12</v>
      </c>
      <c r="E18" s="6">
        <v>11</v>
      </c>
      <c r="F18" s="6">
        <v>42</v>
      </c>
      <c r="H18" t="s">
        <v>101</v>
      </c>
      <c r="I18">
        <v>2</v>
      </c>
      <c r="J18" s="6">
        <v>1</v>
      </c>
      <c r="K18">
        <v>0</v>
      </c>
      <c r="L18">
        <v>9</v>
      </c>
      <c r="M18">
        <v>12</v>
      </c>
    </row>
    <row r="19" spans="1:13" x14ac:dyDescent="0.25">
      <c r="A19" t="s">
        <v>114</v>
      </c>
      <c r="B19">
        <v>6</v>
      </c>
      <c r="C19">
        <v>7</v>
      </c>
      <c r="D19">
        <v>8</v>
      </c>
      <c r="E19">
        <v>6</v>
      </c>
      <c r="F19">
        <v>27</v>
      </c>
      <c r="H19" t="s">
        <v>102</v>
      </c>
      <c r="I19">
        <v>0</v>
      </c>
      <c r="J19">
        <v>4</v>
      </c>
      <c r="K19">
        <v>0</v>
      </c>
      <c r="L19">
        <v>0</v>
      </c>
      <c r="M19">
        <v>4</v>
      </c>
    </row>
    <row r="20" spans="1:13" x14ac:dyDescent="0.25">
      <c r="A20" s="6" t="s">
        <v>115</v>
      </c>
      <c r="B20" s="6">
        <v>10</v>
      </c>
      <c r="C20" s="6">
        <v>5</v>
      </c>
      <c r="D20" s="6">
        <v>10</v>
      </c>
      <c r="E20" s="6">
        <v>6</v>
      </c>
      <c r="F20" s="6">
        <v>31</v>
      </c>
      <c r="H20" s="6" t="s">
        <v>103</v>
      </c>
      <c r="I20" s="6">
        <v>2</v>
      </c>
      <c r="J20" s="6">
        <v>15</v>
      </c>
      <c r="K20" s="6">
        <v>8</v>
      </c>
      <c r="L20" s="6">
        <v>3</v>
      </c>
      <c r="M20" s="6">
        <v>28</v>
      </c>
    </row>
    <row r="21" spans="1:13" x14ac:dyDescent="0.25">
      <c r="A21" t="s">
        <v>116</v>
      </c>
      <c r="B21">
        <v>1</v>
      </c>
      <c r="C21">
        <v>3</v>
      </c>
      <c r="D21">
        <v>2</v>
      </c>
      <c r="E21">
        <v>1</v>
      </c>
      <c r="F21">
        <v>7</v>
      </c>
      <c r="H21" s="6" t="s">
        <v>113</v>
      </c>
      <c r="I21" s="6">
        <v>3</v>
      </c>
      <c r="J21" s="6">
        <v>19</v>
      </c>
      <c r="K21" s="6">
        <v>5</v>
      </c>
      <c r="L21" s="6">
        <v>6</v>
      </c>
      <c r="M21" s="6">
        <v>33</v>
      </c>
    </row>
    <row r="22" spans="1:13" x14ac:dyDescent="0.25">
      <c r="A22" t="s">
        <v>117</v>
      </c>
      <c r="B22">
        <v>6</v>
      </c>
      <c r="C22">
        <v>6</v>
      </c>
      <c r="D22">
        <v>5</v>
      </c>
      <c r="E22">
        <v>5</v>
      </c>
      <c r="F22">
        <v>22</v>
      </c>
      <c r="H22" t="s">
        <v>114</v>
      </c>
      <c r="I22">
        <v>2</v>
      </c>
      <c r="J22">
        <v>6</v>
      </c>
      <c r="K22">
        <v>3</v>
      </c>
      <c r="L22">
        <v>4</v>
      </c>
      <c r="M22">
        <v>15</v>
      </c>
    </row>
    <row r="23" spans="1:13" x14ac:dyDescent="0.25">
      <c r="A23" s="6" t="s">
        <v>118</v>
      </c>
      <c r="B23" s="6">
        <v>21</v>
      </c>
      <c r="C23" s="6">
        <v>16</v>
      </c>
      <c r="D23" s="6">
        <v>20</v>
      </c>
      <c r="E23" s="6">
        <v>23</v>
      </c>
      <c r="F23" s="6">
        <v>80</v>
      </c>
      <c r="H23" t="s">
        <v>115</v>
      </c>
      <c r="I23">
        <v>4</v>
      </c>
      <c r="J23" s="6">
        <v>2</v>
      </c>
      <c r="K23">
        <v>4</v>
      </c>
      <c r="L23">
        <v>5</v>
      </c>
      <c r="M23">
        <v>15</v>
      </c>
    </row>
    <row r="24" spans="1:13" x14ac:dyDescent="0.25">
      <c r="A24" t="s">
        <v>90</v>
      </c>
      <c r="B24">
        <v>0</v>
      </c>
      <c r="C24">
        <v>1</v>
      </c>
      <c r="D24">
        <v>4</v>
      </c>
      <c r="E24">
        <v>3</v>
      </c>
      <c r="F24">
        <v>8</v>
      </c>
      <c r="H24" t="s">
        <v>116</v>
      </c>
      <c r="I24">
        <v>0</v>
      </c>
      <c r="J24">
        <v>1</v>
      </c>
      <c r="K24">
        <v>0</v>
      </c>
      <c r="L24">
        <v>1</v>
      </c>
      <c r="M24">
        <v>2</v>
      </c>
    </row>
    <row r="25" spans="1:13" x14ac:dyDescent="0.25">
      <c r="A25" t="s">
        <v>104</v>
      </c>
      <c r="B25">
        <v>3</v>
      </c>
      <c r="C25">
        <v>4</v>
      </c>
      <c r="D25">
        <v>3</v>
      </c>
      <c r="E25">
        <v>4</v>
      </c>
      <c r="F25">
        <v>14</v>
      </c>
      <c r="H25" t="s">
        <v>117</v>
      </c>
      <c r="I25">
        <v>2</v>
      </c>
      <c r="J25">
        <v>7</v>
      </c>
      <c r="K25">
        <v>4</v>
      </c>
      <c r="L25">
        <v>4</v>
      </c>
      <c r="M25">
        <v>17</v>
      </c>
    </row>
    <row r="26" spans="1:13" x14ac:dyDescent="0.25">
      <c r="A26" t="s">
        <v>105</v>
      </c>
      <c r="B26">
        <v>1</v>
      </c>
      <c r="C26">
        <v>2</v>
      </c>
      <c r="D26">
        <v>2</v>
      </c>
      <c r="E26">
        <v>0</v>
      </c>
      <c r="F26">
        <v>5</v>
      </c>
      <c r="H26" t="s">
        <v>125</v>
      </c>
      <c r="I26">
        <v>0</v>
      </c>
      <c r="J26">
        <v>0</v>
      </c>
      <c r="K26">
        <v>0</v>
      </c>
      <c r="L26">
        <v>1</v>
      </c>
      <c r="M26">
        <v>1</v>
      </c>
    </row>
    <row r="27" spans="1:13" x14ac:dyDescent="0.25">
      <c r="A27" t="s">
        <v>106</v>
      </c>
      <c r="B27">
        <v>6</v>
      </c>
      <c r="C27">
        <v>5</v>
      </c>
      <c r="D27">
        <v>6</v>
      </c>
      <c r="E27">
        <v>6</v>
      </c>
      <c r="F27">
        <v>23</v>
      </c>
      <c r="H27" s="6" t="s">
        <v>118</v>
      </c>
      <c r="I27" s="6">
        <v>5</v>
      </c>
      <c r="J27" s="6">
        <v>13</v>
      </c>
      <c r="K27" s="6">
        <v>4</v>
      </c>
      <c r="L27" s="6">
        <v>12</v>
      </c>
      <c r="M27" s="6">
        <v>34</v>
      </c>
    </row>
    <row r="28" spans="1:13" x14ac:dyDescent="0.25">
      <c r="A28" t="s">
        <v>107</v>
      </c>
      <c r="B28">
        <v>0</v>
      </c>
      <c r="C28">
        <v>0</v>
      </c>
      <c r="D28">
        <v>1</v>
      </c>
      <c r="E28">
        <v>0</v>
      </c>
      <c r="F28">
        <v>1</v>
      </c>
      <c r="H28" t="s">
        <v>90</v>
      </c>
      <c r="I28">
        <v>0</v>
      </c>
      <c r="J28">
        <v>0</v>
      </c>
      <c r="K28">
        <v>2</v>
      </c>
      <c r="L28">
        <v>3</v>
      </c>
      <c r="M28">
        <v>5</v>
      </c>
    </row>
    <row r="29" spans="1:13" x14ac:dyDescent="0.25">
      <c r="A29" t="s">
        <v>119</v>
      </c>
      <c r="B29">
        <v>3</v>
      </c>
      <c r="C29">
        <v>2</v>
      </c>
      <c r="D29">
        <v>3</v>
      </c>
      <c r="E29">
        <v>3</v>
      </c>
      <c r="F29">
        <v>11</v>
      </c>
      <c r="H29" t="s">
        <v>105</v>
      </c>
      <c r="I29">
        <v>1</v>
      </c>
      <c r="J29">
        <v>4</v>
      </c>
      <c r="K29">
        <v>1</v>
      </c>
      <c r="L29">
        <v>2</v>
      </c>
      <c r="M29">
        <v>8</v>
      </c>
    </row>
    <row r="30" spans="1:13" x14ac:dyDescent="0.25">
      <c r="A30" s="2" t="s">
        <v>1</v>
      </c>
      <c r="B30" s="2">
        <v>135</v>
      </c>
      <c r="C30" s="2">
        <v>125</v>
      </c>
      <c r="D30" s="2">
        <v>139</v>
      </c>
      <c r="E30" s="2">
        <v>119</v>
      </c>
      <c r="F30" s="2">
        <v>518</v>
      </c>
      <c r="H30" t="s">
        <v>126</v>
      </c>
      <c r="I30">
        <v>0</v>
      </c>
      <c r="J30">
        <v>1</v>
      </c>
      <c r="K30">
        <v>0</v>
      </c>
      <c r="L30">
        <v>0</v>
      </c>
      <c r="M30">
        <v>1</v>
      </c>
    </row>
    <row r="31" spans="1:13" x14ac:dyDescent="0.25">
      <c r="H31" t="s">
        <v>106</v>
      </c>
      <c r="I31">
        <v>2</v>
      </c>
      <c r="J31">
        <v>4</v>
      </c>
      <c r="K31">
        <v>1</v>
      </c>
      <c r="L31">
        <v>2</v>
      </c>
      <c r="M31">
        <v>9</v>
      </c>
    </row>
    <row r="32" spans="1:13" x14ac:dyDescent="0.25">
      <c r="H32" t="s">
        <v>107</v>
      </c>
      <c r="I32">
        <v>0</v>
      </c>
      <c r="J32">
        <v>1</v>
      </c>
      <c r="K32">
        <v>0</v>
      </c>
      <c r="L32">
        <v>0</v>
      </c>
      <c r="M32">
        <v>1</v>
      </c>
    </row>
    <row r="33" spans="8:13" x14ac:dyDescent="0.25">
      <c r="H33" t="s">
        <v>119</v>
      </c>
      <c r="I33">
        <v>1</v>
      </c>
      <c r="J33">
        <v>4</v>
      </c>
      <c r="K33">
        <v>0</v>
      </c>
      <c r="L33">
        <v>2</v>
      </c>
      <c r="M33">
        <v>7</v>
      </c>
    </row>
    <row r="34" spans="8:13" x14ac:dyDescent="0.25">
      <c r="H34" s="2" t="s">
        <v>1</v>
      </c>
      <c r="I34" s="2">
        <v>37</v>
      </c>
      <c r="J34" s="2">
        <v>106</v>
      </c>
      <c r="K34" s="2">
        <v>59</v>
      </c>
      <c r="L34" s="2">
        <v>82</v>
      </c>
      <c r="M34" s="2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EA8B-9AF0-41F9-8FE0-E988C9CA2FBA}">
  <dimension ref="A1:P56"/>
  <sheetViews>
    <sheetView topLeftCell="A28" workbookViewId="0">
      <selection activeCell="G60" sqref="G60"/>
    </sheetView>
  </sheetViews>
  <sheetFormatPr defaultRowHeight="15" x14ac:dyDescent="0.25"/>
  <cols>
    <col min="1" max="1" width="19" customWidth="1"/>
    <col min="8" max="8" width="9.140625" style="1"/>
    <col min="9" max="9" width="22.85546875" customWidth="1"/>
    <col min="11" max="11" width="12.42578125" customWidth="1"/>
  </cols>
  <sheetData>
    <row r="1" spans="1:14" x14ac:dyDescent="0.25">
      <c r="A1" s="2" t="s">
        <v>163</v>
      </c>
      <c r="B1" s="2" t="s">
        <v>77</v>
      </c>
      <c r="C1" s="2" t="s">
        <v>75</v>
      </c>
      <c r="D1" s="2" t="s">
        <v>76</v>
      </c>
      <c r="E1" s="2" t="s">
        <v>84</v>
      </c>
      <c r="F1" s="2" t="s">
        <v>1</v>
      </c>
      <c r="G1" s="2"/>
      <c r="H1" s="9"/>
      <c r="I1" s="2" t="s">
        <v>0</v>
      </c>
      <c r="J1" s="2" t="s">
        <v>81</v>
      </c>
      <c r="K1" s="2" t="s">
        <v>87</v>
      </c>
      <c r="L1" s="2" t="s">
        <v>88</v>
      </c>
      <c r="M1" s="2" t="s">
        <v>80</v>
      </c>
      <c r="N1" s="2" t="s">
        <v>1</v>
      </c>
    </row>
    <row r="2" spans="1:14" x14ac:dyDescent="0.25">
      <c r="A2" t="s">
        <v>127</v>
      </c>
      <c r="B2">
        <v>2</v>
      </c>
      <c r="C2">
        <v>2</v>
      </c>
      <c r="D2">
        <v>1</v>
      </c>
      <c r="E2">
        <v>0</v>
      </c>
      <c r="F2">
        <v>5</v>
      </c>
      <c r="I2" s="6" t="s">
        <v>127</v>
      </c>
      <c r="J2">
        <v>0</v>
      </c>
      <c r="K2">
        <v>1</v>
      </c>
      <c r="L2">
        <v>0</v>
      </c>
      <c r="M2">
        <v>0</v>
      </c>
      <c r="N2">
        <v>1</v>
      </c>
    </row>
    <row r="3" spans="1:14" x14ac:dyDescent="0.25">
      <c r="A3" t="s">
        <v>128</v>
      </c>
      <c r="B3">
        <v>0</v>
      </c>
      <c r="C3">
        <v>1</v>
      </c>
      <c r="D3">
        <v>1</v>
      </c>
      <c r="E3">
        <v>0</v>
      </c>
      <c r="F3">
        <v>2</v>
      </c>
      <c r="I3" s="6" t="s">
        <v>164</v>
      </c>
      <c r="J3">
        <v>1</v>
      </c>
      <c r="K3">
        <v>2</v>
      </c>
      <c r="L3">
        <v>0</v>
      </c>
      <c r="M3">
        <v>0</v>
      </c>
      <c r="N3">
        <v>3</v>
      </c>
    </row>
    <row r="4" spans="1:14" x14ac:dyDescent="0.25">
      <c r="A4" s="6" t="s">
        <v>129</v>
      </c>
      <c r="B4">
        <v>0</v>
      </c>
      <c r="C4">
        <v>1</v>
      </c>
      <c r="D4">
        <v>0</v>
      </c>
      <c r="E4">
        <v>0</v>
      </c>
      <c r="F4">
        <v>1</v>
      </c>
      <c r="I4" s="6" t="s">
        <v>165</v>
      </c>
      <c r="J4">
        <v>0</v>
      </c>
      <c r="K4">
        <v>0</v>
      </c>
      <c r="L4">
        <v>0</v>
      </c>
      <c r="M4">
        <v>1</v>
      </c>
      <c r="N4">
        <v>1</v>
      </c>
    </row>
    <row r="5" spans="1:14" x14ac:dyDescent="0.25">
      <c r="A5" s="6" t="s">
        <v>130</v>
      </c>
      <c r="B5">
        <v>1</v>
      </c>
      <c r="C5">
        <v>1</v>
      </c>
      <c r="D5">
        <v>0</v>
      </c>
      <c r="E5">
        <v>0</v>
      </c>
      <c r="F5">
        <v>2</v>
      </c>
      <c r="I5" s="6" t="s">
        <v>166</v>
      </c>
      <c r="J5">
        <v>0</v>
      </c>
      <c r="K5">
        <v>0</v>
      </c>
      <c r="L5">
        <v>0</v>
      </c>
      <c r="M5">
        <v>1</v>
      </c>
      <c r="N5">
        <v>1</v>
      </c>
    </row>
    <row r="6" spans="1:14" x14ac:dyDescent="0.25">
      <c r="A6" s="6" t="s">
        <v>131</v>
      </c>
      <c r="B6">
        <v>0</v>
      </c>
      <c r="C6">
        <v>0</v>
      </c>
      <c r="D6">
        <v>1</v>
      </c>
      <c r="E6">
        <v>0</v>
      </c>
      <c r="F6">
        <v>1</v>
      </c>
      <c r="I6" s="6" t="s">
        <v>128</v>
      </c>
      <c r="J6">
        <v>0</v>
      </c>
      <c r="K6">
        <v>1</v>
      </c>
      <c r="L6">
        <v>0</v>
      </c>
      <c r="M6">
        <v>0</v>
      </c>
      <c r="N6">
        <v>1</v>
      </c>
    </row>
    <row r="7" spans="1:14" x14ac:dyDescent="0.25">
      <c r="A7" s="6" t="s">
        <v>132</v>
      </c>
      <c r="B7">
        <v>1</v>
      </c>
      <c r="C7">
        <v>0</v>
      </c>
      <c r="D7">
        <v>0</v>
      </c>
      <c r="E7">
        <v>0</v>
      </c>
      <c r="F7">
        <v>1</v>
      </c>
      <c r="I7" s="6" t="s">
        <v>167</v>
      </c>
      <c r="J7">
        <v>0</v>
      </c>
      <c r="K7">
        <v>0</v>
      </c>
      <c r="L7">
        <v>2</v>
      </c>
      <c r="M7">
        <v>0</v>
      </c>
      <c r="N7">
        <v>2</v>
      </c>
    </row>
    <row r="8" spans="1:14" x14ac:dyDescent="0.25">
      <c r="A8" s="6" t="s">
        <v>133</v>
      </c>
      <c r="B8">
        <v>0</v>
      </c>
      <c r="C8">
        <v>4</v>
      </c>
      <c r="D8">
        <v>1</v>
      </c>
      <c r="E8">
        <v>1</v>
      </c>
      <c r="F8">
        <v>6</v>
      </c>
      <c r="G8">
        <f>SUM(F2:F8)</f>
        <v>18</v>
      </c>
      <c r="H8" s="1">
        <f>(G8/F38)*100</f>
        <v>5.4054054054054053</v>
      </c>
      <c r="I8" s="6" t="s">
        <v>129</v>
      </c>
      <c r="J8">
        <v>0</v>
      </c>
      <c r="K8">
        <v>0</v>
      </c>
      <c r="L8">
        <v>1</v>
      </c>
      <c r="M8">
        <v>1</v>
      </c>
      <c r="N8">
        <v>2</v>
      </c>
    </row>
    <row r="9" spans="1:14" x14ac:dyDescent="0.25">
      <c r="A9" s="8" t="s">
        <v>134</v>
      </c>
      <c r="B9">
        <v>5</v>
      </c>
      <c r="C9">
        <v>2</v>
      </c>
      <c r="D9">
        <v>11</v>
      </c>
      <c r="E9">
        <v>2</v>
      </c>
      <c r="F9">
        <v>20</v>
      </c>
      <c r="I9" s="6" t="s">
        <v>130</v>
      </c>
      <c r="J9">
        <v>1</v>
      </c>
      <c r="K9">
        <v>0</v>
      </c>
      <c r="L9">
        <v>1</v>
      </c>
      <c r="M9">
        <v>0</v>
      </c>
      <c r="N9">
        <v>2</v>
      </c>
    </row>
    <row r="10" spans="1:14" x14ac:dyDescent="0.25">
      <c r="A10" s="8" t="s">
        <v>135</v>
      </c>
      <c r="B10">
        <v>3</v>
      </c>
      <c r="C10">
        <v>4</v>
      </c>
      <c r="D10">
        <v>3</v>
      </c>
      <c r="E10">
        <v>3</v>
      </c>
      <c r="F10">
        <v>13</v>
      </c>
      <c r="I10" s="6" t="s">
        <v>168</v>
      </c>
      <c r="J10">
        <v>0</v>
      </c>
      <c r="K10">
        <v>0</v>
      </c>
      <c r="L10">
        <v>2</v>
      </c>
      <c r="M10">
        <v>0</v>
      </c>
      <c r="N10">
        <v>2</v>
      </c>
    </row>
    <row r="11" spans="1:14" x14ac:dyDescent="0.25">
      <c r="A11" s="8" t="s">
        <v>136</v>
      </c>
      <c r="B11">
        <v>3</v>
      </c>
      <c r="C11">
        <v>3</v>
      </c>
      <c r="D11">
        <v>3</v>
      </c>
      <c r="E11">
        <v>3</v>
      </c>
      <c r="F11">
        <v>12</v>
      </c>
      <c r="I11" s="6" t="s">
        <v>169</v>
      </c>
      <c r="J11">
        <v>0</v>
      </c>
      <c r="K11">
        <v>0</v>
      </c>
      <c r="L11">
        <v>2</v>
      </c>
      <c r="M11">
        <v>0</v>
      </c>
      <c r="N11">
        <v>2</v>
      </c>
    </row>
    <row r="12" spans="1:14" x14ac:dyDescent="0.25">
      <c r="A12" s="8" t="s">
        <v>137</v>
      </c>
      <c r="B12">
        <v>3</v>
      </c>
      <c r="C12">
        <v>2</v>
      </c>
      <c r="D12">
        <v>2</v>
      </c>
      <c r="E12">
        <v>1</v>
      </c>
      <c r="F12">
        <v>8</v>
      </c>
      <c r="I12" s="6" t="s">
        <v>170</v>
      </c>
      <c r="J12">
        <v>0</v>
      </c>
      <c r="K12">
        <v>0</v>
      </c>
      <c r="L12">
        <v>0</v>
      </c>
      <c r="M12">
        <v>1</v>
      </c>
      <c r="N12">
        <v>1</v>
      </c>
    </row>
    <row r="13" spans="1:14" x14ac:dyDescent="0.25">
      <c r="A13" s="8" t="s">
        <v>138</v>
      </c>
      <c r="B13">
        <v>1</v>
      </c>
      <c r="C13">
        <v>2</v>
      </c>
      <c r="D13">
        <v>1</v>
      </c>
      <c r="E13">
        <v>1</v>
      </c>
      <c r="F13">
        <v>5</v>
      </c>
      <c r="G13">
        <f>SUM(F9:F13)</f>
        <v>58</v>
      </c>
      <c r="I13" s="6" t="s">
        <v>171</v>
      </c>
      <c r="J13">
        <v>0</v>
      </c>
      <c r="K13">
        <v>0</v>
      </c>
      <c r="L13">
        <v>1</v>
      </c>
      <c r="M13">
        <v>0</v>
      </c>
      <c r="N13">
        <v>1</v>
      </c>
    </row>
    <row r="14" spans="1:14" x14ac:dyDescent="0.25">
      <c r="A14" s="7" t="s">
        <v>139</v>
      </c>
      <c r="B14">
        <v>8</v>
      </c>
      <c r="C14">
        <v>4</v>
      </c>
      <c r="D14">
        <v>5</v>
      </c>
      <c r="E14">
        <v>4</v>
      </c>
      <c r="F14">
        <v>21</v>
      </c>
      <c r="I14" s="6" t="s">
        <v>172</v>
      </c>
      <c r="J14">
        <v>0</v>
      </c>
      <c r="K14">
        <v>0</v>
      </c>
      <c r="L14">
        <v>1</v>
      </c>
      <c r="M14">
        <v>0</v>
      </c>
      <c r="N14">
        <v>1</v>
      </c>
    </row>
    <row r="15" spans="1:14" x14ac:dyDescent="0.25">
      <c r="A15" s="7" t="s">
        <v>140</v>
      </c>
      <c r="B15">
        <v>0</v>
      </c>
      <c r="C15">
        <v>1</v>
      </c>
      <c r="D15">
        <v>1</v>
      </c>
      <c r="E15">
        <v>1</v>
      </c>
      <c r="F15">
        <v>3</v>
      </c>
      <c r="I15" s="6" t="s">
        <v>173</v>
      </c>
      <c r="J15">
        <v>0</v>
      </c>
      <c r="K15">
        <v>0</v>
      </c>
      <c r="L15">
        <v>1</v>
      </c>
      <c r="M15">
        <v>0</v>
      </c>
      <c r="N15">
        <v>1</v>
      </c>
    </row>
    <row r="16" spans="1:14" x14ac:dyDescent="0.25">
      <c r="A16" s="7" t="s">
        <v>141</v>
      </c>
      <c r="B16">
        <v>10</v>
      </c>
      <c r="C16">
        <v>8</v>
      </c>
      <c r="D16">
        <v>9</v>
      </c>
      <c r="E16">
        <v>7</v>
      </c>
      <c r="F16">
        <v>34</v>
      </c>
      <c r="I16" s="6" t="s">
        <v>131</v>
      </c>
      <c r="J16">
        <v>0</v>
      </c>
      <c r="K16">
        <v>0</v>
      </c>
      <c r="L16">
        <v>1</v>
      </c>
      <c r="M16">
        <v>0</v>
      </c>
      <c r="N16">
        <v>1</v>
      </c>
    </row>
    <row r="17" spans="1:16" x14ac:dyDescent="0.25">
      <c r="A17" s="7" t="s">
        <v>142</v>
      </c>
      <c r="B17">
        <v>1</v>
      </c>
      <c r="C17">
        <v>1</v>
      </c>
      <c r="D17">
        <v>1</v>
      </c>
      <c r="E17">
        <v>2</v>
      </c>
      <c r="F17">
        <v>5</v>
      </c>
      <c r="I17" s="6" t="s">
        <v>174</v>
      </c>
      <c r="J17">
        <v>0</v>
      </c>
      <c r="K17">
        <v>0</v>
      </c>
      <c r="L17">
        <v>1</v>
      </c>
      <c r="M17">
        <v>0</v>
      </c>
      <c r="N17">
        <v>1</v>
      </c>
    </row>
    <row r="18" spans="1:16" x14ac:dyDescent="0.25">
      <c r="A18" s="7" t="s">
        <v>143</v>
      </c>
      <c r="B18">
        <v>2</v>
      </c>
      <c r="C18">
        <v>1</v>
      </c>
      <c r="D18">
        <v>1</v>
      </c>
      <c r="E18">
        <v>1</v>
      </c>
      <c r="F18">
        <v>5</v>
      </c>
      <c r="I18" s="6" t="s">
        <v>133</v>
      </c>
      <c r="J18">
        <v>0</v>
      </c>
      <c r="K18">
        <v>7</v>
      </c>
      <c r="L18">
        <v>1</v>
      </c>
      <c r="M18">
        <v>3</v>
      </c>
      <c r="N18">
        <v>11</v>
      </c>
    </row>
    <row r="19" spans="1:16" x14ac:dyDescent="0.25">
      <c r="A19" s="7" t="s">
        <v>144</v>
      </c>
      <c r="B19">
        <v>9</v>
      </c>
      <c r="C19">
        <v>6</v>
      </c>
      <c r="D19">
        <v>6</v>
      </c>
      <c r="E19">
        <v>6</v>
      </c>
      <c r="F19">
        <v>27</v>
      </c>
      <c r="I19" s="6" t="s">
        <v>175</v>
      </c>
      <c r="J19">
        <v>0</v>
      </c>
      <c r="K19">
        <v>2</v>
      </c>
      <c r="L19">
        <v>0</v>
      </c>
      <c r="M19">
        <v>0</v>
      </c>
      <c r="N19">
        <v>2</v>
      </c>
      <c r="O19">
        <f>SUM(N2:N19)</f>
        <v>36</v>
      </c>
      <c r="P19">
        <f>(O19/N56)*100</f>
        <v>17.560975609756095</v>
      </c>
    </row>
    <row r="20" spans="1:16" x14ac:dyDescent="0.25">
      <c r="A20" s="7" t="s">
        <v>145</v>
      </c>
      <c r="B20">
        <v>0</v>
      </c>
      <c r="C20">
        <v>2</v>
      </c>
      <c r="D20">
        <v>0</v>
      </c>
      <c r="E20">
        <v>0</v>
      </c>
      <c r="F20">
        <v>2</v>
      </c>
      <c r="I20" s="8" t="s">
        <v>176</v>
      </c>
      <c r="J20">
        <v>0</v>
      </c>
      <c r="K20">
        <v>0</v>
      </c>
      <c r="L20">
        <v>1</v>
      </c>
      <c r="M20">
        <v>0</v>
      </c>
      <c r="N20">
        <v>1</v>
      </c>
    </row>
    <row r="21" spans="1:16" x14ac:dyDescent="0.25">
      <c r="A21" s="7" t="s">
        <v>146</v>
      </c>
      <c r="B21">
        <v>0</v>
      </c>
      <c r="C21">
        <v>0</v>
      </c>
      <c r="D21">
        <v>2</v>
      </c>
      <c r="E21">
        <v>3</v>
      </c>
      <c r="F21">
        <v>5</v>
      </c>
      <c r="I21" s="8" t="s">
        <v>134</v>
      </c>
      <c r="J21">
        <v>0</v>
      </c>
      <c r="K21">
        <v>3</v>
      </c>
      <c r="L21">
        <v>0</v>
      </c>
      <c r="M21">
        <v>0</v>
      </c>
      <c r="N21">
        <v>3</v>
      </c>
    </row>
    <row r="22" spans="1:16" x14ac:dyDescent="0.25">
      <c r="A22" s="7" t="s">
        <v>147</v>
      </c>
      <c r="B22">
        <v>8</v>
      </c>
      <c r="C22">
        <v>8</v>
      </c>
      <c r="D22">
        <v>10</v>
      </c>
      <c r="E22">
        <v>8</v>
      </c>
      <c r="F22">
        <v>34</v>
      </c>
      <c r="G22">
        <f>SUM(F14:F22)</f>
        <v>136</v>
      </c>
      <c r="H22" s="1">
        <f>(G22/F38)*100</f>
        <v>40.840840840840841</v>
      </c>
      <c r="I22" s="8" t="s">
        <v>177</v>
      </c>
      <c r="J22">
        <v>0</v>
      </c>
      <c r="K22">
        <v>1</v>
      </c>
      <c r="L22">
        <v>0</v>
      </c>
      <c r="M22">
        <v>0</v>
      </c>
      <c r="N22">
        <v>1</v>
      </c>
    </row>
    <row r="23" spans="1:16" x14ac:dyDescent="0.25">
      <c r="A23" s="8" t="s">
        <v>148</v>
      </c>
      <c r="B23">
        <v>1</v>
      </c>
      <c r="C23">
        <v>0</v>
      </c>
      <c r="D23">
        <v>0</v>
      </c>
      <c r="E23">
        <v>0</v>
      </c>
      <c r="F23">
        <v>1</v>
      </c>
      <c r="I23" s="8" t="s">
        <v>135</v>
      </c>
      <c r="J23">
        <v>1</v>
      </c>
      <c r="K23">
        <v>6</v>
      </c>
      <c r="L23">
        <v>1</v>
      </c>
      <c r="M23">
        <v>2</v>
      </c>
      <c r="N23">
        <v>10</v>
      </c>
    </row>
    <row r="24" spans="1:16" x14ac:dyDescent="0.25">
      <c r="A24" s="8" t="s">
        <v>149</v>
      </c>
      <c r="B24">
        <v>4</v>
      </c>
      <c r="C24">
        <v>2</v>
      </c>
      <c r="D24">
        <v>0</v>
      </c>
      <c r="E24">
        <v>3</v>
      </c>
      <c r="F24">
        <v>9</v>
      </c>
      <c r="I24" s="8" t="s">
        <v>136</v>
      </c>
      <c r="J24">
        <v>1</v>
      </c>
      <c r="K24">
        <v>1</v>
      </c>
      <c r="L24">
        <v>0</v>
      </c>
      <c r="M24">
        <v>1</v>
      </c>
      <c r="N24">
        <v>3</v>
      </c>
    </row>
    <row r="25" spans="1:16" x14ac:dyDescent="0.25">
      <c r="A25" s="8" t="s">
        <v>150</v>
      </c>
      <c r="B25">
        <v>4</v>
      </c>
      <c r="C25">
        <v>5</v>
      </c>
      <c r="D25">
        <v>4</v>
      </c>
      <c r="E25">
        <v>3</v>
      </c>
      <c r="F25">
        <v>16</v>
      </c>
      <c r="I25" s="8" t="s">
        <v>137</v>
      </c>
      <c r="J25">
        <v>0</v>
      </c>
      <c r="K25">
        <v>2</v>
      </c>
      <c r="L25">
        <v>1</v>
      </c>
      <c r="M25">
        <v>1</v>
      </c>
      <c r="N25">
        <v>4</v>
      </c>
    </row>
    <row r="26" spans="1:16" x14ac:dyDescent="0.25">
      <c r="A26" s="8" t="s">
        <v>151</v>
      </c>
      <c r="B26">
        <v>0</v>
      </c>
      <c r="C26">
        <v>0</v>
      </c>
      <c r="D26">
        <v>0</v>
      </c>
      <c r="E26">
        <v>1</v>
      </c>
      <c r="F26">
        <v>1</v>
      </c>
      <c r="I26" s="8" t="s">
        <v>138</v>
      </c>
      <c r="J26">
        <v>0</v>
      </c>
      <c r="K26">
        <v>3</v>
      </c>
      <c r="L26">
        <v>2</v>
      </c>
      <c r="M26">
        <v>0</v>
      </c>
      <c r="N26">
        <v>5</v>
      </c>
    </row>
    <row r="27" spans="1:16" x14ac:dyDescent="0.25">
      <c r="A27" s="8" t="s">
        <v>152</v>
      </c>
      <c r="B27">
        <v>0</v>
      </c>
      <c r="C27">
        <v>0</v>
      </c>
      <c r="D27">
        <v>0</v>
      </c>
      <c r="E27">
        <v>1</v>
      </c>
      <c r="F27">
        <v>1</v>
      </c>
      <c r="I27" s="8" t="s">
        <v>178</v>
      </c>
      <c r="J27">
        <v>0</v>
      </c>
      <c r="K27">
        <v>0</v>
      </c>
      <c r="L27">
        <v>1</v>
      </c>
      <c r="M27">
        <v>0</v>
      </c>
      <c r="N27">
        <v>1</v>
      </c>
      <c r="O27">
        <f>SUM(N20:N27)</f>
        <v>28</v>
      </c>
    </row>
    <row r="28" spans="1:16" x14ac:dyDescent="0.25">
      <c r="A28" s="8" t="s">
        <v>153</v>
      </c>
      <c r="B28">
        <v>8</v>
      </c>
      <c r="C28">
        <v>5</v>
      </c>
      <c r="D28">
        <v>9</v>
      </c>
      <c r="E28">
        <v>8</v>
      </c>
      <c r="F28">
        <v>30</v>
      </c>
      <c r="I28" s="7" t="s">
        <v>179</v>
      </c>
      <c r="J28">
        <v>0</v>
      </c>
      <c r="K28">
        <v>2</v>
      </c>
      <c r="L28">
        <v>0</v>
      </c>
      <c r="M28">
        <v>1</v>
      </c>
      <c r="N28">
        <v>3</v>
      </c>
    </row>
    <row r="29" spans="1:16" x14ac:dyDescent="0.25">
      <c r="A29" s="8" t="s">
        <v>154</v>
      </c>
      <c r="B29">
        <v>3</v>
      </c>
      <c r="C29">
        <v>3</v>
      </c>
      <c r="D29">
        <v>3</v>
      </c>
      <c r="E29">
        <v>3</v>
      </c>
      <c r="F29">
        <v>12</v>
      </c>
      <c r="I29" s="7" t="s">
        <v>180</v>
      </c>
      <c r="J29">
        <v>0</v>
      </c>
      <c r="K29">
        <v>0</v>
      </c>
      <c r="L29">
        <v>0</v>
      </c>
      <c r="M29">
        <v>2</v>
      </c>
      <c r="N29">
        <v>2</v>
      </c>
    </row>
    <row r="30" spans="1:16" x14ac:dyDescent="0.25">
      <c r="A30" s="8" t="s">
        <v>155</v>
      </c>
      <c r="B30">
        <v>1</v>
      </c>
      <c r="C30">
        <v>1</v>
      </c>
      <c r="D30">
        <v>1</v>
      </c>
      <c r="E30">
        <v>1</v>
      </c>
      <c r="F30">
        <v>4</v>
      </c>
      <c r="I30" s="7" t="s">
        <v>139</v>
      </c>
      <c r="J30">
        <v>0</v>
      </c>
      <c r="K30">
        <v>2</v>
      </c>
      <c r="L30">
        <v>6</v>
      </c>
      <c r="M30">
        <v>5</v>
      </c>
      <c r="N30">
        <v>13</v>
      </c>
    </row>
    <row r="31" spans="1:16" x14ac:dyDescent="0.25">
      <c r="A31" s="8" t="s">
        <v>156</v>
      </c>
      <c r="B31">
        <v>2</v>
      </c>
      <c r="C31">
        <v>2</v>
      </c>
      <c r="D31">
        <v>3</v>
      </c>
      <c r="E31">
        <v>3</v>
      </c>
      <c r="F31">
        <v>10</v>
      </c>
      <c r="G31">
        <f>SUM(F23:F31)</f>
        <v>84</v>
      </c>
      <c r="H31" s="1">
        <f>((G13+G31)/F38)*100</f>
        <v>42.642642642642642</v>
      </c>
      <c r="I31" s="7" t="s">
        <v>140</v>
      </c>
      <c r="J31">
        <v>0</v>
      </c>
      <c r="K31">
        <v>0</v>
      </c>
      <c r="L31">
        <v>0</v>
      </c>
      <c r="M31">
        <v>1</v>
      </c>
      <c r="N31">
        <v>1</v>
      </c>
    </row>
    <row r="32" spans="1:16" x14ac:dyDescent="0.25">
      <c r="A32" t="s">
        <v>157</v>
      </c>
      <c r="B32">
        <v>1</v>
      </c>
      <c r="C32">
        <v>2</v>
      </c>
      <c r="D32">
        <v>1</v>
      </c>
      <c r="E32">
        <v>1</v>
      </c>
      <c r="F32">
        <v>5</v>
      </c>
      <c r="I32" s="7" t="s">
        <v>141</v>
      </c>
      <c r="J32">
        <v>3</v>
      </c>
      <c r="K32">
        <v>6</v>
      </c>
      <c r="L32">
        <v>0</v>
      </c>
      <c r="M32">
        <v>5</v>
      </c>
      <c r="N32">
        <v>14</v>
      </c>
    </row>
    <row r="33" spans="1:16" x14ac:dyDescent="0.25">
      <c r="A33" t="s">
        <v>158</v>
      </c>
      <c r="B33">
        <v>1</v>
      </c>
      <c r="C33">
        <v>0</v>
      </c>
      <c r="D33">
        <v>0</v>
      </c>
      <c r="E33">
        <v>0</v>
      </c>
      <c r="F33">
        <v>1</v>
      </c>
      <c r="I33" s="7" t="s">
        <v>142</v>
      </c>
      <c r="J33">
        <v>1</v>
      </c>
      <c r="K33">
        <v>1</v>
      </c>
      <c r="L33">
        <v>0</v>
      </c>
      <c r="M33">
        <v>1</v>
      </c>
      <c r="N33">
        <v>3</v>
      </c>
    </row>
    <row r="34" spans="1:16" x14ac:dyDescent="0.25">
      <c r="A34" t="s">
        <v>159</v>
      </c>
      <c r="B34">
        <v>0</v>
      </c>
      <c r="C34">
        <v>1</v>
      </c>
      <c r="D34">
        <v>0</v>
      </c>
      <c r="E34">
        <v>1</v>
      </c>
      <c r="F34">
        <v>2</v>
      </c>
      <c r="I34" s="7" t="s">
        <v>143</v>
      </c>
      <c r="J34">
        <v>1</v>
      </c>
      <c r="K34">
        <v>0</v>
      </c>
      <c r="L34">
        <v>0</v>
      </c>
      <c r="M34">
        <v>1</v>
      </c>
      <c r="N34">
        <v>2</v>
      </c>
    </row>
    <row r="35" spans="1:16" x14ac:dyDescent="0.25">
      <c r="A35" t="s">
        <v>160</v>
      </c>
      <c r="B35">
        <v>4</v>
      </c>
      <c r="C35">
        <v>5</v>
      </c>
      <c r="D35">
        <v>3</v>
      </c>
      <c r="E35">
        <v>3</v>
      </c>
      <c r="F35">
        <v>15</v>
      </c>
      <c r="I35" s="7" t="s">
        <v>144</v>
      </c>
      <c r="J35">
        <v>0</v>
      </c>
      <c r="K35">
        <v>0</v>
      </c>
      <c r="L35">
        <v>2</v>
      </c>
      <c r="M35">
        <v>6</v>
      </c>
      <c r="N35">
        <v>8</v>
      </c>
    </row>
    <row r="36" spans="1:16" x14ac:dyDescent="0.25">
      <c r="A36" t="s">
        <v>161</v>
      </c>
      <c r="B36">
        <v>3</v>
      </c>
      <c r="C36">
        <v>3</v>
      </c>
      <c r="D36">
        <v>3</v>
      </c>
      <c r="E36">
        <v>3</v>
      </c>
      <c r="F36">
        <v>12</v>
      </c>
      <c r="I36" s="7" t="s">
        <v>181</v>
      </c>
      <c r="J36">
        <v>0</v>
      </c>
      <c r="K36">
        <v>1</v>
      </c>
      <c r="L36">
        <v>0</v>
      </c>
      <c r="M36">
        <v>0</v>
      </c>
      <c r="N36">
        <v>1</v>
      </c>
    </row>
    <row r="37" spans="1:16" x14ac:dyDescent="0.25">
      <c r="A37" t="s">
        <v>162</v>
      </c>
      <c r="B37">
        <v>0</v>
      </c>
      <c r="C37">
        <v>0</v>
      </c>
      <c r="D37">
        <v>1</v>
      </c>
      <c r="E37">
        <v>1</v>
      </c>
      <c r="F37">
        <v>2</v>
      </c>
      <c r="I37" s="7" t="s">
        <v>182</v>
      </c>
      <c r="J37">
        <v>0</v>
      </c>
      <c r="K37">
        <v>3</v>
      </c>
      <c r="L37">
        <v>0</v>
      </c>
      <c r="M37">
        <v>0</v>
      </c>
      <c r="N37">
        <v>3</v>
      </c>
    </row>
    <row r="38" spans="1:16" x14ac:dyDescent="0.25">
      <c r="A38" s="2" t="s">
        <v>1</v>
      </c>
      <c r="B38" s="2">
        <v>89</v>
      </c>
      <c r="C38" s="2">
        <v>82</v>
      </c>
      <c r="D38" s="2">
        <v>87</v>
      </c>
      <c r="E38" s="2">
        <v>75</v>
      </c>
      <c r="F38" s="2">
        <v>333</v>
      </c>
      <c r="I38" s="7" t="s">
        <v>183</v>
      </c>
      <c r="J38">
        <v>0</v>
      </c>
      <c r="K38">
        <v>0</v>
      </c>
      <c r="L38">
        <v>2</v>
      </c>
      <c r="M38">
        <v>0</v>
      </c>
      <c r="N38">
        <v>2</v>
      </c>
    </row>
    <row r="39" spans="1:16" x14ac:dyDescent="0.25">
      <c r="I39" s="7" t="s">
        <v>146</v>
      </c>
      <c r="J39">
        <v>0</v>
      </c>
      <c r="K39">
        <v>0</v>
      </c>
      <c r="L39">
        <v>3</v>
      </c>
      <c r="M39">
        <v>0</v>
      </c>
      <c r="N39">
        <v>3</v>
      </c>
    </row>
    <row r="40" spans="1:16" x14ac:dyDescent="0.25">
      <c r="I40" s="7" t="s">
        <v>147</v>
      </c>
      <c r="J40">
        <v>0</v>
      </c>
      <c r="K40">
        <v>6</v>
      </c>
      <c r="L40">
        <v>2</v>
      </c>
      <c r="M40">
        <v>2</v>
      </c>
      <c r="N40">
        <v>10</v>
      </c>
      <c r="O40">
        <f>SUM(N28:N40)</f>
        <v>65</v>
      </c>
      <c r="P40">
        <f>(O40/N56)*100</f>
        <v>31.707317073170731</v>
      </c>
    </row>
    <row r="41" spans="1:16" x14ac:dyDescent="0.25">
      <c r="I41" s="8" t="s">
        <v>148</v>
      </c>
      <c r="J41">
        <v>0</v>
      </c>
      <c r="K41">
        <v>1</v>
      </c>
      <c r="L41">
        <v>2</v>
      </c>
      <c r="M41">
        <v>0</v>
      </c>
      <c r="N41">
        <v>3</v>
      </c>
    </row>
    <row r="42" spans="1:16" x14ac:dyDescent="0.25">
      <c r="I42" s="8" t="s">
        <v>149</v>
      </c>
      <c r="J42">
        <v>0</v>
      </c>
      <c r="K42">
        <v>3</v>
      </c>
      <c r="L42">
        <v>4</v>
      </c>
      <c r="M42">
        <v>1</v>
      </c>
      <c r="N42">
        <v>8</v>
      </c>
    </row>
    <row r="43" spans="1:16" x14ac:dyDescent="0.25">
      <c r="I43" s="8" t="s">
        <v>184</v>
      </c>
      <c r="J43">
        <v>0</v>
      </c>
      <c r="K43">
        <v>0</v>
      </c>
      <c r="L43">
        <v>2</v>
      </c>
      <c r="M43">
        <v>0</v>
      </c>
      <c r="N43">
        <v>2</v>
      </c>
    </row>
    <row r="44" spans="1:16" x14ac:dyDescent="0.25">
      <c r="I44" s="8" t="s">
        <v>150</v>
      </c>
      <c r="J44">
        <v>0</v>
      </c>
      <c r="K44">
        <v>3</v>
      </c>
      <c r="L44">
        <v>2</v>
      </c>
      <c r="M44">
        <v>0</v>
      </c>
      <c r="N44">
        <v>5</v>
      </c>
    </row>
    <row r="45" spans="1:16" x14ac:dyDescent="0.25">
      <c r="I45" s="8" t="s">
        <v>151</v>
      </c>
      <c r="J45">
        <v>0</v>
      </c>
      <c r="K45">
        <v>1</v>
      </c>
      <c r="L45">
        <v>0</v>
      </c>
      <c r="M45">
        <v>0</v>
      </c>
      <c r="N45">
        <v>1</v>
      </c>
    </row>
    <row r="46" spans="1:16" x14ac:dyDescent="0.25">
      <c r="I46" s="8" t="s">
        <v>185</v>
      </c>
      <c r="J46">
        <v>0</v>
      </c>
      <c r="K46">
        <v>0</v>
      </c>
      <c r="L46">
        <v>2</v>
      </c>
      <c r="M46">
        <v>0</v>
      </c>
      <c r="N46">
        <v>2</v>
      </c>
    </row>
    <row r="47" spans="1:16" x14ac:dyDescent="0.25">
      <c r="I47" s="8" t="s">
        <v>186</v>
      </c>
      <c r="J47">
        <v>0</v>
      </c>
      <c r="K47">
        <v>1</v>
      </c>
      <c r="L47">
        <v>0</v>
      </c>
      <c r="M47">
        <v>4</v>
      </c>
      <c r="N47">
        <v>5</v>
      </c>
    </row>
    <row r="48" spans="1:16" x14ac:dyDescent="0.25">
      <c r="I48" s="8" t="s">
        <v>187</v>
      </c>
      <c r="J48">
        <v>0</v>
      </c>
      <c r="K48">
        <v>0</v>
      </c>
      <c r="L48">
        <v>2</v>
      </c>
      <c r="M48">
        <v>0</v>
      </c>
      <c r="N48">
        <v>2</v>
      </c>
    </row>
    <row r="49" spans="9:16" x14ac:dyDescent="0.25">
      <c r="I49" s="8" t="s">
        <v>152</v>
      </c>
      <c r="J49">
        <v>0</v>
      </c>
      <c r="K49">
        <v>1</v>
      </c>
      <c r="L49">
        <v>1</v>
      </c>
      <c r="M49">
        <v>0</v>
      </c>
      <c r="N49">
        <v>2</v>
      </c>
    </row>
    <row r="50" spans="9:16" x14ac:dyDescent="0.25">
      <c r="I50" s="8" t="s">
        <v>153</v>
      </c>
      <c r="J50">
        <v>3</v>
      </c>
      <c r="K50">
        <v>9</v>
      </c>
      <c r="L50">
        <v>1</v>
      </c>
      <c r="M50">
        <v>0</v>
      </c>
      <c r="N50">
        <v>13</v>
      </c>
    </row>
    <row r="51" spans="9:16" x14ac:dyDescent="0.25">
      <c r="I51" s="8" t="s">
        <v>154</v>
      </c>
      <c r="J51">
        <v>1</v>
      </c>
      <c r="K51">
        <v>1</v>
      </c>
      <c r="L51">
        <v>0</v>
      </c>
      <c r="M51">
        <v>2</v>
      </c>
      <c r="N51">
        <v>4</v>
      </c>
    </row>
    <row r="52" spans="9:16" x14ac:dyDescent="0.25">
      <c r="I52" s="8" t="s">
        <v>156</v>
      </c>
      <c r="J52">
        <v>1</v>
      </c>
      <c r="K52">
        <v>0</v>
      </c>
      <c r="L52">
        <v>1</v>
      </c>
      <c r="M52">
        <v>2</v>
      </c>
      <c r="N52">
        <v>4</v>
      </c>
      <c r="O52">
        <f>SUM(N41:N52)</f>
        <v>51</v>
      </c>
      <c r="P52">
        <f>((O27+O52)/N56)*100</f>
        <v>38.536585365853661</v>
      </c>
    </row>
    <row r="53" spans="9:16" x14ac:dyDescent="0.25">
      <c r="I53" t="s">
        <v>160</v>
      </c>
      <c r="J53">
        <v>1</v>
      </c>
      <c r="K53">
        <v>3</v>
      </c>
      <c r="L53">
        <v>1</v>
      </c>
      <c r="M53">
        <v>4</v>
      </c>
      <c r="N53">
        <v>9</v>
      </c>
    </row>
    <row r="54" spans="9:16" x14ac:dyDescent="0.25">
      <c r="I54" t="s">
        <v>161</v>
      </c>
      <c r="J54">
        <v>1</v>
      </c>
      <c r="K54">
        <v>4</v>
      </c>
      <c r="L54">
        <v>2</v>
      </c>
      <c r="M54">
        <v>2</v>
      </c>
      <c r="N54">
        <v>9</v>
      </c>
    </row>
    <row r="55" spans="9:16" x14ac:dyDescent="0.25">
      <c r="I55" t="s">
        <v>162</v>
      </c>
      <c r="J55">
        <v>0</v>
      </c>
      <c r="K55">
        <v>7</v>
      </c>
      <c r="L55">
        <v>0</v>
      </c>
      <c r="M55">
        <v>0</v>
      </c>
      <c r="N55">
        <v>7</v>
      </c>
    </row>
    <row r="56" spans="9:16" x14ac:dyDescent="0.25">
      <c r="I56" s="2" t="s">
        <v>1</v>
      </c>
      <c r="J56" s="2">
        <v>16</v>
      </c>
      <c r="K56" s="2">
        <v>84</v>
      </c>
      <c r="L56" s="2">
        <v>55</v>
      </c>
      <c r="M56" s="2">
        <v>50</v>
      </c>
      <c r="N56" s="2">
        <v>205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4698-C42D-430B-861E-A5DB06B82B42}">
  <dimension ref="A1:M50"/>
  <sheetViews>
    <sheetView workbookViewId="0">
      <selection activeCell="C32" sqref="C32"/>
    </sheetView>
  </sheetViews>
  <sheetFormatPr defaultRowHeight="15" x14ac:dyDescent="0.25"/>
  <cols>
    <col min="1" max="1" width="16.140625" customWidth="1"/>
    <col min="8" max="8" width="15.140625" customWidth="1"/>
    <col min="10" max="10" width="12.140625" customWidth="1"/>
    <col min="11" max="11" width="15" customWidth="1"/>
  </cols>
  <sheetData>
    <row r="1" spans="1:13" x14ac:dyDescent="0.25">
      <c r="A1" t="s">
        <v>0</v>
      </c>
      <c r="B1" t="s">
        <v>77</v>
      </c>
      <c r="C1" t="s">
        <v>75</v>
      </c>
      <c r="D1" t="s">
        <v>76</v>
      </c>
      <c r="E1" t="s">
        <v>84</v>
      </c>
      <c r="F1" t="s">
        <v>1</v>
      </c>
      <c r="H1" t="s">
        <v>0</v>
      </c>
      <c r="I1" t="s">
        <v>81</v>
      </c>
      <c r="J1" t="s">
        <v>87</v>
      </c>
      <c r="K1" t="s">
        <v>88</v>
      </c>
      <c r="L1" t="s">
        <v>80</v>
      </c>
      <c r="M1" t="s">
        <v>1</v>
      </c>
    </row>
    <row r="2" spans="1:13" x14ac:dyDescent="0.25">
      <c r="A2" t="s">
        <v>188</v>
      </c>
      <c r="B2">
        <v>0</v>
      </c>
      <c r="C2">
        <v>0</v>
      </c>
      <c r="D2">
        <v>0</v>
      </c>
      <c r="E2">
        <v>1</v>
      </c>
      <c r="F2">
        <v>1</v>
      </c>
      <c r="H2" t="s">
        <v>208</v>
      </c>
      <c r="I2">
        <v>0</v>
      </c>
      <c r="J2">
        <v>0</v>
      </c>
      <c r="K2">
        <v>1</v>
      </c>
      <c r="L2">
        <v>0</v>
      </c>
      <c r="M2">
        <v>1</v>
      </c>
    </row>
    <row r="3" spans="1:13" x14ac:dyDescent="0.25">
      <c r="A3" t="s">
        <v>189</v>
      </c>
      <c r="B3">
        <v>0</v>
      </c>
      <c r="C3">
        <v>1</v>
      </c>
      <c r="D3">
        <v>1</v>
      </c>
      <c r="E3">
        <v>0</v>
      </c>
      <c r="F3">
        <v>2</v>
      </c>
      <c r="H3" t="s">
        <v>209</v>
      </c>
      <c r="I3">
        <v>0</v>
      </c>
      <c r="J3">
        <v>0</v>
      </c>
      <c r="K3">
        <v>2</v>
      </c>
      <c r="L3">
        <v>0</v>
      </c>
      <c r="M3">
        <v>2</v>
      </c>
    </row>
    <row r="4" spans="1:13" x14ac:dyDescent="0.25">
      <c r="A4" t="s">
        <v>190</v>
      </c>
      <c r="B4">
        <v>0</v>
      </c>
      <c r="C4">
        <v>1</v>
      </c>
      <c r="D4">
        <v>0</v>
      </c>
      <c r="E4">
        <v>0</v>
      </c>
      <c r="F4">
        <v>1</v>
      </c>
      <c r="H4" t="s">
        <v>210</v>
      </c>
      <c r="I4">
        <v>0</v>
      </c>
      <c r="J4">
        <v>0</v>
      </c>
      <c r="K4">
        <v>2</v>
      </c>
      <c r="L4">
        <v>1</v>
      </c>
      <c r="M4">
        <v>3</v>
      </c>
    </row>
    <row r="5" spans="1:13" x14ac:dyDescent="0.25">
      <c r="A5" t="s">
        <v>191</v>
      </c>
      <c r="B5">
        <v>0</v>
      </c>
      <c r="C5">
        <v>0</v>
      </c>
      <c r="D5">
        <v>1</v>
      </c>
      <c r="E5">
        <v>1</v>
      </c>
      <c r="F5">
        <v>2</v>
      </c>
      <c r="H5" t="s">
        <v>189</v>
      </c>
      <c r="I5">
        <v>0</v>
      </c>
      <c r="J5">
        <v>1</v>
      </c>
      <c r="K5">
        <v>0</v>
      </c>
      <c r="L5">
        <v>0</v>
      </c>
      <c r="M5">
        <v>1</v>
      </c>
    </row>
    <row r="6" spans="1:13" x14ac:dyDescent="0.25">
      <c r="A6" t="s">
        <v>192</v>
      </c>
      <c r="B6">
        <v>0</v>
      </c>
      <c r="C6">
        <v>0</v>
      </c>
      <c r="D6">
        <v>1</v>
      </c>
      <c r="E6">
        <v>0</v>
      </c>
      <c r="F6">
        <v>1</v>
      </c>
      <c r="H6" t="s">
        <v>211</v>
      </c>
      <c r="I6">
        <v>0</v>
      </c>
      <c r="J6">
        <v>0</v>
      </c>
      <c r="K6">
        <v>0</v>
      </c>
      <c r="L6">
        <v>2</v>
      </c>
      <c r="M6">
        <v>2</v>
      </c>
    </row>
    <row r="7" spans="1:13" x14ac:dyDescent="0.25">
      <c r="A7" t="s">
        <v>193</v>
      </c>
      <c r="B7">
        <v>0</v>
      </c>
      <c r="C7">
        <v>0</v>
      </c>
      <c r="D7">
        <v>1</v>
      </c>
      <c r="E7">
        <v>0</v>
      </c>
      <c r="F7">
        <v>1</v>
      </c>
      <c r="H7" t="s">
        <v>212</v>
      </c>
      <c r="I7">
        <v>0</v>
      </c>
      <c r="J7">
        <v>1</v>
      </c>
      <c r="K7">
        <v>0</v>
      </c>
      <c r="L7">
        <v>0</v>
      </c>
      <c r="M7">
        <v>1</v>
      </c>
    </row>
    <row r="8" spans="1:13" x14ac:dyDescent="0.25">
      <c r="A8" t="s">
        <v>194</v>
      </c>
      <c r="B8">
        <v>1</v>
      </c>
      <c r="C8">
        <v>1</v>
      </c>
      <c r="D8">
        <v>0</v>
      </c>
      <c r="E8">
        <v>0</v>
      </c>
      <c r="F8">
        <v>2</v>
      </c>
      <c r="H8" t="s">
        <v>213</v>
      </c>
      <c r="I8">
        <v>0</v>
      </c>
      <c r="J8">
        <v>2</v>
      </c>
      <c r="K8">
        <v>0</v>
      </c>
      <c r="L8">
        <v>0</v>
      </c>
      <c r="M8">
        <v>2</v>
      </c>
    </row>
    <row r="9" spans="1:13" x14ac:dyDescent="0.25">
      <c r="A9" t="s">
        <v>195</v>
      </c>
      <c r="B9">
        <v>1</v>
      </c>
      <c r="C9">
        <v>0</v>
      </c>
      <c r="D9">
        <v>0</v>
      </c>
      <c r="E9">
        <v>0</v>
      </c>
      <c r="F9">
        <v>1</v>
      </c>
      <c r="H9" t="s">
        <v>214</v>
      </c>
      <c r="I9">
        <v>0</v>
      </c>
      <c r="J9">
        <v>0</v>
      </c>
      <c r="K9">
        <v>1</v>
      </c>
      <c r="L9">
        <v>0</v>
      </c>
      <c r="M9">
        <v>1</v>
      </c>
    </row>
    <row r="10" spans="1:13" x14ac:dyDescent="0.25">
      <c r="A10" t="s">
        <v>196</v>
      </c>
      <c r="B10">
        <v>1</v>
      </c>
      <c r="C10">
        <v>1</v>
      </c>
      <c r="D10">
        <v>1</v>
      </c>
      <c r="E10">
        <v>0</v>
      </c>
      <c r="F10">
        <v>3</v>
      </c>
      <c r="H10" t="s">
        <v>215</v>
      </c>
      <c r="I10">
        <v>0</v>
      </c>
      <c r="J10">
        <v>0</v>
      </c>
      <c r="K10">
        <v>1</v>
      </c>
      <c r="L10">
        <v>0</v>
      </c>
      <c r="M10">
        <v>1</v>
      </c>
    </row>
    <row r="11" spans="1:13" x14ac:dyDescent="0.25">
      <c r="A11" t="s">
        <v>197</v>
      </c>
      <c r="B11">
        <v>0</v>
      </c>
      <c r="C11">
        <v>0</v>
      </c>
      <c r="D11">
        <v>1</v>
      </c>
      <c r="E11">
        <v>0</v>
      </c>
      <c r="F11">
        <v>1</v>
      </c>
      <c r="H11" t="s">
        <v>216</v>
      </c>
      <c r="I11">
        <v>0</v>
      </c>
      <c r="J11">
        <v>0</v>
      </c>
      <c r="K11">
        <v>2</v>
      </c>
      <c r="L11">
        <v>0</v>
      </c>
      <c r="M11">
        <v>2</v>
      </c>
    </row>
    <row r="12" spans="1:13" x14ac:dyDescent="0.25">
      <c r="A12" t="s">
        <v>198</v>
      </c>
      <c r="B12">
        <v>6</v>
      </c>
      <c r="C12">
        <v>1</v>
      </c>
      <c r="D12">
        <v>3</v>
      </c>
      <c r="E12">
        <v>0</v>
      </c>
      <c r="F12">
        <v>10</v>
      </c>
      <c r="H12" t="s">
        <v>217</v>
      </c>
      <c r="I12">
        <v>0</v>
      </c>
      <c r="J12">
        <v>0</v>
      </c>
      <c r="K12">
        <v>1</v>
      </c>
      <c r="L12">
        <v>0</v>
      </c>
      <c r="M12">
        <v>1</v>
      </c>
    </row>
    <row r="13" spans="1:13" x14ac:dyDescent="0.25">
      <c r="A13" t="s">
        <v>199</v>
      </c>
      <c r="B13">
        <v>0</v>
      </c>
      <c r="C13">
        <v>0</v>
      </c>
      <c r="D13">
        <v>1</v>
      </c>
      <c r="E13">
        <v>1</v>
      </c>
      <c r="F13">
        <v>2</v>
      </c>
      <c r="H13" t="s">
        <v>198</v>
      </c>
      <c r="I13">
        <v>0</v>
      </c>
      <c r="J13">
        <v>0</v>
      </c>
      <c r="K13">
        <v>0</v>
      </c>
      <c r="L13">
        <v>2</v>
      </c>
      <c r="M13">
        <v>2</v>
      </c>
    </row>
    <row r="14" spans="1:13" x14ac:dyDescent="0.25">
      <c r="A14" t="s">
        <v>200</v>
      </c>
      <c r="B14">
        <v>0</v>
      </c>
      <c r="C14">
        <v>0</v>
      </c>
      <c r="D14">
        <v>2</v>
      </c>
      <c r="E14">
        <v>0</v>
      </c>
      <c r="F14">
        <v>2</v>
      </c>
      <c r="H14" t="s">
        <v>200</v>
      </c>
      <c r="I14">
        <v>0</v>
      </c>
      <c r="J14">
        <v>0</v>
      </c>
      <c r="K14">
        <v>0</v>
      </c>
      <c r="L14">
        <v>1</v>
      </c>
      <c r="M14">
        <v>1</v>
      </c>
    </row>
    <row r="15" spans="1:13" x14ac:dyDescent="0.25">
      <c r="A15" t="s">
        <v>201</v>
      </c>
      <c r="B15">
        <v>2</v>
      </c>
      <c r="C15">
        <v>1</v>
      </c>
      <c r="D15">
        <v>2</v>
      </c>
      <c r="E15">
        <v>2</v>
      </c>
      <c r="F15">
        <v>7</v>
      </c>
      <c r="H15" t="s">
        <v>201</v>
      </c>
      <c r="I15">
        <v>1</v>
      </c>
      <c r="J15">
        <v>0</v>
      </c>
      <c r="K15">
        <v>0</v>
      </c>
      <c r="L15">
        <v>0</v>
      </c>
      <c r="M15">
        <v>1</v>
      </c>
    </row>
    <row r="16" spans="1:13" x14ac:dyDescent="0.25">
      <c r="A16" t="s">
        <v>202</v>
      </c>
      <c r="B16">
        <v>0</v>
      </c>
      <c r="C16">
        <v>1</v>
      </c>
      <c r="D16">
        <v>0</v>
      </c>
      <c r="E16">
        <v>0</v>
      </c>
      <c r="F16">
        <v>1</v>
      </c>
      <c r="H16" t="s">
        <v>218</v>
      </c>
      <c r="I16">
        <v>0</v>
      </c>
      <c r="J16">
        <v>0</v>
      </c>
      <c r="K16">
        <v>1</v>
      </c>
      <c r="L16">
        <v>0</v>
      </c>
      <c r="M16">
        <v>1</v>
      </c>
    </row>
    <row r="17" spans="1:13" x14ac:dyDescent="0.25">
      <c r="A17" t="s">
        <v>203</v>
      </c>
      <c r="B17">
        <v>0</v>
      </c>
      <c r="C17">
        <v>1</v>
      </c>
      <c r="D17">
        <v>1</v>
      </c>
      <c r="E17">
        <v>0</v>
      </c>
      <c r="F17">
        <v>2</v>
      </c>
      <c r="H17" t="s">
        <v>219</v>
      </c>
      <c r="I17">
        <v>0</v>
      </c>
      <c r="J17">
        <v>0</v>
      </c>
      <c r="K17">
        <v>1</v>
      </c>
      <c r="L17">
        <v>0</v>
      </c>
      <c r="M17">
        <v>1</v>
      </c>
    </row>
    <row r="18" spans="1:13" x14ac:dyDescent="0.25">
      <c r="A18" t="s">
        <v>204</v>
      </c>
      <c r="B18">
        <v>3</v>
      </c>
      <c r="C18">
        <v>2</v>
      </c>
      <c r="D18">
        <v>3</v>
      </c>
      <c r="E18">
        <v>3</v>
      </c>
      <c r="F18">
        <v>11</v>
      </c>
      <c r="H18" t="s">
        <v>220</v>
      </c>
      <c r="I18">
        <v>0</v>
      </c>
      <c r="J18">
        <v>0</v>
      </c>
      <c r="K18">
        <v>1</v>
      </c>
      <c r="L18">
        <v>0</v>
      </c>
      <c r="M18">
        <v>1</v>
      </c>
    </row>
    <row r="19" spans="1:13" x14ac:dyDescent="0.25">
      <c r="A19" t="s">
        <v>205</v>
      </c>
      <c r="B19">
        <v>0</v>
      </c>
      <c r="C19">
        <v>1</v>
      </c>
      <c r="D19">
        <v>0</v>
      </c>
      <c r="E19">
        <v>0</v>
      </c>
      <c r="F19">
        <v>1</v>
      </c>
      <c r="H19" t="s">
        <v>221</v>
      </c>
      <c r="I19">
        <v>0</v>
      </c>
      <c r="J19">
        <v>0</v>
      </c>
      <c r="K19">
        <v>1</v>
      </c>
      <c r="L19">
        <v>0</v>
      </c>
      <c r="M19">
        <v>1</v>
      </c>
    </row>
    <row r="20" spans="1:13" x14ac:dyDescent="0.25">
      <c r="A20" t="s">
        <v>206</v>
      </c>
      <c r="B20">
        <v>0</v>
      </c>
      <c r="C20">
        <v>1</v>
      </c>
      <c r="D20">
        <v>0</v>
      </c>
      <c r="E20">
        <v>0</v>
      </c>
      <c r="F20">
        <v>1</v>
      </c>
      <c r="H20" t="s">
        <v>222</v>
      </c>
      <c r="I20">
        <v>0</v>
      </c>
      <c r="J20">
        <v>0</v>
      </c>
      <c r="K20">
        <v>1</v>
      </c>
      <c r="L20">
        <v>0</v>
      </c>
      <c r="M20">
        <v>1</v>
      </c>
    </row>
    <row r="21" spans="1:13" x14ac:dyDescent="0.25">
      <c r="A21" t="s">
        <v>207</v>
      </c>
      <c r="B21">
        <v>0</v>
      </c>
      <c r="C21">
        <v>0</v>
      </c>
      <c r="D21">
        <v>1</v>
      </c>
      <c r="E21">
        <v>0</v>
      </c>
      <c r="F21">
        <v>1</v>
      </c>
      <c r="H21" t="s">
        <v>223</v>
      </c>
      <c r="I21">
        <v>0</v>
      </c>
      <c r="J21">
        <v>0</v>
      </c>
      <c r="K21">
        <v>1</v>
      </c>
      <c r="L21">
        <v>0</v>
      </c>
      <c r="M21">
        <v>1</v>
      </c>
    </row>
    <row r="22" spans="1:13" x14ac:dyDescent="0.25">
      <c r="A22" s="2" t="s">
        <v>1</v>
      </c>
      <c r="B22" s="2">
        <v>14</v>
      </c>
      <c r="C22" s="2">
        <v>12</v>
      </c>
      <c r="D22" s="2">
        <v>19</v>
      </c>
      <c r="E22" s="2">
        <v>8</v>
      </c>
      <c r="F22" s="2">
        <v>53</v>
      </c>
      <c r="H22" t="s">
        <v>224</v>
      </c>
      <c r="I22">
        <v>0</v>
      </c>
      <c r="J22">
        <v>0</v>
      </c>
      <c r="K22">
        <v>1</v>
      </c>
      <c r="L22">
        <v>0</v>
      </c>
      <c r="M22">
        <v>1</v>
      </c>
    </row>
    <row r="23" spans="1:13" x14ac:dyDescent="0.25">
      <c r="H23" t="s">
        <v>203</v>
      </c>
      <c r="I23">
        <v>1</v>
      </c>
      <c r="J23">
        <v>0</v>
      </c>
      <c r="K23">
        <v>0</v>
      </c>
      <c r="L23">
        <v>1</v>
      </c>
      <c r="M23">
        <v>2</v>
      </c>
    </row>
    <row r="24" spans="1:13" x14ac:dyDescent="0.25">
      <c r="H24" t="s">
        <v>225</v>
      </c>
      <c r="I24">
        <v>0</v>
      </c>
      <c r="J24">
        <v>0</v>
      </c>
      <c r="K24">
        <v>1</v>
      </c>
      <c r="L24">
        <v>0</v>
      </c>
      <c r="M24">
        <v>1</v>
      </c>
    </row>
    <row r="25" spans="1:13" x14ac:dyDescent="0.25">
      <c r="H25" t="s">
        <v>226</v>
      </c>
      <c r="I25">
        <v>0</v>
      </c>
      <c r="J25">
        <v>0</v>
      </c>
      <c r="K25">
        <v>1</v>
      </c>
      <c r="L25">
        <v>0</v>
      </c>
      <c r="M25">
        <v>1</v>
      </c>
    </row>
    <row r="26" spans="1:13" x14ac:dyDescent="0.25">
      <c r="H26" t="s">
        <v>227</v>
      </c>
      <c r="I26">
        <v>0</v>
      </c>
      <c r="J26">
        <v>0</v>
      </c>
      <c r="K26">
        <v>1</v>
      </c>
      <c r="L26">
        <v>0</v>
      </c>
      <c r="M26">
        <v>1</v>
      </c>
    </row>
    <row r="27" spans="1:13" x14ac:dyDescent="0.25">
      <c r="H27" t="s">
        <v>228</v>
      </c>
      <c r="I27">
        <v>0</v>
      </c>
      <c r="J27">
        <v>0</v>
      </c>
      <c r="K27">
        <v>1</v>
      </c>
      <c r="L27">
        <v>0</v>
      </c>
      <c r="M27">
        <v>1</v>
      </c>
    </row>
    <row r="28" spans="1:13" x14ac:dyDescent="0.25">
      <c r="H28" t="s">
        <v>229</v>
      </c>
      <c r="I28">
        <v>0</v>
      </c>
      <c r="J28">
        <v>0</v>
      </c>
      <c r="K28">
        <v>1</v>
      </c>
      <c r="L28">
        <v>0</v>
      </c>
      <c r="M28">
        <v>1</v>
      </c>
    </row>
    <row r="29" spans="1:13" x14ac:dyDescent="0.25">
      <c r="H29" t="s">
        <v>230</v>
      </c>
      <c r="I29">
        <v>0</v>
      </c>
      <c r="J29">
        <v>0</v>
      </c>
      <c r="K29">
        <v>2</v>
      </c>
      <c r="L29">
        <v>0</v>
      </c>
      <c r="M29">
        <v>2</v>
      </c>
    </row>
    <row r="30" spans="1:13" x14ac:dyDescent="0.25">
      <c r="H30" t="s">
        <v>231</v>
      </c>
      <c r="I30">
        <v>0</v>
      </c>
      <c r="J30">
        <v>0</v>
      </c>
      <c r="K30">
        <v>1</v>
      </c>
      <c r="L30">
        <v>0</v>
      </c>
      <c r="M30">
        <v>1</v>
      </c>
    </row>
    <row r="31" spans="1:13" x14ac:dyDescent="0.25">
      <c r="H31" t="s">
        <v>232</v>
      </c>
      <c r="I31">
        <v>0</v>
      </c>
      <c r="J31">
        <v>0</v>
      </c>
      <c r="K31">
        <v>1</v>
      </c>
      <c r="L31">
        <v>0</v>
      </c>
      <c r="M31">
        <v>1</v>
      </c>
    </row>
    <row r="32" spans="1:13" x14ac:dyDescent="0.25">
      <c r="H32" t="s">
        <v>233</v>
      </c>
      <c r="I32">
        <v>0</v>
      </c>
      <c r="J32">
        <v>0</v>
      </c>
      <c r="K32">
        <v>1</v>
      </c>
      <c r="L32">
        <v>0</v>
      </c>
      <c r="M32">
        <v>1</v>
      </c>
    </row>
    <row r="33" spans="8:13" x14ac:dyDescent="0.25">
      <c r="H33" t="s">
        <v>204</v>
      </c>
      <c r="I33">
        <v>0</v>
      </c>
      <c r="J33">
        <v>0</v>
      </c>
      <c r="K33">
        <v>1</v>
      </c>
      <c r="L33">
        <v>2</v>
      </c>
      <c r="M33">
        <v>3</v>
      </c>
    </row>
    <row r="34" spans="8:13" x14ac:dyDescent="0.25">
      <c r="H34" t="s">
        <v>234</v>
      </c>
      <c r="I34">
        <v>0</v>
      </c>
      <c r="J34">
        <v>0</v>
      </c>
      <c r="K34">
        <v>1</v>
      </c>
      <c r="L34">
        <v>0</v>
      </c>
      <c r="M34">
        <v>1</v>
      </c>
    </row>
    <row r="35" spans="8:13" x14ac:dyDescent="0.25">
      <c r="H35" t="s">
        <v>235</v>
      </c>
      <c r="I35">
        <v>0</v>
      </c>
      <c r="J35">
        <v>0</v>
      </c>
      <c r="K35">
        <v>2</v>
      </c>
      <c r="L35">
        <v>0</v>
      </c>
      <c r="M35">
        <v>2</v>
      </c>
    </row>
    <row r="36" spans="8:13" x14ac:dyDescent="0.25">
      <c r="H36" t="s">
        <v>236</v>
      </c>
      <c r="I36">
        <v>0</v>
      </c>
      <c r="J36">
        <v>0</v>
      </c>
      <c r="K36">
        <v>1</v>
      </c>
      <c r="L36">
        <v>0</v>
      </c>
      <c r="M36">
        <v>1</v>
      </c>
    </row>
    <row r="37" spans="8:13" x14ac:dyDescent="0.25">
      <c r="H37" t="s">
        <v>237</v>
      </c>
      <c r="I37">
        <v>0</v>
      </c>
      <c r="J37">
        <v>0</v>
      </c>
      <c r="K37">
        <v>2</v>
      </c>
      <c r="L37">
        <v>0</v>
      </c>
      <c r="M37">
        <v>2</v>
      </c>
    </row>
    <row r="38" spans="8:13" x14ac:dyDescent="0.25">
      <c r="H38" t="s">
        <v>238</v>
      </c>
      <c r="I38">
        <v>0</v>
      </c>
      <c r="J38">
        <v>0</v>
      </c>
      <c r="K38">
        <v>1</v>
      </c>
      <c r="L38">
        <v>0</v>
      </c>
      <c r="M38">
        <v>1</v>
      </c>
    </row>
    <row r="39" spans="8:13" x14ac:dyDescent="0.25">
      <c r="H39" t="s">
        <v>239</v>
      </c>
      <c r="I39">
        <v>0</v>
      </c>
      <c r="J39">
        <v>1</v>
      </c>
      <c r="K39">
        <v>0</v>
      </c>
      <c r="L39">
        <v>0</v>
      </c>
      <c r="M39">
        <v>1</v>
      </c>
    </row>
    <row r="40" spans="8:13" x14ac:dyDescent="0.25">
      <c r="H40" t="s">
        <v>240</v>
      </c>
      <c r="I40">
        <v>0</v>
      </c>
      <c r="J40">
        <v>0</v>
      </c>
      <c r="K40">
        <v>2</v>
      </c>
      <c r="L40">
        <v>0</v>
      </c>
      <c r="M40">
        <v>2</v>
      </c>
    </row>
    <row r="41" spans="8:13" x14ac:dyDescent="0.25">
      <c r="H41" t="s">
        <v>241</v>
      </c>
      <c r="I41">
        <v>0</v>
      </c>
      <c r="J41">
        <v>0</v>
      </c>
      <c r="K41">
        <v>1</v>
      </c>
      <c r="L41">
        <v>0</v>
      </c>
      <c r="M41">
        <v>1</v>
      </c>
    </row>
    <row r="42" spans="8:13" x14ac:dyDescent="0.25">
      <c r="H42" t="s">
        <v>242</v>
      </c>
      <c r="I42">
        <v>0</v>
      </c>
      <c r="J42">
        <v>0</v>
      </c>
      <c r="K42">
        <v>1</v>
      </c>
      <c r="L42">
        <v>0</v>
      </c>
      <c r="M42">
        <v>1</v>
      </c>
    </row>
    <row r="43" spans="8:13" x14ac:dyDescent="0.25">
      <c r="H43" t="s">
        <v>243</v>
      </c>
      <c r="I43">
        <v>0</v>
      </c>
      <c r="J43">
        <v>0</v>
      </c>
      <c r="K43">
        <v>1</v>
      </c>
      <c r="L43">
        <v>0</v>
      </c>
      <c r="M43">
        <v>1</v>
      </c>
    </row>
    <row r="44" spans="8:13" x14ac:dyDescent="0.25">
      <c r="H44" t="s">
        <v>244</v>
      </c>
      <c r="I44">
        <v>0</v>
      </c>
      <c r="J44">
        <v>0</v>
      </c>
      <c r="K44">
        <v>1</v>
      </c>
      <c r="L44">
        <v>0</v>
      </c>
      <c r="M44">
        <v>1</v>
      </c>
    </row>
    <row r="45" spans="8:13" x14ac:dyDescent="0.25">
      <c r="H45" t="s">
        <v>245</v>
      </c>
      <c r="I45">
        <v>0</v>
      </c>
      <c r="J45">
        <v>0</v>
      </c>
      <c r="K45">
        <v>0</v>
      </c>
      <c r="L45">
        <v>1</v>
      </c>
      <c r="M45">
        <v>1</v>
      </c>
    </row>
    <row r="46" spans="8:13" x14ac:dyDescent="0.25">
      <c r="H46" t="s">
        <v>246</v>
      </c>
      <c r="I46">
        <v>0</v>
      </c>
      <c r="J46">
        <v>0</v>
      </c>
      <c r="K46">
        <v>1</v>
      </c>
      <c r="L46">
        <v>0</v>
      </c>
      <c r="M46">
        <v>1</v>
      </c>
    </row>
    <row r="47" spans="8:13" x14ac:dyDescent="0.25">
      <c r="H47" t="s">
        <v>247</v>
      </c>
      <c r="I47">
        <v>0</v>
      </c>
      <c r="J47">
        <v>0</v>
      </c>
      <c r="K47">
        <v>1</v>
      </c>
      <c r="L47">
        <v>0</v>
      </c>
      <c r="M47">
        <v>1</v>
      </c>
    </row>
    <row r="48" spans="8:13" x14ac:dyDescent="0.25">
      <c r="H48" t="s">
        <v>207</v>
      </c>
      <c r="I48">
        <v>0</v>
      </c>
      <c r="J48">
        <v>0</v>
      </c>
      <c r="K48">
        <v>1</v>
      </c>
      <c r="L48">
        <v>0</v>
      </c>
      <c r="M48">
        <v>1</v>
      </c>
    </row>
    <row r="49" spans="8:13" x14ac:dyDescent="0.25">
      <c r="H49" s="2" t="s">
        <v>1</v>
      </c>
      <c r="I49" s="2">
        <v>2</v>
      </c>
      <c r="J49" s="2">
        <v>5</v>
      </c>
      <c r="K49" s="2">
        <v>44</v>
      </c>
      <c r="L49" s="2">
        <v>10</v>
      </c>
      <c r="M49" s="2">
        <v>61</v>
      </c>
    </row>
    <row r="50" spans="8:13" x14ac:dyDescent="0.25">
      <c r="K50">
        <f>COUNTIF(K2:K48,"&gt;0")</f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44DF-E01C-4342-AFD9-186B7346ABE1}">
  <dimension ref="A1:K5"/>
  <sheetViews>
    <sheetView workbookViewId="0">
      <selection activeCell="I25" sqref="I25"/>
    </sheetView>
  </sheetViews>
  <sheetFormatPr defaultRowHeight="15" x14ac:dyDescent="0.25"/>
  <cols>
    <col min="9" max="9" width="11.5703125" customWidth="1"/>
    <col min="10" max="10" width="11.140625" customWidth="1"/>
  </cols>
  <sheetData>
    <row r="1" spans="1:11" x14ac:dyDescent="0.25">
      <c r="A1" t="s">
        <v>0</v>
      </c>
      <c r="B1" t="s">
        <v>77</v>
      </c>
      <c r="C1" t="s">
        <v>75</v>
      </c>
      <c r="D1" t="s">
        <v>76</v>
      </c>
      <c r="E1" t="s">
        <v>1</v>
      </c>
      <c r="G1" t="s">
        <v>0</v>
      </c>
      <c r="H1" t="s">
        <v>81</v>
      </c>
      <c r="I1" t="s">
        <v>87</v>
      </c>
      <c r="J1" t="s">
        <v>88</v>
      </c>
      <c r="K1" t="s">
        <v>1</v>
      </c>
    </row>
    <row r="2" spans="1:11" x14ac:dyDescent="0.25">
      <c r="A2" t="s">
        <v>248</v>
      </c>
      <c r="B2">
        <v>1</v>
      </c>
      <c r="C2">
        <v>1</v>
      </c>
      <c r="D2">
        <v>0</v>
      </c>
      <c r="E2">
        <v>2</v>
      </c>
      <c r="G2" t="s">
        <v>248</v>
      </c>
      <c r="H2">
        <v>1</v>
      </c>
      <c r="I2">
        <v>1</v>
      </c>
      <c r="J2">
        <v>2</v>
      </c>
      <c r="K2">
        <v>4</v>
      </c>
    </row>
    <row r="3" spans="1:11" x14ac:dyDescent="0.25">
      <c r="A3" t="s">
        <v>249</v>
      </c>
      <c r="B3">
        <v>0</v>
      </c>
      <c r="C3">
        <v>1</v>
      </c>
      <c r="D3">
        <v>0</v>
      </c>
      <c r="E3">
        <v>1</v>
      </c>
      <c r="G3" t="s">
        <v>249</v>
      </c>
      <c r="H3">
        <v>0</v>
      </c>
      <c r="I3">
        <v>1</v>
      </c>
      <c r="J3">
        <v>1</v>
      </c>
      <c r="K3">
        <v>2</v>
      </c>
    </row>
    <row r="4" spans="1:11" x14ac:dyDescent="0.25">
      <c r="A4" t="s">
        <v>250</v>
      </c>
      <c r="B4">
        <v>0</v>
      </c>
      <c r="C4">
        <v>0</v>
      </c>
      <c r="D4">
        <v>1</v>
      </c>
      <c r="E4">
        <v>1</v>
      </c>
      <c r="G4" t="s">
        <v>250</v>
      </c>
      <c r="H4">
        <v>0</v>
      </c>
      <c r="I4">
        <v>1</v>
      </c>
      <c r="J4">
        <v>1</v>
      </c>
      <c r="K4">
        <v>2</v>
      </c>
    </row>
    <row r="5" spans="1:11" x14ac:dyDescent="0.25">
      <c r="A5" s="2" t="s">
        <v>1</v>
      </c>
      <c r="B5" s="2">
        <v>1</v>
      </c>
      <c r="C5" s="2">
        <v>2</v>
      </c>
      <c r="D5" s="2">
        <v>1</v>
      </c>
      <c r="E5" s="2">
        <v>4</v>
      </c>
      <c r="F5" s="2"/>
      <c r="G5" s="2" t="s">
        <v>1</v>
      </c>
      <c r="H5" s="2">
        <v>1</v>
      </c>
      <c r="I5" s="2">
        <v>3</v>
      </c>
      <c r="J5" s="2">
        <v>4</v>
      </c>
      <c r="K5" s="2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BD02-6113-4878-91DF-D306B5B9CEE9}">
  <dimension ref="A1:P12"/>
  <sheetViews>
    <sheetView workbookViewId="0">
      <selection activeCell="K28" sqref="K28"/>
    </sheetView>
  </sheetViews>
  <sheetFormatPr defaultRowHeight="15" x14ac:dyDescent="0.25"/>
  <sheetData>
    <row r="1" spans="1:16" x14ac:dyDescent="0.25">
      <c r="A1" t="s">
        <v>0</v>
      </c>
      <c r="B1" t="s">
        <v>77</v>
      </c>
      <c r="C1" t="s">
        <v>75</v>
      </c>
      <c r="D1" t="s">
        <v>76</v>
      </c>
      <c r="E1" t="s">
        <v>84</v>
      </c>
      <c r="F1" t="s">
        <v>1</v>
      </c>
      <c r="H1" t="s">
        <v>0</v>
      </c>
      <c r="I1" t="s">
        <v>81</v>
      </c>
      <c r="J1" t="s">
        <v>87</v>
      </c>
      <c r="K1" t="s">
        <v>88</v>
      </c>
      <c r="L1" t="s">
        <v>80</v>
      </c>
      <c r="M1" t="s">
        <v>1</v>
      </c>
    </row>
    <row r="2" spans="1:16" x14ac:dyDescent="0.25">
      <c r="A2" t="s">
        <v>251</v>
      </c>
      <c r="B2">
        <v>3</v>
      </c>
      <c r="C2">
        <v>3</v>
      </c>
      <c r="D2">
        <v>3</v>
      </c>
      <c r="E2">
        <v>2</v>
      </c>
      <c r="F2">
        <v>11</v>
      </c>
      <c r="H2" t="s">
        <v>258</v>
      </c>
      <c r="I2">
        <v>0</v>
      </c>
      <c r="J2">
        <v>0</v>
      </c>
      <c r="K2">
        <v>1</v>
      </c>
      <c r="L2">
        <v>0</v>
      </c>
      <c r="M2">
        <v>1</v>
      </c>
    </row>
    <row r="3" spans="1:16" x14ac:dyDescent="0.25">
      <c r="A3" t="s">
        <v>252</v>
      </c>
      <c r="B3">
        <v>1</v>
      </c>
      <c r="C3">
        <v>0</v>
      </c>
      <c r="D3">
        <v>0</v>
      </c>
      <c r="E3">
        <v>0</v>
      </c>
      <c r="F3">
        <v>1</v>
      </c>
      <c r="H3" t="s">
        <v>259</v>
      </c>
      <c r="I3">
        <v>0</v>
      </c>
      <c r="J3">
        <v>0</v>
      </c>
      <c r="K3">
        <v>1</v>
      </c>
      <c r="L3">
        <v>0</v>
      </c>
      <c r="M3">
        <v>1</v>
      </c>
      <c r="O3" t="s">
        <v>262</v>
      </c>
      <c r="P3">
        <f>(SUM(M2:M6)/65)*100</f>
        <v>32.307692307692307</v>
      </c>
    </row>
    <row r="4" spans="1:16" x14ac:dyDescent="0.25">
      <c r="A4" t="s">
        <v>253</v>
      </c>
      <c r="B4">
        <v>2</v>
      </c>
      <c r="C4">
        <v>2</v>
      </c>
      <c r="D4">
        <v>2</v>
      </c>
      <c r="E4">
        <v>2</v>
      </c>
      <c r="F4">
        <v>8</v>
      </c>
      <c r="H4" t="s">
        <v>260</v>
      </c>
      <c r="I4">
        <v>0</v>
      </c>
      <c r="J4">
        <v>4</v>
      </c>
      <c r="K4">
        <v>0</v>
      </c>
      <c r="L4">
        <v>1</v>
      </c>
      <c r="M4">
        <v>5</v>
      </c>
    </row>
    <row r="5" spans="1:16" x14ac:dyDescent="0.25">
      <c r="A5" t="s">
        <v>254</v>
      </c>
      <c r="B5">
        <v>3</v>
      </c>
      <c r="C5">
        <v>0</v>
      </c>
      <c r="D5">
        <v>1</v>
      </c>
      <c r="E5">
        <v>1</v>
      </c>
      <c r="F5">
        <v>5</v>
      </c>
      <c r="H5" t="s">
        <v>251</v>
      </c>
      <c r="I5">
        <v>1</v>
      </c>
      <c r="J5">
        <v>4</v>
      </c>
      <c r="K5">
        <v>1</v>
      </c>
      <c r="L5">
        <v>2</v>
      </c>
      <c r="M5">
        <v>8</v>
      </c>
    </row>
    <row r="6" spans="1:16" x14ac:dyDescent="0.25">
      <c r="A6" t="s">
        <v>255</v>
      </c>
      <c r="B6">
        <v>9</v>
      </c>
      <c r="C6">
        <v>6</v>
      </c>
      <c r="D6">
        <v>9</v>
      </c>
      <c r="E6">
        <v>8</v>
      </c>
      <c r="F6">
        <v>32</v>
      </c>
      <c r="H6" t="s">
        <v>253</v>
      </c>
      <c r="I6">
        <v>0</v>
      </c>
      <c r="J6">
        <v>4</v>
      </c>
      <c r="K6">
        <v>0</v>
      </c>
      <c r="L6">
        <v>2</v>
      </c>
      <c r="M6">
        <v>6</v>
      </c>
    </row>
    <row r="7" spans="1:16" x14ac:dyDescent="0.25">
      <c r="A7" t="s">
        <v>256</v>
      </c>
      <c r="B7">
        <v>6</v>
      </c>
      <c r="C7">
        <v>2</v>
      </c>
      <c r="D7">
        <v>5</v>
      </c>
      <c r="E7">
        <v>2</v>
      </c>
      <c r="F7">
        <v>15</v>
      </c>
      <c r="H7" t="s">
        <v>255</v>
      </c>
      <c r="I7">
        <v>4</v>
      </c>
      <c r="J7">
        <v>15</v>
      </c>
      <c r="K7">
        <v>2</v>
      </c>
      <c r="L7">
        <v>6</v>
      </c>
      <c r="M7">
        <v>27</v>
      </c>
    </row>
    <row r="8" spans="1:16" x14ac:dyDescent="0.25">
      <c r="A8" t="s">
        <v>257</v>
      </c>
      <c r="B8">
        <v>1</v>
      </c>
      <c r="C8">
        <v>2</v>
      </c>
      <c r="D8">
        <v>1</v>
      </c>
      <c r="E8">
        <v>1</v>
      </c>
      <c r="F8">
        <v>5</v>
      </c>
      <c r="H8" t="s">
        <v>256</v>
      </c>
      <c r="I8">
        <v>0</v>
      </c>
      <c r="J8">
        <v>8</v>
      </c>
      <c r="K8">
        <v>2</v>
      </c>
      <c r="L8">
        <v>5</v>
      </c>
      <c r="M8">
        <v>15</v>
      </c>
    </row>
    <row r="9" spans="1:16" x14ac:dyDescent="0.25">
      <c r="H9" t="s">
        <v>257</v>
      </c>
      <c r="I9">
        <v>0</v>
      </c>
      <c r="J9">
        <v>0</v>
      </c>
      <c r="K9">
        <v>0</v>
      </c>
      <c r="L9">
        <v>2</v>
      </c>
      <c r="M9">
        <v>2</v>
      </c>
    </row>
    <row r="10" spans="1:16" x14ac:dyDescent="0.25">
      <c r="A10" s="2" t="s">
        <v>1</v>
      </c>
      <c r="B10" s="2">
        <v>25</v>
      </c>
      <c r="C10" s="2">
        <v>15</v>
      </c>
      <c r="D10" s="2">
        <v>21</v>
      </c>
      <c r="E10" s="2">
        <v>16</v>
      </c>
      <c r="F10" s="2">
        <v>77</v>
      </c>
      <c r="H10" s="2" t="s">
        <v>1</v>
      </c>
      <c r="I10" s="2">
        <v>5</v>
      </c>
      <c r="J10" s="2">
        <v>35</v>
      </c>
      <c r="K10" s="2">
        <v>7</v>
      </c>
      <c r="L10" s="2">
        <v>18</v>
      </c>
      <c r="M10" s="2">
        <v>65</v>
      </c>
    </row>
    <row r="12" spans="1:16" x14ac:dyDescent="0.25">
      <c r="B12" t="s">
        <v>261</v>
      </c>
      <c r="C12">
        <f>((SUM(F2:F5)/77)*100)</f>
        <v>32.467532467532465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BD47-1C78-4328-B5DD-CDD007E3DF0F}">
  <dimension ref="A1:M14"/>
  <sheetViews>
    <sheetView workbookViewId="0">
      <selection activeCell="J14" sqref="J14"/>
    </sheetView>
  </sheetViews>
  <sheetFormatPr defaultRowHeight="15" x14ac:dyDescent="0.25"/>
  <cols>
    <col min="5" max="5" width="11.85546875" customWidth="1"/>
  </cols>
  <sheetData>
    <row r="1" spans="1:13" x14ac:dyDescent="0.25">
      <c r="A1" t="s">
        <v>0</v>
      </c>
      <c r="B1" t="s">
        <v>77</v>
      </c>
      <c r="C1" t="s">
        <v>75</v>
      </c>
      <c r="D1" t="s">
        <v>76</v>
      </c>
      <c r="E1" t="s">
        <v>84</v>
      </c>
      <c r="F1" t="s">
        <v>1</v>
      </c>
      <c r="H1" t="s">
        <v>0</v>
      </c>
      <c r="I1" t="s">
        <v>81</v>
      </c>
      <c r="J1" t="s">
        <v>87</v>
      </c>
      <c r="K1" t="s">
        <v>88</v>
      </c>
      <c r="L1" t="s">
        <v>80</v>
      </c>
      <c r="M1" t="s">
        <v>1</v>
      </c>
    </row>
    <row r="2" spans="1:13" x14ac:dyDescent="0.25">
      <c r="A2" t="s">
        <v>263</v>
      </c>
      <c r="B2">
        <v>2</v>
      </c>
      <c r="C2">
        <v>2</v>
      </c>
      <c r="D2">
        <v>2</v>
      </c>
      <c r="E2">
        <v>2</v>
      </c>
      <c r="F2">
        <v>8</v>
      </c>
      <c r="H2" t="s">
        <v>263</v>
      </c>
      <c r="I2">
        <v>0</v>
      </c>
      <c r="J2">
        <v>4</v>
      </c>
      <c r="K2">
        <v>0</v>
      </c>
      <c r="L2">
        <v>2</v>
      </c>
      <c r="M2">
        <v>6</v>
      </c>
    </row>
    <row r="3" spans="1:13" x14ac:dyDescent="0.25">
      <c r="A3" t="s">
        <v>264</v>
      </c>
      <c r="B3">
        <v>1</v>
      </c>
      <c r="C3">
        <v>2</v>
      </c>
      <c r="D3">
        <v>2</v>
      </c>
      <c r="E3">
        <v>1</v>
      </c>
      <c r="F3">
        <v>6</v>
      </c>
      <c r="H3" t="s">
        <v>264</v>
      </c>
      <c r="I3">
        <v>1</v>
      </c>
      <c r="J3">
        <v>4</v>
      </c>
      <c r="K3">
        <v>0</v>
      </c>
      <c r="L3">
        <v>2</v>
      </c>
      <c r="M3">
        <v>7</v>
      </c>
    </row>
    <row r="4" spans="1:13" x14ac:dyDescent="0.25">
      <c r="A4" t="s">
        <v>265</v>
      </c>
      <c r="B4">
        <v>2</v>
      </c>
      <c r="C4">
        <v>1</v>
      </c>
      <c r="D4">
        <v>2</v>
      </c>
      <c r="E4">
        <v>2</v>
      </c>
      <c r="F4">
        <v>7</v>
      </c>
      <c r="H4" t="s">
        <v>265</v>
      </c>
      <c r="I4">
        <v>0</v>
      </c>
      <c r="J4">
        <v>5</v>
      </c>
      <c r="K4">
        <v>0</v>
      </c>
      <c r="L4">
        <v>1</v>
      </c>
      <c r="M4">
        <v>6</v>
      </c>
    </row>
    <row r="5" spans="1:13" x14ac:dyDescent="0.25">
      <c r="A5" t="s">
        <v>266</v>
      </c>
      <c r="B5">
        <v>0</v>
      </c>
      <c r="C5">
        <v>0</v>
      </c>
      <c r="D5">
        <v>1</v>
      </c>
      <c r="E5">
        <v>1</v>
      </c>
      <c r="F5">
        <v>2</v>
      </c>
      <c r="H5" t="s">
        <v>272</v>
      </c>
      <c r="I5">
        <v>0</v>
      </c>
      <c r="J5">
        <v>2</v>
      </c>
      <c r="K5">
        <v>0</v>
      </c>
      <c r="L5">
        <v>1</v>
      </c>
      <c r="M5">
        <v>3</v>
      </c>
    </row>
    <row r="6" spans="1:13" x14ac:dyDescent="0.25">
      <c r="A6" t="s">
        <v>267</v>
      </c>
      <c r="B6">
        <v>0</v>
      </c>
      <c r="C6">
        <v>0</v>
      </c>
      <c r="D6">
        <v>1</v>
      </c>
      <c r="E6">
        <v>0</v>
      </c>
      <c r="F6">
        <v>1</v>
      </c>
      <c r="H6" t="s">
        <v>266</v>
      </c>
      <c r="I6">
        <v>0</v>
      </c>
      <c r="J6">
        <v>1</v>
      </c>
      <c r="K6">
        <v>0</v>
      </c>
      <c r="L6">
        <v>1</v>
      </c>
      <c r="M6">
        <v>2</v>
      </c>
    </row>
    <row r="7" spans="1:13" x14ac:dyDescent="0.25">
      <c r="A7" t="s">
        <v>268</v>
      </c>
      <c r="B7">
        <v>0</v>
      </c>
      <c r="C7">
        <v>0</v>
      </c>
      <c r="D7">
        <v>0</v>
      </c>
      <c r="E7">
        <v>1</v>
      </c>
      <c r="F7">
        <v>1</v>
      </c>
      <c r="H7" t="s">
        <v>273</v>
      </c>
      <c r="I7">
        <v>0</v>
      </c>
      <c r="J7">
        <v>2</v>
      </c>
      <c r="K7">
        <v>0</v>
      </c>
      <c r="L7">
        <v>1</v>
      </c>
      <c r="M7">
        <v>3</v>
      </c>
    </row>
    <row r="8" spans="1:13" x14ac:dyDescent="0.25">
      <c r="A8" t="s">
        <v>269</v>
      </c>
      <c r="B8">
        <v>0</v>
      </c>
      <c r="C8">
        <v>1</v>
      </c>
      <c r="D8">
        <v>0</v>
      </c>
      <c r="E8">
        <v>0</v>
      </c>
      <c r="F8">
        <v>1</v>
      </c>
      <c r="H8" t="s">
        <v>274</v>
      </c>
      <c r="I8">
        <v>0</v>
      </c>
      <c r="J8">
        <v>2</v>
      </c>
      <c r="K8">
        <v>0</v>
      </c>
      <c r="L8">
        <v>0</v>
      </c>
      <c r="M8">
        <v>2</v>
      </c>
    </row>
    <row r="9" spans="1:13" x14ac:dyDescent="0.25">
      <c r="A9" t="s">
        <v>270</v>
      </c>
      <c r="B9">
        <v>0</v>
      </c>
      <c r="C9">
        <v>1</v>
      </c>
      <c r="D9">
        <v>0</v>
      </c>
      <c r="E9">
        <v>0</v>
      </c>
      <c r="F9">
        <v>1</v>
      </c>
      <c r="H9" t="s">
        <v>267</v>
      </c>
      <c r="I9">
        <v>1</v>
      </c>
      <c r="J9">
        <v>1</v>
      </c>
      <c r="K9">
        <v>0</v>
      </c>
      <c r="L9">
        <v>0</v>
      </c>
      <c r="M9">
        <v>2</v>
      </c>
    </row>
    <row r="10" spans="1:13" x14ac:dyDescent="0.25">
      <c r="A10" t="s">
        <v>271</v>
      </c>
      <c r="B10">
        <v>0</v>
      </c>
      <c r="C10">
        <v>1</v>
      </c>
      <c r="D10">
        <v>0</v>
      </c>
      <c r="E10">
        <v>0</v>
      </c>
      <c r="F10">
        <v>1</v>
      </c>
      <c r="H10" t="s">
        <v>269</v>
      </c>
      <c r="I10">
        <v>1</v>
      </c>
      <c r="J10">
        <v>2</v>
      </c>
      <c r="K10">
        <v>0</v>
      </c>
      <c r="L10">
        <v>0</v>
      </c>
      <c r="M10">
        <v>3</v>
      </c>
    </row>
    <row r="11" spans="1:13" x14ac:dyDescent="0.25">
      <c r="A11" s="2" t="s">
        <v>1</v>
      </c>
      <c r="B11" s="2">
        <v>5</v>
      </c>
      <c r="C11" s="2">
        <v>8</v>
      </c>
      <c r="D11" s="2">
        <v>8</v>
      </c>
      <c r="E11" s="2">
        <v>7</v>
      </c>
      <c r="F11" s="2">
        <v>28</v>
      </c>
      <c r="H11" t="s">
        <v>275</v>
      </c>
      <c r="I11">
        <v>0</v>
      </c>
      <c r="J11">
        <v>0</v>
      </c>
      <c r="K11">
        <v>1</v>
      </c>
      <c r="L11">
        <v>0</v>
      </c>
      <c r="M11">
        <v>1</v>
      </c>
    </row>
    <row r="12" spans="1:13" x14ac:dyDescent="0.25">
      <c r="H12" t="s">
        <v>276</v>
      </c>
      <c r="I12">
        <v>0</v>
      </c>
      <c r="J12">
        <v>1</v>
      </c>
      <c r="K12">
        <v>0</v>
      </c>
      <c r="L12">
        <v>0</v>
      </c>
      <c r="M12">
        <v>1</v>
      </c>
    </row>
    <row r="13" spans="1:13" x14ac:dyDescent="0.25">
      <c r="H13" t="s">
        <v>277</v>
      </c>
      <c r="I13">
        <v>0</v>
      </c>
      <c r="J13">
        <v>1</v>
      </c>
      <c r="K13">
        <v>0</v>
      </c>
      <c r="L13">
        <v>0</v>
      </c>
      <c r="M13">
        <v>1</v>
      </c>
    </row>
    <row r="14" spans="1:13" x14ac:dyDescent="0.25">
      <c r="H14" s="2" t="s">
        <v>1</v>
      </c>
      <c r="I14" s="2">
        <v>3</v>
      </c>
      <c r="J14" s="2">
        <v>25</v>
      </c>
      <c r="K14" s="2">
        <v>1</v>
      </c>
      <c r="L14" s="2">
        <v>8</v>
      </c>
      <c r="M14" s="2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4FFE-3A6E-4182-AB98-651A61C2F8B9}">
  <dimension ref="A1:M32"/>
  <sheetViews>
    <sheetView workbookViewId="0">
      <selection activeCell="M30" sqref="M30"/>
    </sheetView>
  </sheetViews>
  <sheetFormatPr defaultRowHeight="15" x14ac:dyDescent="0.25"/>
  <cols>
    <col min="1" max="1" width="15.28515625" customWidth="1"/>
    <col min="5" max="5" width="11.42578125" customWidth="1"/>
    <col min="8" max="8" width="14.42578125" customWidth="1"/>
    <col min="10" max="10" width="12.42578125" customWidth="1"/>
    <col min="11" max="11" width="11.140625" customWidth="1"/>
    <col min="12" max="12" width="11.5703125" customWidth="1"/>
  </cols>
  <sheetData>
    <row r="1" spans="1:13" x14ac:dyDescent="0.25">
      <c r="A1" s="2" t="s">
        <v>0</v>
      </c>
      <c r="B1" s="2" t="s">
        <v>77</v>
      </c>
      <c r="C1" s="2" t="s">
        <v>75</v>
      </c>
      <c r="D1" s="2" t="s">
        <v>76</v>
      </c>
      <c r="E1" s="2" t="s">
        <v>84</v>
      </c>
      <c r="F1" s="2" t="s">
        <v>1</v>
      </c>
      <c r="H1" s="2" t="s">
        <v>0</v>
      </c>
      <c r="I1" s="2" t="s">
        <v>81</v>
      </c>
      <c r="J1" s="2" t="s">
        <v>87</v>
      </c>
      <c r="K1" s="2" t="s">
        <v>88</v>
      </c>
      <c r="L1" s="2" t="s">
        <v>80</v>
      </c>
      <c r="M1" s="2" t="s">
        <v>1</v>
      </c>
    </row>
    <row r="2" spans="1:13" x14ac:dyDescent="0.25">
      <c r="A2" t="s">
        <v>278</v>
      </c>
      <c r="B2">
        <v>4</v>
      </c>
      <c r="C2">
        <v>2</v>
      </c>
      <c r="D2">
        <v>3</v>
      </c>
      <c r="E2">
        <v>4</v>
      </c>
      <c r="F2">
        <v>13</v>
      </c>
      <c r="H2" t="s">
        <v>278</v>
      </c>
      <c r="I2">
        <v>0</v>
      </c>
      <c r="J2" s="6">
        <v>3</v>
      </c>
      <c r="K2">
        <v>1</v>
      </c>
      <c r="L2">
        <v>0</v>
      </c>
      <c r="M2">
        <v>4</v>
      </c>
    </row>
    <row r="3" spans="1:13" x14ac:dyDescent="0.25">
      <c r="A3" t="s">
        <v>279</v>
      </c>
      <c r="B3">
        <v>2</v>
      </c>
      <c r="C3">
        <v>1</v>
      </c>
      <c r="D3">
        <v>0</v>
      </c>
      <c r="E3">
        <v>2</v>
      </c>
      <c r="F3">
        <v>5</v>
      </c>
      <c r="H3" t="s">
        <v>279</v>
      </c>
      <c r="I3">
        <v>0</v>
      </c>
      <c r="J3">
        <v>0</v>
      </c>
      <c r="K3">
        <v>0</v>
      </c>
      <c r="L3">
        <v>1</v>
      </c>
      <c r="M3">
        <v>1</v>
      </c>
    </row>
    <row r="4" spans="1:13" x14ac:dyDescent="0.25">
      <c r="A4" t="s">
        <v>280</v>
      </c>
      <c r="B4">
        <v>1</v>
      </c>
      <c r="C4">
        <v>1</v>
      </c>
      <c r="D4">
        <v>0</v>
      </c>
      <c r="E4">
        <v>1</v>
      </c>
      <c r="F4">
        <v>3</v>
      </c>
      <c r="H4" t="s">
        <v>281</v>
      </c>
      <c r="I4">
        <v>0</v>
      </c>
      <c r="J4">
        <v>0</v>
      </c>
      <c r="K4">
        <v>0</v>
      </c>
      <c r="L4">
        <v>1</v>
      </c>
      <c r="M4">
        <v>1</v>
      </c>
    </row>
    <row r="5" spans="1:13" x14ac:dyDescent="0.25">
      <c r="A5" t="s">
        <v>281</v>
      </c>
      <c r="B5">
        <v>1</v>
      </c>
      <c r="C5">
        <v>0</v>
      </c>
      <c r="D5">
        <v>0</v>
      </c>
      <c r="E5">
        <v>0</v>
      </c>
      <c r="F5">
        <v>1</v>
      </c>
      <c r="H5" t="s">
        <v>282</v>
      </c>
      <c r="I5" s="6">
        <v>1</v>
      </c>
      <c r="J5">
        <v>0</v>
      </c>
      <c r="K5">
        <v>1</v>
      </c>
      <c r="L5">
        <v>1</v>
      </c>
      <c r="M5">
        <v>3</v>
      </c>
    </row>
    <row r="6" spans="1:13" x14ac:dyDescent="0.25">
      <c r="A6" t="s">
        <v>282</v>
      </c>
      <c r="B6">
        <v>1</v>
      </c>
      <c r="C6">
        <v>3</v>
      </c>
      <c r="D6">
        <v>1</v>
      </c>
      <c r="E6">
        <v>0</v>
      </c>
      <c r="F6">
        <v>5</v>
      </c>
      <c r="H6" t="s">
        <v>284</v>
      </c>
      <c r="I6" s="6">
        <v>1</v>
      </c>
      <c r="J6">
        <v>0</v>
      </c>
      <c r="K6">
        <v>0</v>
      </c>
      <c r="L6">
        <v>2</v>
      </c>
      <c r="M6">
        <v>3</v>
      </c>
    </row>
    <row r="7" spans="1:13" x14ac:dyDescent="0.25">
      <c r="A7" t="s">
        <v>283</v>
      </c>
      <c r="B7">
        <v>1</v>
      </c>
      <c r="C7">
        <v>2</v>
      </c>
      <c r="D7">
        <v>2</v>
      </c>
      <c r="E7">
        <v>0</v>
      </c>
      <c r="F7">
        <v>5</v>
      </c>
      <c r="H7" t="s">
        <v>286</v>
      </c>
      <c r="I7">
        <v>0</v>
      </c>
      <c r="J7">
        <v>0</v>
      </c>
      <c r="K7">
        <v>0</v>
      </c>
      <c r="L7">
        <v>1</v>
      </c>
      <c r="M7">
        <v>1</v>
      </c>
    </row>
    <row r="8" spans="1:13" x14ac:dyDescent="0.25">
      <c r="A8" t="s">
        <v>284</v>
      </c>
      <c r="B8">
        <v>2</v>
      </c>
      <c r="C8">
        <v>2</v>
      </c>
      <c r="D8">
        <v>2</v>
      </c>
      <c r="E8">
        <v>3</v>
      </c>
      <c r="F8">
        <v>9</v>
      </c>
      <c r="H8" t="s">
        <v>291</v>
      </c>
      <c r="I8">
        <v>10</v>
      </c>
      <c r="J8">
        <v>9</v>
      </c>
      <c r="K8">
        <v>2</v>
      </c>
      <c r="L8">
        <v>7</v>
      </c>
      <c r="M8">
        <v>28</v>
      </c>
    </row>
    <row r="9" spans="1:13" x14ac:dyDescent="0.25">
      <c r="A9" t="s">
        <v>285</v>
      </c>
      <c r="B9">
        <v>0</v>
      </c>
      <c r="C9">
        <v>0</v>
      </c>
      <c r="D9">
        <v>1</v>
      </c>
      <c r="E9">
        <v>0</v>
      </c>
      <c r="F9">
        <v>1</v>
      </c>
      <c r="H9" t="s">
        <v>292</v>
      </c>
      <c r="I9">
        <v>7</v>
      </c>
      <c r="J9">
        <v>5</v>
      </c>
      <c r="K9">
        <v>3</v>
      </c>
      <c r="L9">
        <v>6</v>
      </c>
      <c r="M9">
        <v>21</v>
      </c>
    </row>
    <row r="10" spans="1:13" x14ac:dyDescent="0.25">
      <c r="A10" t="s">
        <v>286</v>
      </c>
      <c r="B10">
        <v>0</v>
      </c>
      <c r="C10">
        <v>1</v>
      </c>
      <c r="D10">
        <v>0</v>
      </c>
      <c r="E10">
        <v>0</v>
      </c>
      <c r="F10">
        <v>1</v>
      </c>
      <c r="H10" t="s">
        <v>293</v>
      </c>
      <c r="I10" s="6">
        <v>1</v>
      </c>
      <c r="J10">
        <v>0</v>
      </c>
      <c r="K10">
        <v>0</v>
      </c>
      <c r="L10">
        <v>0</v>
      </c>
      <c r="M10">
        <v>1</v>
      </c>
    </row>
    <row r="11" spans="1:13" x14ac:dyDescent="0.25">
      <c r="A11" t="s">
        <v>287</v>
      </c>
      <c r="B11">
        <v>0</v>
      </c>
      <c r="C11">
        <v>1</v>
      </c>
      <c r="D11">
        <v>0</v>
      </c>
      <c r="E11">
        <v>0</v>
      </c>
      <c r="F11">
        <v>1</v>
      </c>
      <c r="H11" t="s">
        <v>308</v>
      </c>
      <c r="I11">
        <v>0</v>
      </c>
      <c r="J11">
        <v>0</v>
      </c>
      <c r="K11">
        <v>1</v>
      </c>
      <c r="L11">
        <v>0</v>
      </c>
      <c r="M11">
        <v>1</v>
      </c>
    </row>
    <row r="12" spans="1:13" x14ac:dyDescent="0.25">
      <c r="A12" t="s">
        <v>288</v>
      </c>
      <c r="B12">
        <v>0</v>
      </c>
      <c r="C12">
        <v>0</v>
      </c>
      <c r="D12">
        <v>0</v>
      </c>
      <c r="E12">
        <v>1</v>
      </c>
      <c r="F12">
        <v>1</v>
      </c>
      <c r="H12" t="s">
        <v>309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 x14ac:dyDescent="0.25">
      <c r="A13" t="s">
        <v>289</v>
      </c>
      <c r="B13">
        <v>0</v>
      </c>
      <c r="C13">
        <v>0</v>
      </c>
      <c r="D13">
        <v>1</v>
      </c>
      <c r="E13">
        <v>0</v>
      </c>
      <c r="F13">
        <v>1</v>
      </c>
      <c r="H13" t="s">
        <v>294</v>
      </c>
      <c r="I13">
        <v>0</v>
      </c>
      <c r="J13">
        <v>0</v>
      </c>
      <c r="K13">
        <v>0</v>
      </c>
      <c r="L13">
        <v>2</v>
      </c>
      <c r="M13">
        <v>2</v>
      </c>
    </row>
    <row r="14" spans="1:13" x14ac:dyDescent="0.25">
      <c r="A14" t="s">
        <v>290</v>
      </c>
      <c r="B14">
        <v>1</v>
      </c>
      <c r="C14">
        <v>2</v>
      </c>
      <c r="D14">
        <v>1</v>
      </c>
      <c r="E14">
        <v>1</v>
      </c>
      <c r="F14">
        <v>5</v>
      </c>
      <c r="H14" t="s">
        <v>297</v>
      </c>
      <c r="I14">
        <v>0</v>
      </c>
      <c r="J14">
        <v>0</v>
      </c>
      <c r="K14">
        <v>0</v>
      </c>
      <c r="L14">
        <v>1</v>
      </c>
      <c r="M14">
        <v>1</v>
      </c>
    </row>
    <row r="15" spans="1:13" x14ac:dyDescent="0.25">
      <c r="A15" t="s">
        <v>291</v>
      </c>
      <c r="B15">
        <v>17</v>
      </c>
      <c r="C15">
        <v>21</v>
      </c>
      <c r="D15">
        <v>21</v>
      </c>
      <c r="E15">
        <v>17</v>
      </c>
      <c r="F15">
        <v>76</v>
      </c>
      <c r="H15" t="s">
        <v>300</v>
      </c>
      <c r="I15">
        <v>0</v>
      </c>
      <c r="J15">
        <v>0</v>
      </c>
      <c r="K15">
        <v>0</v>
      </c>
      <c r="L15">
        <v>1</v>
      </c>
      <c r="M15">
        <v>1</v>
      </c>
    </row>
    <row r="16" spans="1:13" x14ac:dyDescent="0.25">
      <c r="A16" t="s">
        <v>292</v>
      </c>
      <c r="B16">
        <v>15</v>
      </c>
      <c r="C16">
        <v>14</v>
      </c>
      <c r="D16">
        <v>14</v>
      </c>
      <c r="E16">
        <v>14</v>
      </c>
      <c r="F16">
        <v>57</v>
      </c>
      <c r="H16" t="s">
        <v>310</v>
      </c>
      <c r="I16">
        <v>0</v>
      </c>
      <c r="J16">
        <v>0</v>
      </c>
      <c r="K16">
        <v>0</v>
      </c>
      <c r="L16">
        <v>1</v>
      </c>
      <c r="M16">
        <v>1</v>
      </c>
    </row>
    <row r="17" spans="1:13" x14ac:dyDescent="0.25">
      <c r="A17" t="s">
        <v>293</v>
      </c>
      <c r="B17">
        <v>0</v>
      </c>
      <c r="C17">
        <v>1</v>
      </c>
      <c r="D17">
        <v>0</v>
      </c>
      <c r="E17">
        <v>1</v>
      </c>
      <c r="F17">
        <v>2</v>
      </c>
      <c r="H17" t="s">
        <v>304</v>
      </c>
      <c r="I17">
        <v>0</v>
      </c>
      <c r="J17" s="6">
        <v>1</v>
      </c>
      <c r="K17">
        <v>0</v>
      </c>
      <c r="L17">
        <v>0</v>
      </c>
      <c r="M17">
        <v>1</v>
      </c>
    </row>
    <row r="18" spans="1:13" x14ac:dyDescent="0.25">
      <c r="A18" t="s">
        <v>294</v>
      </c>
      <c r="B18">
        <v>2</v>
      </c>
      <c r="C18">
        <v>2</v>
      </c>
      <c r="D18">
        <v>1</v>
      </c>
      <c r="E18">
        <v>2</v>
      </c>
      <c r="F18">
        <v>7</v>
      </c>
    </row>
    <row r="19" spans="1:13" x14ac:dyDescent="0.25">
      <c r="A19" t="s">
        <v>295</v>
      </c>
      <c r="B19">
        <v>1</v>
      </c>
      <c r="C19">
        <v>2</v>
      </c>
      <c r="D19">
        <v>0</v>
      </c>
      <c r="E19">
        <v>0</v>
      </c>
      <c r="F19">
        <v>3</v>
      </c>
      <c r="H19" s="2" t="s">
        <v>1</v>
      </c>
      <c r="I19" s="2">
        <v>20</v>
      </c>
      <c r="J19" s="2">
        <v>18</v>
      </c>
      <c r="K19" s="2">
        <v>8</v>
      </c>
      <c r="L19" s="2">
        <v>25</v>
      </c>
      <c r="M19" s="2">
        <v>71</v>
      </c>
    </row>
    <row r="20" spans="1:13" x14ac:dyDescent="0.25">
      <c r="A20" t="s">
        <v>296</v>
      </c>
      <c r="B20">
        <v>1</v>
      </c>
      <c r="C20">
        <v>0</v>
      </c>
      <c r="D20">
        <v>1</v>
      </c>
      <c r="E20">
        <v>1</v>
      </c>
      <c r="F20">
        <v>3</v>
      </c>
    </row>
    <row r="21" spans="1:13" x14ac:dyDescent="0.25">
      <c r="A21" t="s">
        <v>297</v>
      </c>
      <c r="B21">
        <v>0</v>
      </c>
      <c r="C21">
        <v>1</v>
      </c>
      <c r="D21">
        <v>0</v>
      </c>
      <c r="E21">
        <v>0</v>
      </c>
      <c r="F21">
        <v>1</v>
      </c>
    </row>
    <row r="22" spans="1:13" x14ac:dyDescent="0.25">
      <c r="A22" t="s">
        <v>298</v>
      </c>
      <c r="B22">
        <v>0</v>
      </c>
      <c r="C22">
        <v>0</v>
      </c>
      <c r="D22">
        <v>1</v>
      </c>
      <c r="E22">
        <v>0</v>
      </c>
      <c r="F22">
        <v>1</v>
      </c>
    </row>
    <row r="23" spans="1:13" x14ac:dyDescent="0.25">
      <c r="A23" t="s">
        <v>299</v>
      </c>
      <c r="B23">
        <v>0</v>
      </c>
      <c r="C23">
        <v>0</v>
      </c>
      <c r="D23">
        <v>0</v>
      </c>
      <c r="E23">
        <v>1</v>
      </c>
      <c r="F23">
        <v>1</v>
      </c>
    </row>
    <row r="24" spans="1:13" x14ac:dyDescent="0.25">
      <c r="A24" t="s">
        <v>300</v>
      </c>
      <c r="B24">
        <v>0</v>
      </c>
      <c r="C24">
        <v>1</v>
      </c>
      <c r="D24">
        <v>1</v>
      </c>
      <c r="E24">
        <v>0</v>
      </c>
      <c r="F24">
        <v>2</v>
      </c>
    </row>
    <row r="25" spans="1:13" x14ac:dyDescent="0.25">
      <c r="A25" t="s">
        <v>301</v>
      </c>
      <c r="B25">
        <v>1</v>
      </c>
      <c r="C25">
        <v>1</v>
      </c>
      <c r="D25">
        <v>2</v>
      </c>
      <c r="E25">
        <v>0</v>
      </c>
      <c r="F25">
        <v>4</v>
      </c>
    </row>
    <row r="26" spans="1:13" x14ac:dyDescent="0.25">
      <c r="A26" t="s">
        <v>302</v>
      </c>
      <c r="B26">
        <v>1</v>
      </c>
      <c r="C26">
        <v>0</v>
      </c>
      <c r="D26">
        <v>0</v>
      </c>
      <c r="E26">
        <v>0</v>
      </c>
      <c r="F26">
        <v>1</v>
      </c>
    </row>
    <row r="27" spans="1:13" x14ac:dyDescent="0.25">
      <c r="A27" t="s">
        <v>303</v>
      </c>
      <c r="B27">
        <v>1</v>
      </c>
      <c r="C27">
        <v>1</v>
      </c>
      <c r="D27">
        <v>0</v>
      </c>
      <c r="E27">
        <v>0</v>
      </c>
      <c r="F27">
        <v>2</v>
      </c>
    </row>
    <row r="28" spans="1:13" x14ac:dyDescent="0.25">
      <c r="A28" t="s">
        <v>304</v>
      </c>
      <c r="B28">
        <v>0</v>
      </c>
      <c r="C28">
        <v>0</v>
      </c>
      <c r="D28">
        <v>1</v>
      </c>
      <c r="E28">
        <v>0</v>
      </c>
      <c r="F28">
        <v>1</v>
      </c>
    </row>
    <row r="29" spans="1:13" x14ac:dyDescent="0.25">
      <c r="A29" t="s">
        <v>305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13" x14ac:dyDescent="0.25">
      <c r="A30" t="s">
        <v>306</v>
      </c>
      <c r="B30">
        <v>0</v>
      </c>
      <c r="C30">
        <v>1</v>
      </c>
      <c r="D30">
        <v>0</v>
      </c>
      <c r="E30">
        <v>0</v>
      </c>
      <c r="F30">
        <v>1</v>
      </c>
    </row>
    <row r="31" spans="1:13" x14ac:dyDescent="0.25">
      <c r="A31" t="s">
        <v>307</v>
      </c>
      <c r="B31">
        <v>0</v>
      </c>
      <c r="C31">
        <v>1</v>
      </c>
      <c r="D31">
        <v>0</v>
      </c>
      <c r="E31">
        <v>0</v>
      </c>
      <c r="F31">
        <v>1</v>
      </c>
    </row>
    <row r="32" spans="1:13" x14ac:dyDescent="0.25">
      <c r="A32" s="2" t="s">
        <v>1</v>
      </c>
      <c r="B32" s="2">
        <v>53</v>
      </c>
      <c r="C32" s="2">
        <v>61</v>
      </c>
      <c r="D32" s="2">
        <v>53</v>
      </c>
      <c r="E32" s="2">
        <v>48</v>
      </c>
      <c r="F32" s="2">
        <v>215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83CE-0AA3-48B1-BFEF-1DB8EA5C50E9}">
  <dimension ref="A1:M18"/>
  <sheetViews>
    <sheetView workbookViewId="0">
      <selection activeCell="M31" sqref="M31"/>
    </sheetView>
  </sheetViews>
  <sheetFormatPr defaultRowHeight="15" x14ac:dyDescent="0.25"/>
  <cols>
    <col min="1" max="1" width="16" customWidth="1"/>
    <col min="5" max="5" width="11.5703125" customWidth="1"/>
    <col min="10" max="10" width="13.42578125" customWidth="1"/>
    <col min="11" max="11" width="11.85546875" customWidth="1"/>
    <col min="12" max="12" width="11.140625" customWidth="1"/>
    <col min="13" max="13" width="12.140625" customWidth="1"/>
  </cols>
  <sheetData>
    <row r="1" spans="1:13" x14ac:dyDescent="0.25">
      <c r="A1" s="2" t="s">
        <v>0</v>
      </c>
      <c r="B1" s="2" t="s">
        <v>77</v>
      </c>
      <c r="C1" s="2" t="s">
        <v>75</v>
      </c>
      <c r="D1" s="2" t="s">
        <v>76</v>
      </c>
      <c r="E1" s="2" t="s">
        <v>84</v>
      </c>
      <c r="F1" s="2" t="s">
        <v>1</v>
      </c>
      <c r="H1" t="s">
        <v>0</v>
      </c>
      <c r="I1" t="s">
        <v>81</v>
      </c>
      <c r="J1" t="s">
        <v>87</v>
      </c>
      <c r="K1" t="s">
        <v>88</v>
      </c>
      <c r="L1" t="s">
        <v>80</v>
      </c>
      <c r="M1" t="s">
        <v>1</v>
      </c>
    </row>
    <row r="2" spans="1:13" x14ac:dyDescent="0.25">
      <c r="A2" t="s">
        <v>318</v>
      </c>
      <c r="B2">
        <v>4</v>
      </c>
      <c r="C2">
        <v>0</v>
      </c>
      <c r="D2">
        <v>0</v>
      </c>
      <c r="E2">
        <v>2</v>
      </c>
      <c r="F2">
        <v>6</v>
      </c>
      <c r="H2" t="s">
        <v>318</v>
      </c>
      <c r="I2">
        <v>1</v>
      </c>
      <c r="J2">
        <v>1</v>
      </c>
      <c r="K2">
        <v>0</v>
      </c>
      <c r="L2">
        <v>0</v>
      </c>
      <c r="M2">
        <v>2</v>
      </c>
    </row>
    <row r="3" spans="1:13" x14ac:dyDescent="0.25">
      <c r="A3" t="s">
        <v>319</v>
      </c>
      <c r="B3">
        <v>0</v>
      </c>
      <c r="C3">
        <v>1</v>
      </c>
      <c r="D3">
        <v>0</v>
      </c>
      <c r="E3">
        <v>0</v>
      </c>
      <c r="F3">
        <v>1</v>
      </c>
      <c r="H3" t="s">
        <v>321</v>
      </c>
      <c r="I3">
        <v>1</v>
      </c>
      <c r="J3">
        <v>0</v>
      </c>
      <c r="K3">
        <v>5</v>
      </c>
      <c r="L3">
        <v>1</v>
      </c>
      <c r="M3">
        <v>7</v>
      </c>
    </row>
    <row r="4" spans="1:13" x14ac:dyDescent="0.25">
      <c r="A4" t="s">
        <v>320</v>
      </c>
      <c r="B4">
        <v>1</v>
      </c>
      <c r="C4">
        <v>2</v>
      </c>
      <c r="D4">
        <v>0</v>
      </c>
      <c r="E4">
        <v>1</v>
      </c>
      <c r="F4">
        <v>4</v>
      </c>
      <c r="H4" t="s">
        <v>331</v>
      </c>
      <c r="I4">
        <v>0</v>
      </c>
      <c r="J4">
        <v>0</v>
      </c>
      <c r="K4">
        <v>0</v>
      </c>
      <c r="L4">
        <v>1</v>
      </c>
      <c r="M4">
        <v>1</v>
      </c>
    </row>
    <row r="5" spans="1:13" x14ac:dyDescent="0.25">
      <c r="A5" t="s">
        <v>321</v>
      </c>
      <c r="B5">
        <v>1</v>
      </c>
      <c r="C5">
        <v>2</v>
      </c>
      <c r="D5">
        <v>2</v>
      </c>
      <c r="E5">
        <v>0</v>
      </c>
      <c r="F5">
        <v>5</v>
      </c>
      <c r="H5" t="s">
        <v>322</v>
      </c>
      <c r="I5">
        <v>0</v>
      </c>
      <c r="J5">
        <v>0</v>
      </c>
      <c r="K5">
        <v>2</v>
      </c>
      <c r="L5">
        <v>1</v>
      </c>
      <c r="M5">
        <v>3</v>
      </c>
    </row>
    <row r="6" spans="1:13" x14ac:dyDescent="0.25">
      <c r="A6" t="s">
        <v>322</v>
      </c>
      <c r="B6">
        <v>0</v>
      </c>
      <c r="C6">
        <v>2</v>
      </c>
      <c r="D6">
        <v>1</v>
      </c>
      <c r="E6">
        <v>0</v>
      </c>
      <c r="F6">
        <v>3</v>
      </c>
      <c r="H6" t="s">
        <v>325</v>
      </c>
      <c r="I6">
        <v>0</v>
      </c>
      <c r="J6">
        <v>0</v>
      </c>
      <c r="K6">
        <v>2</v>
      </c>
      <c r="L6">
        <v>0</v>
      </c>
      <c r="M6">
        <v>2</v>
      </c>
    </row>
    <row r="7" spans="1:13" x14ac:dyDescent="0.25">
      <c r="A7" t="s">
        <v>323</v>
      </c>
      <c r="B7">
        <v>0</v>
      </c>
      <c r="C7">
        <v>0</v>
      </c>
      <c r="D7">
        <v>0</v>
      </c>
      <c r="E7">
        <v>1</v>
      </c>
      <c r="F7">
        <v>1</v>
      </c>
      <c r="H7" t="s">
        <v>332</v>
      </c>
      <c r="I7">
        <v>0</v>
      </c>
      <c r="J7">
        <v>0</v>
      </c>
      <c r="K7">
        <v>1</v>
      </c>
      <c r="L7">
        <v>0</v>
      </c>
      <c r="M7">
        <v>1</v>
      </c>
    </row>
    <row r="8" spans="1:13" x14ac:dyDescent="0.25">
      <c r="A8" t="s">
        <v>324</v>
      </c>
      <c r="B8">
        <v>0</v>
      </c>
      <c r="C8">
        <v>1</v>
      </c>
      <c r="D8">
        <v>1</v>
      </c>
      <c r="E8">
        <v>0</v>
      </c>
      <c r="F8">
        <v>2</v>
      </c>
      <c r="H8" t="s">
        <v>326</v>
      </c>
      <c r="I8">
        <v>2</v>
      </c>
      <c r="J8">
        <v>0</v>
      </c>
      <c r="K8">
        <v>0</v>
      </c>
      <c r="L8">
        <v>3</v>
      </c>
      <c r="M8">
        <v>5</v>
      </c>
    </row>
    <row r="9" spans="1:13" x14ac:dyDescent="0.25">
      <c r="A9" t="s">
        <v>325</v>
      </c>
      <c r="B9">
        <v>0</v>
      </c>
      <c r="C9">
        <v>0</v>
      </c>
      <c r="D9">
        <v>1</v>
      </c>
      <c r="E9">
        <v>0</v>
      </c>
      <c r="F9">
        <v>1</v>
      </c>
      <c r="H9" t="s">
        <v>333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 x14ac:dyDescent="0.25">
      <c r="A10" t="s">
        <v>330</v>
      </c>
      <c r="B10">
        <v>0</v>
      </c>
      <c r="C10">
        <v>0</v>
      </c>
      <c r="D10">
        <v>0</v>
      </c>
      <c r="E10">
        <v>1</v>
      </c>
      <c r="F10">
        <v>1</v>
      </c>
      <c r="H10" t="s">
        <v>334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 x14ac:dyDescent="0.25">
      <c r="A11" t="s">
        <v>326</v>
      </c>
      <c r="B11">
        <v>6</v>
      </c>
      <c r="C11">
        <v>5</v>
      </c>
      <c r="D11">
        <v>4</v>
      </c>
      <c r="E11">
        <v>5</v>
      </c>
      <c r="F11">
        <v>20</v>
      </c>
      <c r="H11" t="s">
        <v>327</v>
      </c>
      <c r="I11">
        <v>0</v>
      </c>
      <c r="J11">
        <v>1</v>
      </c>
      <c r="K11">
        <v>3</v>
      </c>
      <c r="L11">
        <v>0</v>
      </c>
      <c r="M11">
        <v>4</v>
      </c>
    </row>
    <row r="12" spans="1:13" x14ac:dyDescent="0.25">
      <c r="A12" t="s">
        <v>327</v>
      </c>
      <c r="B12">
        <v>0</v>
      </c>
      <c r="C12">
        <v>1</v>
      </c>
      <c r="D12">
        <v>0</v>
      </c>
      <c r="E12">
        <v>0</v>
      </c>
      <c r="F12">
        <v>1</v>
      </c>
      <c r="H12" t="s">
        <v>335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 x14ac:dyDescent="0.25">
      <c r="A13" t="s">
        <v>328</v>
      </c>
      <c r="B13">
        <v>0</v>
      </c>
      <c r="C13">
        <v>0</v>
      </c>
      <c r="D13">
        <v>0</v>
      </c>
      <c r="E13">
        <v>1</v>
      </c>
      <c r="F13">
        <v>1</v>
      </c>
      <c r="H13" t="s">
        <v>329</v>
      </c>
      <c r="I13">
        <v>0</v>
      </c>
      <c r="J13">
        <v>1</v>
      </c>
      <c r="K13">
        <v>3</v>
      </c>
      <c r="L13">
        <v>3</v>
      </c>
      <c r="M13">
        <v>7</v>
      </c>
    </row>
    <row r="14" spans="1:13" x14ac:dyDescent="0.25">
      <c r="A14" t="s">
        <v>329</v>
      </c>
      <c r="B14">
        <v>0</v>
      </c>
      <c r="C14">
        <v>0</v>
      </c>
      <c r="D14">
        <v>2</v>
      </c>
      <c r="E14">
        <v>0</v>
      </c>
      <c r="F14">
        <v>2</v>
      </c>
    </row>
    <row r="15" spans="1:13" x14ac:dyDescent="0.25">
      <c r="H15" s="2" t="s">
        <v>1</v>
      </c>
      <c r="I15" s="2">
        <v>4</v>
      </c>
      <c r="J15" s="2">
        <v>3</v>
      </c>
      <c r="K15" s="2">
        <v>16</v>
      </c>
      <c r="L15" s="2">
        <v>12</v>
      </c>
      <c r="M15" s="2">
        <v>35</v>
      </c>
    </row>
    <row r="16" spans="1:13" x14ac:dyDescent="0.25">
      <c r="A16" s="2" t="s">
        <v>1</v>
      </c>
      <c r="B16" s="2">
        <v>12</v>
      </c>
      <c r="C16" s="2">
        <v>14</v>
      </c>
      <c r="D16" s="2">
        <v>11</v>
      </c>
      <c r="E16" s="2">
        <v>11</v>
      </c>
      <c r="F16" s="2">
        <v>48</v>
      </c>
    </row>
    <row r="17" spans="1:13" x14ac:dyDescent="0.25">
      <c r="L17" t="s">
        <v>336</v>
      </c>
      <c r="M17">
        <f>SUM(M2:M8)</f>
        <v>21</v>
      </c>
    </row>
    <row r="18" spans="1:13" x14ac:dyDescent="0.25">
      <c r="A18" t="s">
        <v>336</v>
      </c>
      <c r="B18">
        <f>SUM(F2:F11)</f>
        <v>44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F225-72D2-4B1B-8749-079E3A7913AD}">
  <dimension ref="A1:M11"/>
  <sheetViews>
    <sheetView workbookViewId="0">
      <selection activeCell="H20" sqref="H20"/>
    </sheetView>
  </sheetViews>
  <sheetFormatPr defaultRowHeight="15" x14ac:dyDescent="0.25"/>
  <cols>
    <col min="5" max="5" width="11" customWidth="1"/>
    <col min="10" max="10" width="12.85546875" customWidth="1"/>
    <col min="11" max="11" width="10.7109375" customWidth="1"/>
    <col min="12" max="12" width="12.28515625" customWidth="1"/>
  </cols>
  <sheetData>
    <row r="1" spans="1:13" s="2" customFormat="1" x14ac:dyDescent="0.25">
      <c r="A1" s="2" t="s">
        <v>0</v>
      </c>
      <c r="B1" s="2" t="s">
        <v>77</v>
      </c>
      <c r="C1" s="2" t="s">
        <v>75</v>
      </c>
      <c r="D1" s="2" t="s">
        <v>76</v>
      </c>
      <c r="E1" s="2" t="s">
        <v>84</v>
      </c>
      <c r="F1" s="2" t="s">
        <v>1</v>
      </c>
      <c r="H1" s="2" t="s">
        <v>0</v>
      </c>
      <c r="I1" s="2" t="s">
        <v>81</v>
      </c>
      <c r="J1" s="2" t="s">
        <v>87</v>
      </c>
      <c r="K1" s="2" t="s">
        <v>88</v>
      </c>
      <c r="L1" s="2" t="s">
        <v>80</v>
      </c>
      <c r="M1" s="2" t="s">
        <v>1</v>
      </c>
    </row>
    <row r="2" spans="1:13" x14ac:dyDescent="0.25">
      <c r="A2" t="s">
        <v>337</v>
      </c>
      <c r="B2">
        <v>0</v>
      </c>
      <c r="C2">
        <v>1</v>
      </c>
      <c r="D2">
        <v>0</v>
      </c>
      <c r="E2">
        <v>0</v>
      </c>
      <c r="F2">
        <v>1</v>
      </c>
      <c r="H2" t="s">
        <v>345</v>
      </c>
      <c r="I2">
        <v>0</v>
      </c>
      <c r="J2">
        <v>0</v>
      </c>
      <c r="K2">
        <v>1</v>
      </c>
      <c r="L2">
        <v>0</v>
      </c>
      <c r="M2">
        <v>1</v>
      </c>
    </row>
    <row r="3" spans="1:13" x14ac:dyDescent="0.25">
      <c r="A3" t="s">
        <v>338</v>
      </c>
      <c r="B3">
        <v>0</v>
      </c>
      <c r="C3">
        <v>1</v>
      </c>
      <c r="D3">
        <v>2</v>
      </c>
      <c r="E3">
        <v>0</v>
      </c>
      <c r="F3">
        <v>3</v>
      </c>
      <c r="H3" t="s">
        <v>337</v>
      </c>
      <c r="I3">
        <v>0</v>
      </c>
      <c r="J3">
        <v>0</v>
      </c>
      <c r="K3">
        <v>2</v>
      </c>
      <c r="L3">
        <v>0</v>
      </c>
      <c r="M3">
        <v>2</v>
      </c>
    </row>
    <row r="4" spans="1:13" x14ac:dyDescent="0.25">
      <c r="A4" t="s">
        <v>339</v>
      </c>
      <c r="B4">
        <v>3</v>
      </c>
      <c r="C4">
        <v>1</v>
      </c>
      <c r="D4">
        <v>1</v>
      </c>
      <c r="E4">
        <v>1</v>
      </c>
      <c r="F4">
        <v>6</v>
      </c>
      <c r="H4" t="s">
        <v>338</v>
      </c>
      <c r="I4">
        <v>0</v>
      </c>
      <c r="J4">
        <v>0</v>
      </c>
      <c r="K4">
        <v>2</v>
      </c>
      <c r="L4">
        <v>1</v>
      </c>
      <c r="M4">
        <v>3</v>
      </c>
    </row>
    <row r="5" spans="1:13" x14ac:dyDescent="0.25">
      <c r="A5" t="s">
        <v>340</v>
      </c>
      <c r="B5">
        <v>0</v>
      </c>
      <c r="C5">
        <v>1</v>
      </c>
      <c r="D5">
        <v>0</v>
      </c>
      <c r="E5">
        <v>0</v>
      </c>
      <c r="F5">
        <v>1</v>
      </c>
      <c r="H5" t="s">
        <v>339</v>
      </c>
      <c r="I5">
        <v>0</v>
      </c>
      <c r="J5">
        <v>1</v>
      </c>
      <c r="K5">
        <v>0</v>
      </c>
      <c r="L5">
        <v>0</v>
      </c>
      <c r="M5">
        <v>1</v>
      </c>
    </row>
    <row r="6" spans="1:13" x14ac:dyDescent="0.25">
      <c r="A6" t="s">
        <v>341</v>
      </c>
      <c r="B6">
        <v>0</v>
      </c>
      <c r="C6">
        <v>0</v>
      </c>
      <c r="D6">
        <v>2</v>
      </c>
      <c r="E6">
        <v>0</v>
      </c>
      <c r="F6">
        <v>2</v>
      </c>
      <c r="H6" t="s">
        <v>341</v>
      </c>
      <c r="I6">
        <v>1</v>
      </c>
      <c r="J6">
        <v>0</v>
      </c>
      <c r="K6">
        <v>2</v>
      </c>
      <c r="L6">
        <v>0</v>
      </c>
      <c r="M6">
        <v>3</v>
      </c>
    </row>
    <row r="7" spans="1:13" x14ac:dyDescent="0.25">
      <c r="A7" t="s">
        <v>342</v>
      </c>
      <c r="B7">
        <v>0</v>
      </c>
      <c r="C7">
        <v>1</v>
      </c>
      <c r="D7">
        <v>0</v>
      </c>
      <c r="E7">
        <v>0</v>
      </c>
      <c r="F7">
        <v>1</v>
      </c>
      <c r="H7" t="s">
        <v>343</v>
      </c>
      <c r="I7">
        <v>1</v>
      </c>
      <c r="J7">
        <v>2</v>
      </c>
      <c r="K7">
        <v>2</v>
      </c>
      <c r="L7">
        <v>1</v>
      </c>
      <c r="M7">
        <v>6</v>
      </c>
    </row>
    <row r="8" spans="1:13" x14ac:dyDescent="0.25">
      <c r="A8" t="s">
        <v>343</v>
      </c>
      <c r="B8">
        <v>3</v>
      </c>
      <c r="C8">
        <v>3</v>
      </c>
      <c r="D8">
        <v>3</v>
      </c>
      <c r="E8">
        <v>2</v>
      </c>
      <c r="F8">
        <v>11</v>
      </c>
      <c r="H8" t="s">
        <v>346</v>
      </c>
      <c r="I8">
        <v>0</v>
      </c>
      <c r="J8">
        <v>0</v>
      </c>
      <c r="K8">
        <v>0</v>
      </c>
      <c r="L8">
        <v>1</v>
      </c>
      <c r="M8">
        <v>1</v>
      </c>
    </row>
    <row r="9" spans="1:13" x14ac:dyDescent="0.25">
      <c r="A9" t="s">
        <v>344</v>
      </c>
      <c r="B9">
        <v>0</v>
      </c>
      <c r="C9">
        <v>0</v>
      </c>
      <c r="D9">
        <v>1</v>
      </c>
      <c r="E9">
        <v>0</v>
      </c>
      <c r="F9">
        <v>1</v>
      </c>
      <c r="H9" t="s">
        <v>347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 x14ac:dyDescent="0.25">
      <c r="H10" t="s">
        <v>344</v>
      </c>
      <c r="I10">
        <v>0</v>
      </c>
      <c r="J10">
        <v>0</v>
      </c>
      <c r="K10">
        <v>1</v>
      </c>
      <c r="L10">
        <v>0</v>
      </c>
      <c r="M10">
        <v>1</v>
      </c>
    </row>
    <row r="11" spans="1:13" x14ac:dyDescent="0.25">
      <c r="A11" s="2" t="s">
        <v>1</v>
      </c>
      <c r="B11" s="2">
        <v>6</v>
      </c>
      <c r="C11" s="2">
        <v>8</v>
      </c>
      <c r="D11" s="2">
        <v>9</v>
      </c>
      <c r="E11" s="2">
        <v>3</v>
      </c>
      <c r="F11" s="2">
        <v>26</v>
      </c>
      <c r="G11" s="2"/>
      <c r="H11" s="2" t="s">
        <v>1</v>
      </c>
      <c r="I11" s="2">
        <v>2</v>
      </c>
      <c r="J11" s="2">
        <v>3</v>
      </c>
      <c r="K11" s="2">
        <v>10</v>
      </c>
      <c r="L11" s="2">
        <v>4</v>
      </c>
      <c r="M11" s="2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F698-D4CD-4143-9EB3-84490F3D2925}">
  <dimension ref="A1:M10"/>
  <sheetViews>
    <sheetView tabSelected="1" workbookViewId="0">
      <selection activeCell="F11" sqref="F11"/>
    </sheetView>
  </sheetViews>
  <sheetFormatPr defaultRowHeight="15" x14ac:dyDescent="0.25"/>
  <cols>
    <col min="1" max="1" width="14" customWidth="1"/>
    <col min="5" max="5" width="11" customWidth="1"/>
    <col min="8" max="8" width="14.7109375" customWidth="1"/>
    <col min="10" max="10" width="12.7109375" customWidth="1"/>
    <col min="11" max="11" width="11.42578125" customWidth="1"/>
    <col min="12" max="12" width="11.7109375" customWidth="1"/>
  </cols>
  <sheetData>
    <row r="1" spans="1:13" x14ac:dyDescent="0.25">
      <c r="A1" s="2" t="s">
        <v>0</v>
      </c>
      <c r="B1" s="2" t="s">
        <v>77</v>
      </c>
      <c r="C1" s="2" t="s">
        <v>75</v>
      </c>
      <c r="D1" s="2" t="s">
        <v>76</v>
      </c>
      <c r="E1" s="2" t="s">
        <v>84</v>
      </c>
      <c r="F1" s="2" t="s">
        <v>1</v>
      </c>
      <c r="H1" s="2" t="s">
        <v>0</v>
      </c>
      <c r="I1" s="2" t="s">
        <v>81</v>
      </c>
      <c r="J1" s="2" t="s">
        <v>87</v>
      </c>
      <c r="K1" s="2" t="s">
        <v>88</v>
      </c>
      <c r="L1" s="2" t="s">
        <v>80</v>
      </c>
      <c r="M1" s="2" t="s">
        <v>1</v>
      </c>
    </row>
    <row r="2" spans="1:13" x14ac:dyDescent="0.25">
      <c r="A2" t="s">
        <v>348</v>
      </c>
      <c r="B2">
        <v>1</v>
      </c>
      <c r="C2">
        <v>0</v>
      </c>
      <c r="D2">
        <v>0</v>
      </c>
      <c r="E2">
        <v>0</v>
      </c>
      <c r="F2">
        <v>1</v>
      </c>
      <c r="H2" t="s">
        <v>353</v>
      </c>
      <c r="I2">
        <v>0</v>
      </c>
      <c r="J2">
        <v>0</v>
      </c>
      <c r="K2">
        <v>2</v>
      </c>
      <c r="L2">
        <v>0</v>
      </c>
      <c r="M2">
        <v>2</v>
      </c>
    </row>
    <row r="3" spans="1:13" x14ac:dyDescent="0.25">
      <c r="A3" t="s">
        <v>349</v>
      </c>
      <c r="B3">
        <v>1</v>
      </c>
      <c r="C3">
        <v>0</v>
      </c>
      <c r="D3">
        <v>0</v>
      </c>
      <c r="E3">
        <v>0</v>
      </c>
      <c r="F3">
        <v>1</v>
      </c>
      <c r="H3" t="s">
        <v>354</v>
      </c>
      <c r="I3">
        <v>0</v>
      </c>
      <c r="J3">
        <v>1</v>
      </c>
      <c r="K3">
        <v>0</v>
      </c>
      <c r="L3">
        <v>0</v>
      </c>
      <c r="M3">
        <v>1</v>
      </c>
    </row>
    <row r="4" spans="1:13" x14ac:dyDescent="0.25">
      <c r="A4" t="s">
        <v>350</v>
      </c>
      <c r="B4">
        <v>0</v>
      </c>
      <c r="C4">
        <v>0</v>
      </c>
      <c r="D4">
        <v>1</v>
      </c>
      <c r="E4">
        <v>0</v>
      </c>
      <c r="F4">
        <v>1</v>
      </c>
      <c r="H4" t="s">
        <v>350</v>
      </c>
      <c r="I4">
        <v>0</v>
      </c>
      <c r="J4">
        <v>0</v>
      </c>
      <c r="K4">
        <v>0</v>
      </c>
      <c r="L4">
        <v>2</v>
      </c>
      <c r="M4">
        <v>2</v>
      </c>
    </row>
    <row r="5" spans="1:13" x14ac:dyDescent="0.25">
      <c r="A5" t="s">
        <v>351</v>
      </c>
      <c r="B5">
        <v>3</v>
      </c>
      <c r="C5">
        <v>2</v>
      </c>
      <c r="D5">
        <v>3</v>
      </c>
      <c r="E5">
        <v>2</v>
      </c>
      <c r="F5">
        <v>10</v>
      </c>
      <c r="H5" t="s">
        <v>351</v>
      </c>
      <c r="I5">
        <v>1</v>
      </c>
      <c r="J5">
        <v>4</v>
      </c>
      <c r="K5">
        <v>0</v>
      </c>
      <c r="L5">
        <v>0</v>
      </c>
      <c r="M5">
        <v>5</v>
      </c>
    </row>
    <row r="6" spans="1:13" x14ac:dyDescent="0.25">
      <c r="A6" t="s">
        <v>352</v>
      </c>
      <c r="B6">
        <v>0</v>
      </c>
      <c r="C6">
        <v>0</v>
      </c>
      <c r="D6">
        <v>1</v>
      </c>
      <c r="E6">
        <v>0</v>
      </c>
      <c r="F6">
        <v>1</v>
      </c>
      <c r="H6" t="s">
        <v>355</v>
      </c>
      <c r="I6">
        <v>0</v>
      </c>
      <c r="J6">
        <v>0</v>
      </c>
      <c r="K6">
        <v>5</v>
      </c>
      <c r="L6">
        <v>2</v>
      </c>
      <c r="M6">
        <v>7</v>
      </c>
    </row>
    <row r="7" spans="1:13" x14ac:dyDescent="0.25">
      <c r="A7" s="2" t="s">
        <v>1</v>
      </c>
      <c r="B7" s="2">
        <v>5</v>
      </c>
      <c r="C7" s="2">
        <v>2</v>
      </c>
      <c r="D7" s="2">
        <v>5</v>
      </c>
      <c r="E7" s="2">
        <v>2</v>
      </c>
      <c r="F7" s="2">
        <v>14</v>
      </c>
      <c r="H7" t="s">
        <v>356</v>
      </c>
      <c r="I7">
        <v>0</v>
      </c>
      <c r="J7">
        <v>0</v>
      </c>
      <c r="K7">
        <v>4</v>
      </c>
      <c r="L7">
        <v>0</v>
      </c>
      <c r="M7">
        <v>4</v>
      </c>
    </row>
    <row r="8" spans="1:13" x14ac:dyDescent="0.25">
      <c r="H8" t="s">
        <v>357</v>
      </c>
      <c r="I8">
        <v>0</v>
      </c>
      <c r="J8">
        <v>3</v>
      </c>
      <c r="K8">
        <v>0</v>
      </c>
      <c r="L8">
        <v>0</v>
      </c>
      <c r="M8">
        <v>3</v>
      </c>
    </row>
    <row r="9" spans="1:13" x14ac:dyDescent="0.25">
      <c r="H9" t="s">
        <v>358</v>
      </c>
      <c r="I9">
        <v>0</v>
      </c>
      <c r="J9">
        <v>0</v>
      </c>
      <c r="K9">
        <v>6</v>
      </c>
      <c r="L9">
        <v>1</v>
      </c>
      <c r="M9">
        <v>7</v>
      </c>
    </row>
    <row r="10" spans="1:13" x14ac:dyDescent="0.25">
      <c r="H10" s="2" t="s">
        <v>1</v>
      </c>
      <c r="I10" s="2">
        <v>1</v>
      </c>
      <c r="J10" s="2">
        <v>8</v>
      </c>
      <c r="K10" s="2">
        <v>17</v>
      </c>
      <c r="L10" s="2">
        <v>5</v>
      </c>
      <c r="M10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MLS-All</vt:lpstr>
      <vt:lpstr>MLS-by treatment</vt:lpstr>
      <vt:lpstr>TET-by treatment</vt:lpstr>
      <vt:lpstr>Tetracyclines</vt:lpstr>
      <vt:lpstr>Aminoglycosides</vt:lpstr>
      <vt:lpstr>Beta-lactams</vt:lpstr>
      <vt:lpstr>Floroquinolones</vt:lpstr>
      <vt:lpstr>Folate_pathway</vt:lpstr>
      <vt:lpstr>Fosfomycin</vt:lpstr>
      <vt:lpstr>Glycopeptides</vt:lpstr>
      <vt:lpstr>Phenicols</vt:lpstr>
      <vt:lpstr>MDR</vt:lpstr>
      <vt:lpstr>QACs</vt:lpstr>
      <vt:lpstr>countif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Agga, Getahun - REE-ARS</dc:creator>
  <cp:lastModifiedBy>Agga, Getahun - REE-ARS</cp:lastModifiedBy>
  <dcterms:created xsi:type="dcterms:W3CDTF">2025-03-31T19:07:52Z</dcterms:created>
  <dcterms:modified xsi:type="dcterms:W3CDTF">2025-09-11T16:04:31Z</dcterms:modified>
</cp:coreProperties>
</file>