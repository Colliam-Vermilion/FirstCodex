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文献明细" sheetId="2" state="visible" r:id="rId2"/>
    <sheet xmlns:r="http://schemas.openxmlformats.org/officeDocument/2006/relationships" name="期刊汇总" sheetId="3" state="visible" r:id="rId3"/>
    <sheet xmlns:r="http://schemas.openxmlformats.org/officeDocument/2006/relationships" name="统计汇总" sheetId="4" state="visible" r:id="rId4"/>
    <sheet xmlns:r="http://schemas.openxmlformats.org/officeDocument/2006/relationships" name="待核实项" sheetId="5" state="visible" r:id="rId5"/>
    <sheet xmlns:r="http://schemas.openxmlformats.org/officeDocument/2006/relationships" name="JCR学科明细" sheetId="6" state="visible" r:id="rId6"/>
    <sheet xmlns:r="http://schemas.openxmlformats.org/officeDocument/2006/relationships" name="统一文件清单" sheetId="7" state="visible" r:id="rId7"/>
    <sheet xmlns:r="http://schemas.openxmlformats.org/officeDocument/2006/relationships" name="非期刊及类型待核实" sheetId="8" state="visible" r:id="rId8"/>
    <sheet xmlns:r="http://schemas.openxmlformats.org/officeDocument/2006/relationships" name="main清理" sheetId="9" state="visible" r:id="rId9"/>
  </sheets>
  <definedNames>
    <definedName name="_xlnm._FilterDatabase" localSheetId="0" hidden="1">'说明'!$A$1:$B$14</definedName>
    <definedName name="_xlnm._FilterDatabase" localSheetId="1" hidden="1">'文献明细'!$A$1:$AD$555</definedName>
    <definedName name="_xlnm._FilterDatabase" localSheetId="2" hidden="1">'期刊汇总'!$A$1:$Q$134</definedName>
    <definedName name="_xlnm._FilterDatabase" localSheetId="3" hidden="1">'统计汇总'!$A$1:$N$9</definedName>
    <definedName name="_xlnm._FilterDatabase" localSheetId="4" hidden="1">'待核实项'!$A$1:$H$201</definedName>
    <definedName name="_xlnm._FilterDatabase" localSheetId="5" hidden="1">'JCR学科明细'!$A$1:$I$117</definedName>
    <definedName name="_xlnm._FilterDatabase" localSheetId="6" hidden="1">'统一文件清单'!$A$1:$O$666</definedName>
    <definedName name="_xlnm._FilterDatabase" localSheetId="7" hidden="1">'非期刊及类型待核实'!$A$1:$AD$41</definedName>
    <definedName name="_xlnm._FilterDatabase" localSheetId="8" hidden="1">'main清理'!$A$1:$B$5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color rgb="00243746"/>
      <sz val="10"/>
    </font>
    <font>
      <name val="Microsoft YaHei"/>
      <b val="1"/>
      <color rgb="0008684B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1F4F8"/>
      </patternFill>
    </fill>
    <fill>
      <patternFill patternType="solid">
        <fgColor rgb="00D5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全部目标期刊论文：已确认Q1数量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'统计汇总'!F1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'统计汇总'!$B$2:$B$5</f>
            </numRef>
          </cat>
          <val>
            <numRef>
              <f>'统计汇总'!$F$2:$F$5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文章数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48" customHeight="1">
      <c r="A2" s="2" t="inlineStr">
        <is>
          <t>数据基准</t>
        </is>
      </c>
      <c r="B2" s="2" t="inlineStr">
        <is>
          <t>2026-10-23；远端022237df当前文件；554条总记录、426条纳入范围，分类/人工证据保留；缺全文不改变范围。</t>
        </is>
      </c>
    </row>
    <row r="3" ht="48" customHeight="1">
      <c r="A3" s="3" t="inlineStr">
        <is>
          <t>JCR年份</t>
        </is>
      </c>
      <c r="B3" s="3" t="inlineStr">
        <is>
          <t>统一使用2024指标年，对应2025发布版。依据Clarivate 2025 Release Notes；本表不声称使用2026发布版。</t>
        </is>
      </c>
    </row>
    <row r="4" ht="48" customHeight="1">
      <c r="A4" s="2" t="inlineStr">
        <is>
          <t>JCR定义</t>
        </is>
      </c>
      <c r="B4" s="2" t="inlineStr">
        <is>
          <t>使用JIF Quartile（Q1–Q4）。不使用中科院分区、SJR/SCImago/CiteScore或影响因子高低替代JCR分区。</t>
        </is>
      </c>
    </row>
    <row r="5" ht="48" customHeight="1">
      <c r="A5" s="3" t="inlineStr">
        <is>
          <t>核验来源与限制</t>
        </is>
      </c>
      <c r="B5" s="3" t="inlineStr">
        <is>
          <t>主要为武汉大学图书馆机构JCR期刊信息/列表的搜索索引摘录，逐刊保留年份、ISSN、学科、分区及URL和索引快照；直连页面未成功，未取得Clarivate账户全量导出。仅计已核实学科，所有未知留空/待核实。</t>
        </is>
      </c>
    </row>
    <row r="6" ht="48" customHeight="1">
      <c r="A6" s="2" t="inlineStr">
        <is>
          <t>两种Q1口径</t>
        </is>
      </c>
      <c r="B6" s="2" t="inlineStr">
        <is>
          <t>至少一个已核实学科Q1；全部已核实学科均Q1。后者不承诺没有尚未显示的学科，需完整JCR导出补足。</t>
        </is>
      </c>
    </row>
    <row r="7" ht="48" customHeight="1">
      <c r="A7" s="3" t="inlineStr">
        <is>
          <t>分母</t>
        </is>
      </c>
      <c r="B7" s="3" t="inlineStr">
        <is>
          <t>纳入范围内的目标期刊论文；分别按全部目标和已核实JCR分区目标为分母。学位、会议、海报、书章及类型待核实条目单列；未知JCR不作非Q1。</t>
        </is>
      </c>
    </row>
    <row r="8" ht="48" customHeight="1">
      <c r="A8" s="2" t="inlineStr">
        <is>
          <t>Q1数量性质</t>
        </is>
      </c>
      <c r="B8" s="2" t="inlineStr">
        <is>
          <t>可核验部分的已确认数量/下限；不是完整JCR覆盖下的最终总数。分区是2024年期刊特征，不是每篇论文发表当年的历史分区。</t>
        </is>
      </c>
    </row>
    <row r="9" ht="48" customHeight="1">
      <c r="A9" s="3" t="inlineStr">
        <is>
          <t>还需要的JCR导出</t>
        </is>
      </c>
      <c r="B9" s="3" t="inlineStr">
        <is>
          <t>请提供2025发布版、2024指标年的JCR Excel/CSV，含Journal name、ISSN、eISSN、全部Category、JIF Quartile、JIF Rank、JCR Year、导出日期。期刊名单见期刊汇总及待核实项。</t>
        </is>
      </c>
    </row>
    <row r="10" ht="48" customHeight="1">
      <c r="A10" s="2" t="inlineStr">
        <is>
          <t>原件与附件</t>
        </is>
      </c>
      <c r="B10" s="2" t="inlineStr">
        <is>
          <t>665个不同字节对象；全文402文件组合388篇；154件原格式科研补充材料（含3 ZIP），5 ZIP派生成员不重复计数。61件附件唯一关联尚待核实。</t>
        </is>
      </c>
    </row>
    <row r="11" ht="48" customHeight="1">
      <c r="A11" s="3" t="inlineStr">
        <is>
          <t>异常处理</t>
        </is>
      </c>
      <c r="B11" s="3" t="inlineStr">
        <is>
          <t>4个上传正文身份冲突、13不同字节历史候选、1作者变更表保留，不计目标全文；R13964误放同字节附件已归R13834并留映射。</t>
        </is>
      </c>
    </row>
    <row r="12" ht="48" customHeight="1">
      <c r="A12" s="2" t="inlineStr">
        <is>
          <t>main清理</t>
        </is>
      </c>
      <c r="B12" s="2" t="inlineStr">
        <is>
          <t>保全b739c0e后独立读回30原件全部通过，再正常提交0bdf0b9清理main；README原字节不变；旧副本仍在Git历史。</t>
        </is>
      </c>
    </row>
    <row r="13" ht="48" customHeight="1">
      <c r="A13" s="3" t="inlineStr">
        <is>
          <t>官方年份说明</t>
        </is>
      </c>
      <c r="B13" s="3" t="inlineStr">
        <is>
          <t>https://journalcitationreports.zendesk.com/hc/en-gb/articles/36310651247889-2025</t>
        </is>
      </c>
    </row>
    <row r="14" ht="48" customHeight="1">
      <c r="A14" s="2" t="inlineStr">
        <is>
          <t>官方多学科/JIF分区说明</t>
        </is>
      </c>
      <c r="B14" s="2" t="inlineStr">
        <is>
          <t>https://journalcitationreports.zendesk.com/hc/en-gb/articles/28351430970001-Journal-Profile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30" customWidth="1" min="10" max="10"/>
    <col width="30" customWidth="1" min="11" max="11"/>
    <col width="30" customWidth="1" min="12" max="12"/>
    <col width="15" customWidth="1" min="13" max="13"/>
    <col width="15" customWidth="1" min="14" max="14"/>
    <col width="30" customWidth="1" min="15" max="15"/>
    <col width="15" customWidth="1" min="16" max="16"/>
    <col width="30" customWidth="1" min="17" max="17"/>
    <col width="15" customWidth="1" min="18" max="18"/>
    <col width="15" customWidth="1" min="19" max="19"/>
    <col width="48" customWidth="1" min="20" max="20"/>
    <col width="48" customWidth="1" min="21" max="21"/>
    <col width="15" customWidth="1" min="22" max="22"/>
    <col width="15" customWidth="1" min="23" max="23"/>
    <col width="15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</cols>
  <sheetData>
    <row r="1" ht="34" customHeight="1">
      <c r="A1" s="1" t="inlineStr">
        <is>
          <t>文献ID</t>
        </is>
      </c>
      <c r="B1" s="1" t="inlineStr">
        <is>
          <t>题名</t>
        </is>
      </c>
      <c r="C1" s="1" t="inlineStr">
        <is>
          <t>年份</t>
        </is>
      </c>
      <c r="D1" s="1" t="inlineStr">
        <is>
          <t>原总表年份</t>
        </is>
      </c>
      <c r="E1" s="1" t="inlineStr">
        <is>
          <t>DOI</t>
        </is>
      </c>
      <c r="F1" s="1" t="inlineStr">
        <is>
          <t>文献类型</t>
        </is>
      </c>
      <c r="G1" s="1" t="inlineStr">
        <is>
          <t>现有研究分类</t>
        </is>
      </c>
      <c r="H1" s="1" t="inlineStr">
        <is>
          <t>纳入范围</t>
        </is>
      </c>
      <c r="I1" s="1" t="inlineStr">
        <is>
          <t>统计文献组</t>
        </is>
      </c>
      <c r="J1" s="1" t="inlineStr">
        <is>
          <t>是否目标期刊论文</t>
        </is>
      </c>
      <c r="K1" s="1" t="inlineStr">
        <is>
          <t>期刊</t>
        </is>
      </c>
      <c r="L1" s="1" t="inlineStr">
        <is>
          <t>原期刊字段</t>
        </is>
      </c>
      <c r="M1" s="1" t="inlineStr">
        <is>
          <t>ISSN</t>
        </is>
      </c>
      <c r="N1" s="1" t="inlineStr">
        <is>
          <t>eISSN</t>
        </is>
      </c>
      <c r="O1" s="1" t="inlineStr">
        <is>
          <t>正文获取状态</t>
        </is>
      </c>
      <c r="P1" s="1" t="inlineStr">
        <is>
          <t>核验全文标志</t>
        </is>
      </c>
      <c r="Q1" s="1" t="inlineStr">
        <is>
          <t>补充材料状态</t>
        </is>
      </c>
      <c r="R1" s="1" t="inlineStr">
        <is>
          <t>JCR数据年份</t>
        </is>
      </c>
      <c r="S1" s="1" t="inlineStr">
        <is>
          <t>JCR发布版本</t>
        </is>
      </c>
      <c r="T1" s="1" t="inlineStr">
        <is>
          <t>学科类别</t>
        </is>
      </c>
      <c r="U1" s="1" t="inlineStr">
        <is>
          <t>JIF分区（逐学科）</t>
        </is>
      </c>
      <c r="V1" s="1" t="inlineStr">
        <is>
          <t>至少一学科Q1</t>
        </is>
      </c>
      <c r="W1" s="1" t="inlineStr">
        <is>
          <t>全部已核实学科均Q1</t>
        </is>
      </c>
      <c r="X1" s="1" t="inlineStr">
        <is>
          <t>JCR分区已核实</t>
        </is>
      </c>
      <c r="Y1" s="1" t="inlineStr">
        <is>
          <t>查询来源</t>
        </is>
      </c>
      <c r="Z1" s="1" t="inlineStr">
        <is>
          <t>期刊身份来源</t>
        </is>
      </c>
      <c r="AA1" s="1" t="inlineStr">
        <is>
          <t>核验备注</t>
        </is>
      </c>
      <c r="AB1" s="1" t="inlineStr">
        <is>
          <t>正文全部规范路径</t>
        </is>
      </c>
      <c r="AC1" s="1" t="inlineStr">
        <is>
          <t>补充材料路径</t>
        </is>
      </c>
      <c r="AD1" s="1" t="inlineStr">
        <is>
          <t>正文GitHub链接</t>
        </is>
      </c>
    </row>
    <row r="2" ht="48" customHeight="1">
      <c r="A2" s="2" t="inlineStr">
        <is>
          <t>R00313</t>
        </is>
      </c>
      <c r="B2" s="2" t="inlineStr">
        <is>
          <t>Molecular analysis of the biomass of a fluidized bed reactor treating synthetic vinasse at anaerobic and micro-aerobic conditions</t>
        </is>
      </c>
      <c r="C2" s="2" t="inlineStr">
        <is>
          <t>2012</t>
        </is>
      </c>
      <c r="D2" s="2" t="inlineStr">
        <is>
          <t>2012</t>
        </is>
      </c>
      <c r="E2" s="2" t="inlineStr">
        <is>
          <t>10.1007/s00253-011-3529-3</t>
        </is>
      </c>
      <c r="F2" s="2" t="inlineStr">
        <is>
          <t>期刊文章</t>
        </is>
      </c>
      <c r="G2" s="2" t="inlineStr">
        <is>
          <t>1 直接向 AD 反应器或内部循环系统供氧</t>
        </is>
      </c>
      <c r="H2" s="2" t="inlineStr">
        <is>
          <t>是</t>
        </is>
      </c>
      <c r="I2" s="2" t="inlineStr">
        <is>
          <t>研究类</t>
        </is>
      </c>
      <c r="J2" s="2" t="inlineStr">
        <is>
          <t>是</t>
        </is>
      </c>
      <c r="K2" s="2" t="inlineStr">
        <is>
          <t>APPLIED MICROBIOLOGY AND BIOTECHNOLOGY</t>
        </is>
      </c>
      <c r="L2" s="2" t="inlineStr">
        <is>
          <t>Applied Microbiology and Biotechnology</t>
        </is>
      </c>
      <c r="M2" s="2" t="inlineStr">
        <is>
          <t>0175-7598</t>
        </is>
      </c>
      <c r="N2" s="2" t="inlineStr">
        <is>
          <t>1432-0614</t>
        </is>
      </c>
      <c r="O2" s="2" t="inlineStr">
        <is>
          <t>已取得核验全文</t>
        </is>
      </c>
      <c r="P2" s="2" t="inlineStr">
        <is>
          <t>是</t>
        </is>
      </c>
      <c r="Q2" s="2" t="inlineStr">
        <is>
          <t>当前无补充材料原件；沿用既有缺失/无附件证据，不据此认定无附件</t>
        </is>
      </c>
      <c r="R2" s="2" t="n">
        <v>2024</v>
      </c>
      <c r="S2" s="2" t="inlineStr">
        <is>
          <t>2025发布版（2024指标年）</t>
        </is>
      </c>
      <c r="T2" s="2" t="inlineStr">
        <is>
          <t>BIOTECHNOLOGY &amp; APPLIED MICROBIOLOGY</t>
        </is>
      </c>
      <c r="U2" s="2" t="inlineStr">
        <is>
          <t>BIOTECHNOLOGY &amp; APPLIED MICROBIOLOGY: Q1</t>
        </is>
      </c>
      <c r="V2" s="4" t="inlineStr">
        <is>
          <t>是</t>
        </is>
      </c>
      <c r="W2" s="4" t="inlineStr">
        <is>
          <t>是</t>
        </is>
      </c>
      <c r="X2" s="2" t="inlineStr">
        <is>
          <t>是</t>
        </is>
      </c>
      <c r="Y2" s="2" t="inlineStr">
        <is>
          <t>https://topj.lib.whu.edu.cn/searchxk1.asp?ordertype=asc&amp;page=6&amp;q=&amp;xk=291</t>
        </is>
      </c>
      <c r="Z2" s="2" t="inlineStr">
        <is>
          <t>https://api.crossref.org/works/10.1007/s00253-011-3529-3</t>
        </is>
      </c>
      <c r="AA2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2" s="2" t="inlineStr">
        <is>
          <t>original_files/R00313/fulltext/fulltext__published__67968c41f5ab39d0.pdf</t>
        </is>
      </c>
      <c r="AC2" s="2" t="inlineStr"/>
      <c r="AD2" s="2" t="inlineStr">
        <is>
          <t>https://github.com/Colliam-Vermilion/FirstCodex/blob/results/ad-oxygen-literature-20261006/results/ad-oxygen-literature-20261006/original_files/R00313/fulltext/fulltext__published__67968c41f5ab39d0.pdf</t>
        </is>
      </c>
    </row>
    <row r="3" ht="48" customHeight="1">
      <c r="A3" s="3" t="inlineStr">
        <is>
          <t>R00379</t>
        </is>
      </c>
      <c r="B3" s="3" t="inlineStr">
        <is>
          <t>Robustness of the microaerobic removal of hydrogen sulfide from biogas</t>
        </is>
      </c>
      <c r="C3" s="3" t="inlineStr">
        <is>
          <t>2012</t>
        </is>
      </c>
      <c r="D3" s="3" t="inlineStr">
        <is>
          <t>2012</t>
        </is>
      </c>
      <c r="E3" s="3" t="inlineStr">
        <is>
          <t>10.2166/wst.2012.013</t>
        </is>
      </c>
      <c r="F3" s="3" t="inlineStr">
        <is>
          <t>期刊文章</t>
        </is>
      </c>
      <c r="G3" s="3" t="inlineStr">
        <is>
          <t>1 直接向 AD 反应器或内部循环系统供氧</t>
        </is>
      </c>
      <c r="H3" s="3" t="inlineStr">
        <is>
          <t>是</t>
        </is>
      </c>
      <c r="I3" s="3" t="inlineStr">
        <is>
          <t>研究类</t>
        </is>
      </c>
      <c r="J3" s="3" t="inlineStr">
        <is>
          <t>是</t>
        </is>
      </c>
      <c r="K3" s="3" t="inlineStr">
        <is>
          <t>WATER SCIENCE AND TECHNOLOGY</t>
        </is>
      </c>
      <c r="L3" s="3" t="inlineStr">
        <is>
          <t>Water Science and Technology</t>
        </is>
      </c>
      <c r="M3" s="3" t="inlineStr">
        <is>
          <t>0273-1223</t>
        </is>
      </c>
      <c r="N3" s="3" t="inlineStr">
        <is>
          <t>1996-9732</t>
        </is>
      </c>
      <c r="O3" s="3" t="inlineStr">
        <is>
          <t>已取得核验全文</t>
        </is>
      </c>
      <c r="P3" s="3" t="inlineStr">
        <is>
          <t>是</t>
        </is>
      </c>
      <c r="Q3" s="3" t="inlineStr">
        <is>
          <t>当前无补充材料原件；沿用既有缺失/无附件证据，不据此认定无附件</t>
        </is>
      </c>
      <c r="R3" s="3" t="n">
        <v>2024</v>
      </c>
      <c r="S3" s="3" t="inlineStr">
        <is>
          <t>2025发布版（2024指标年）</t>
        </is>
      </c>
      <c r="T3" s="3" t="inlineStr">
        <is>
          <t>WATER RESOURCES; ENGINEERING, ENVIRONMENTAL; ENVIRONMENTAL SCIENCES</t>
        </is>
      </c>
      <c r="U3" s="3" t="inlineStr">
        <is>
          <t>WATER RESOURCES: Q2; ENGINEERING, ENVIRONMENTAL: Q3; ENVIRONMENTAL SCIENCES: Q3</t>
        </is>
      </c>
      <c r="V3" s="3" t="inlineStr">
        <is>
          <t>否</t>
        </is>
      </c>
      <c r="W3" s="3" t="inlineStr">
        <is>
          <t>否</t>
        </is>
      </c>
      <c r="X3" s="3" t="inlineStr">
        <is>
          <t>是</t>
        </is>
      </c>
      <c r="Y3" s="3" t="inlineStr">
        <is>
          <t>https://topj.lib.whu.edu.cn/search2.asp?ordertype=&amp;page=2&amp;q=&amp;sea=w&amp;searchtype=esi</t>
        </is>
      </c>
      <c r="Z3" s="3" t="inlineStr">
        <is>
          <t>https://api.crossref.org/works/10.2166/wst.2012.013</t>
        </is>
      </c>
      <c r="AA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3" s="3" t="inlineStr">
        <is>
          <t>original_files/R00379/fulltext/fulltext__published__4f8df7de0de247c6.pdf</t>
        </is>
      </c>
      <c r="AC3" s="3" t="inlineStr"/>
      <c r="AD3" s="3" t="inlineStr">
        <is>
          <t>https://github.com/Colliam-Vermilion/FirstCodex/blob/results/ad-oxygen-literature-20261006/results/ad-oxygen-literature-20261006/original_files/R00379/fulltext/fulltext__published__4f8df7de0de247c6.pdf</t>
        </is>
      </c>
    </row>
    <row r="4" ht="48" customHeight="1">
      <c r="A4" s="2" t="inlineStr">
        <is>
          <t>R00430</t>
        </is>
      </c>
      <c r="B4" s="2" t="inlineStr">
        <is>
          <t>The role of the headspace in hydrogen sulfide removal during microaerobic digestion of sludge</t>
        </is>
      </c>
      <c r="C4" s="2" t="inlineStr">
        <is>
          <t>2012</t>
        </is>
      </c>
      <c r="D4" s="2" t="inlineStr">
        <is>
          <t>2012</t>
        </is>
      </c>
      <c r="E4" s="2" t="inlineStr">
        <is>
          <t>10.2166/wst.2012.457</t>
        </is>
      </c>
      <c r="F4" s="2" t="inlineStr">
        <is>
          <t>期刊文章</t>
        </is>
      </c>
      <c r="G4" s="2" t="inlineStr">
        <is>
          <t>1 直接向 AD 反应器或内部循环系统供氧</t>
        </is>
      </c>
      <c r="H4" s="2" t="inlineStr">
        <is>
          <t>是</t>
        </is>
      </c>
      <c r="I4" s="2" t="inlineStr">
        <is>
          <t>研究类</t>
        </is>
      </c>
      <c r="J4" s="2" t="inlineStr">
        <is>
          <t>是</t>
        </is>
      </c>
      <c r="K4" s="2" t="inlineStr">
        <is>
          <t>WATER SCIENCE AND TECHNOLOGY</t>
        </is>
      </c>
      <c r="L4" s="2" t="inlineStr">
        <is>
          <t>Water Science and Technology</t>
        </is>
      </c>
      <c r="M4" s="2" t="inlineStr">
        <is>
          <t>0273-1223</t>
        </is>
      </c>
      <c r="N4" s="2" t="inlineStr">
        <is>
          <t>1996-9732</t>
        </is>
      </c>
      <c r="O4" s="2" t="inlineStr">
        <is>
          <t>已取得核验全文</t>
        </is>
      </c>
      <c r="P4" s="2" t="inlineStr">
        <is>
          <t>是</t>
        </is>
      </c>
      <c r="Q4" s="2" t="inlineStr">
        <is>
          <t>当前无补充材料原件；沿用既有缺失/无附件证据，不据此认定无附件</t>
        </is>
      </c>
      <c r="R4" s="2" t="n">
        <v>2024</v>
      </c>
      <c r="S4" s="2" t="inlineStr">
        <is>
          <t>2025发布版（2024指标年）</t>
        </is>
      </c>
      <c r="T4" s="2" t="inlineStr">
        <is>
          <t>WATER RESOURCES; ENGINEERING, ENVIRONMENTAL; ENVIRONMENTAL SCIENCES</t>
        </is>
      </c>
      <c r="U4" s="2" t="inlineStr">
        <is>
          <t>WATER RESOURCES: Q2; ENGINEERING, ENVIRONMENTAL: Q3; ENVIRONMENTAL SCIENCES: Q3</t>
        </is>
      </c>
      <c r="V4" s="2" t="inlineStr">
        <is>
          <t>否</t>
        </is>
      </c>
      <c r="W4" s="2" t="inlineStr">
        <is>
          <t>否</t>
        </is>
      </c>
      <c r="X4" s="2" t="inlineStr">
        <is>
          <t>是</t>
        </is>
      </c>
      <c r="Y4" s="2" t="inlineStr">
        <is>
          <t>https://topj.lib.whu.edu.cn/search2.asp?ordertype=&amp;page=2&amp;q=&amp;sea=w&amp;searchtype=esi</t>
        </is>
      </c>
      <c r="Z4" s="2" t="inlineStr">
        <is>
          <t>https://api.crossref.org/works/10.2166/wst.2012.457</t>
        </is>
      </c>
      <c r="AA4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4" s="2" t="inlineStr">
        <is>
          <t>original_files/R00430/fulltext/fulltext__published__bac7ef01cee02f8e.pdf</t>
        </is>
      </c>
      <c r="AC4" s="2" t="inlineStr"/>
      <c r="AD4" s="2" t="inlineStr">
        <is>
          <t>https://github.com/Colliam-Vermilion/FirstCodex/blob/results/ad-oxygen-literature-20261006/results/ad-oxygen-literature-20261006/original_files/R00430/fulltext/fulltext__published__bac7ef01cee02f8e.pdf</t>
        </is>
      </c>
    </row>
    <row r="5" ht="48" customHeight="1">
      <c r="A5" s="3" t="inlineStr">
        <is>
          <t>R00651</t>
        </is>
      </c>
      <c r="B5" s="3" t="inlineStr">
        <is>
          <t>Effect of micro-aeration on anaerobic digestion of primary sludge under septic tank conditions</t>
        </is>
      </c>
      <c r="C5" s="3" t="inlineStr">
        <is>
          <t>2013</t>
        </is>
      </c>
      <c r="D5" s="3" t="inlineStr">
        <is>
          <t>2013</t>
        </is>
      </c>
      <c r="E5" s="3" t="inlineStr">
        <is>
          <t>10.1007/s00449-012-0798-x</t>
        </is>
      </c>
      <c r="F5" s="3" t="inlineStr">
        <is>
          <t>期刊文章</t>
        </is>
      </c>
      <c r="G5" s="3" t="inlineStr">
        <is>
          <t>1 直接向 AD 反应器或内部循环系统供氧</t>
        </is>
      </c>
      <c r="H5" s="3" t="inlineStr">
        <is>
          <t>是</t>
        </is>
      </c>
      <c r="I5" s="3" t="inlineStr">
        <is>
          <t>研究类</t>
        </is>
      </c>
      <c r="J5" s="3" t="inlineStr">
        <is>
          <t>是</t>
        </is>
      </c>
      <c r="K5" s="3" t="inlineStr">
        <is>
          <t>BIOPROCESS AND BIOSYSTEMS ENGINEERING</t>
        </is>
      </c>
      <c r="L5" s="3" t="inlineStr">
        <is>
          <t>Bioprocess and Biosystems Engineering</t>
        </is>
      </c>
      <c r="M5" s="3" t="inlineStr">
        <is>
          <t>1615-7591</t>
        </is>
      </c>
      <c r="N5" s="3" t="inlineStr">
        <is>
          <t>1615-7605</t>
        </is>
      </c>
      <c r="O5" s="3" t="inlineStr">
        <is>
          <t>已取得核验全文</t>
        </is>
      </c>
      <c r="P5" s="3" t="inlineStr">
        <is>
          <t>是</t>
        </is>
      </c>
      <c r="Q5" s="3" t="inlineStr">
        <is>
          <t>当前无补充材料原件；沿用既有缺失/无附件证据，不据此认定无附件</t>
        </is>
      </c>
      <c r="R5" s="3" t="n">
        <v>2024</v>
      </c>
      <c r="S5" s="3" t="inlineStr">
        <is>
          <t>2025发布版（2024指标年）</t>
        </is>
      </c>
      <c r="T5" s="3" t="inlineStr">
        <is>
          <t>BIOTECHNOLOGY &amp; APPLIED MICROBIOLOGY; ENGINEERING, CHEMICAL</t>
        </is>
      </c>
      <c r="U5" s="3" t="inlineStr">
        <is>
          <t>BIOTECHNOLOGY &amp; APPLIED MICROBIOLOGY: Q2; ENGINEERING, CHEMICAL: Q2</t>
        </is>
      </c>
      <c r="V5" s="3" t="inlineStr">
        <is>
          <t>否</t>
        </is>
      </c>
      <c r="W5" s="3" t="inlineStr">
        <is>
          <t>否</t>
        </is>
      </c>
      <c r="X5" s="3" t="inlineStr">
        <is>
          <t>是</t>
        </is>
      </c>
      <c r="Y5" s="3" t="inlineStr">
        <is>
          <t>https://topj.lib.whu.edu.cn/show.asp?cat=sci&amp;id=5879</t>
        </is>
      </c>
      <c r="Z5" s="3" t="inlineStr">
        <is>
          <t>https://api.crossref.org/works/10.1007/s00449-012-0798-x</t>
        </is>
      </c>
      <c r="AA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" s="3" t="inlineStr">
        <is>
          <t>original_files/R00651/fulltext/fulltext__published__4a05c2b25035cc74.pdf</t>
        </is>
      </c>
      <c r="AC5" s="3" t="inlineStr"/>
      <c r="AD5" s="3" t="inlineStr">
        <is>
          <t>https://github.com/Colliam-Vermilion/FirstCodex/blob/results/ad-oxygen-literature-20261006/results/ad-oxygen-literature-20261006/original_files/R00651/fulltext/fulltext__published__4a05c2b25035cc74.pdf</t>
        </is>
      </c>
    </row>
    <row r="6" ht="48" customHeight="1">
      <c r="A6" s="2" t="inlineStr">
        <is>
          <t>R00735</t>
        </is>
      </c>
      <c r="B6" s="2" t="inlineStr">
        <is>
          <t>Improvement of Anaerobic Digester Performance by Wastewater Recirculation through an Aerated Membrane</t>
        </is>
      </c>
      <c r="C6" s="2" t="inlineStr">
        <is>
          <t>2013</t>
        </is>
      </c>
      <c r="D6" s="2" t="inlineStr">
        <is>
          <t>2013</t>
        </is>
      </c>
      <c r="E6" s="2" t="inlineStr">
        <is>
          <t>10.13031/trans.56.9869</t>
        </is>
      </c>
      <c r="F6" s="2" t="inlineStr">
        <is>
          <t>期刊文章</t>
        </is>
      </c>
      <c r="G6" s="2" t="inlineStr">
        <is>
          <t>1 直接向 AD 反应器或内部循环系统供氧</t>
        </is>
      </c>
      <c r="H6" s="2" t="inlineStr">
        <is>
          <t>是</t>
        </is>
      </c>
      <c r="I6" s="2" t="inlineStr">
        <is>
          <t>研究类</t>
        </is>
      </c>
      <c r="J6" s="2" t="inlineStr">
        <is>
          <t>是</t>
        </is>
      </c>
      <c r="K6" s="2" t="inlineStr">
        <is>
          <t>Transactions of the ASABE</t>
        </is>
      </c>
      <c r="L6" s="2" t="inlineStr">
        <is>
          <t>Transactions of the ASABE</t>
        </is>
      </c>
      <c r="M6" s="2" t="inlineStr">
        <is>
          <t>2151-0032</t>
        </is>
      </c>
      <c r="N6" s="2" t="inlineStr">
        <is>
          <t>2151-0040</t>
        </is>
      </c>
      <c r="O6" s="2" t="inlineStr">
        <is>
          <t>未取得全文</t>
        </is>
      </c>
      <c r="P6" s="2" t="inlineStr">
        <is>
          <t>否</t>
        </is>
      </c>
      <c r="Q6" s="2" t="inlineStr">
        <is>
          <t>当前无补充材料原件；沿用既有缺失/无附件证据，不据此认定无附件</t>
        </is>
      </c>
      <c r="R6" s="2" t="n">
        <v>2024</v>
      </c>
      <c r="S6" s="2" t="inlineStr">
        <is>
          <t>2025发布版（2024指标年）</t>
        </is>
      </c>
      <c r="T6" s="2" t="inlineStr"/>
      <c r="U6" s="2" t="inlineStr"/>
      <c r="V6" s="2" t="inlineStr">
        <is>
          <t>待核实</t>
        </is>
      </c>
      <c r="W6" s="2" t="inlineStr">
        <is>
          <t>待核实</t>
        </is>
      </c>
      <c r="X6" s="2" t="inlineStr">
        <is>
          <t>否</t>
        </is>
      </c>
      <c r="Y6" s="2" t="inlineStr"/>
      <c r="Z6" s="2" t="inlineStr">
        <is>
          <t>https://api.crossref.org/works/10.13031/trans.56.9869</t>
        </is>
      </c>
      <c r="AA6" s="2" t="inlineStr">
        <is>
          <t>2024指标年JCR分区未核实；空白不能当非Q1。需要2025发布版/2024指标年的JCR全部学科导出。</t>
        </is>
      </c>
      <c r="AB6" s="2" t="inlineStr"/>
      <c r="AC6" s="2" t="inlineStr"/>
      <c r="AD6" s="2" t="inlineStr"/>
    </row>
    <row r="7" ht="48" customHeight="1">
      <c r="A7" s="3" t="inlineStr">
        <is>
          <t>R00795</t>
        </is>
      </c>
      <c r="B7" s="3" t="inlineStr">
        <is>
          <t>Microaerobic desulphurisation unit: A new biological system for the removal of H2S from biogas</t>
        </is>
      </c>
      <c r="C7" s="3" t="inlineStr">
        <is>
          <t>2013</t>
        </is>
      </c>
      <c r="D7" s="3" t="inlineStr">
        <is>
          <t>2013</t>
        </is>
      </c>
      <c r="E7" s="3" t="inlineStr">
        <is>
          <t>10.1016/j.biortech.2013.05.084</t>
        </is>
      </c>
      <c r="F7" s="3" t="inlineStr">
        <is>
          <t>期刊文章</t>
        </is>
      </c>
      <c r="G7" s="3" t="inlineStr">
        <is>
          <t>1 直接向 AD 反应器或内部循环系统供氧</t>
        </is>
      </c>
      <c r="H7" s="3" t="inlineStr">
        <is>
          <t>是</t>
        </is>
      </c>
      <c r="I7" s="3" t="inlineStr">
        <is>
          <t>研究类</t>
        </is>
      </c>
      <c r="J7" s="3" t="inlineStr">
        <is>
          <t>是</t>
        </is>
      </c>
      <c r="K7" s="3" t="inlineStr">
        <is>
          <t>BIORESOURCE TECHNOLOGY</t>
        </is>
      </c>
      <c r="L7" s="3" t="inlineStr">
        <is>
          <t>Bioresource Technology</t>
        </is>
      </c>
      <c r="M7" s="3" t="inlineStr">
        <is>
          <t>0960-8524</t>
        </is>
      </c>
      <c r="N7" s="3" t="inlineStr"/>
      <c r="O7" s="3" t="inlineStr">
        <is>
          <t>已取得核验全文</t>
        </is>
      </c>
      <c r="P7" s="3" t="inlineStr">
        <is>
          <t>是</t>
        </is>
      </c>
      <c r="Q7" s="3" t="inlineStr">
        <is>
          <t>当前无补充材料原件；沿用既有缺失/无附件证据，不据此认定无附件</t>
        </is>
      </c>
      <c r="R7" s="3" t="n">
        <v>2024</v>
      </c>
      <c r="S7" s="3" t="inlineStr">
        <is>
          <t>2025发布版（2024指标年）</t>
        </is>
      </c>
      <c r="T7" s="3" t="inlineStr">
        <is>
          <t>AGRICULTURAL ENGINEERING; BIOTECHNOLOGY &amp; APPLIED MICROBIOLOGY; ENERGY &amp; FUELS</t>
        </is>
      </c>
      <c r="U7" s="3" t="inlineStr">
        <is>
          <t>AGRICULTURAL ENGINEERING: Q1; BIOTECHNOLOGY &amp; APPLIED MICROBIOLOGY: Q1; ENERGY &amp; FUELS: Q1</t>
        </is>
      </c>
      <c r="V7" s="4" t="inlineStr">
        <is>
          <t>是</t>
        </is>
      </c>
      <c r="W7" s="4" t="inlineStr">
        <is>
          <t>是</t>
        </is>
      </c>
      <c r="X7" s="3" t="inlineStr">
        <is>
          <t>是</t>
        </is>
      </c>
      <c r="Y7" s="3" t="inlineStr">
        <is>
          <t>https://topj.lib.whu.edu.cn/show.asp?cat=zk&amp;id=3976</t>
        </is>
      </c>
      <c r="Z7" s="3" t="inlineStr">
        <is>
          <t>https://api.crossref.org/works/10.1016/j.biortech.2013.05.084</t>
        </is>
      </c>
      <c r="AA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" s="3" t="inlineStr">
        <is>
          <t>original_files/R00795/fulltext/fulltext__published__874efe69f8123943.pdf</t>
        </is>
      </c>
      <c r="AC7" s="3" t="inlineStr"/>
      <c r="AD7" s="3" t="inlineStr">
        <is>
          <t>https://github.com/Colliam-Vermilion/FirstCodex/blob/results/ad-oxygen-literature-20261006/results/ad-oxygen-literature-20261006/original_files/R00795/fulltext/fulltext__published__874efe69f8123943.pdf</t>
        </is>
      </c>
    </row>
    <row r="8" ht="48" customHeight="1">
      <c r="A8" s="2" t="inlineStr">
        <is>
          <t>R01297</t>
        </is>
      </c>
      <c r="B8" s="2" t="inlineStr">
        <is>
          <t>Improving products of anaerobic sludge digestion by microaeration</t>
        </is>
      </c>
      <c r="C8" s="2" t="inlineStr">
        <is>
          <t>2014</t>
        </is>
      </c>
      <c r="D8" s="2" t="inlineStr">
        <is>
          <t>2014</t>
        </is>
      </c>
      <c r="E8" s="2" t="inlineStr">
        <is>
          <t>10.2166/wst.2013.779</t>
        </is>
      </c>
      <c r="F8" s="2" t="inlineStr">
        <is>
          <t>期刊文章</t>
        </is>
      </c>
      <c r="G8" s="2" t="inlineStr">
        <is>
          <t>1 直接向 AD 反应器或内部循环系统供氧</t>
        </is>
      </c>
      <c r="H8" s="2" t="inlineStr">
        <is>
          <t>是</t>
        </is>
      </c>
      <c r="I8" s="2" t="inlineStr">
        <is>
          <t>研究类</t>
        </is>
      </c>
      <c r="J8" s="2" t="inlineStr">
        <is>
          <t>是</t>
        </is>
      </c>
      <c r="K8" s="2" t="inlineStr">
        <is>
          <t>WATER SCIENCE AND TECHNOLOGY</t>
        </is>
      </c>
      <c r="L8" s="2" t="inlineStr">
        <is>
          <t>Water Science and Technology</t>
        </is>
      </c>
      <c r="M8" s="2" t="inlineStr">
        <is>
          <t>0273-1223</t>
        </is>
      </c>
      <c r="N8" s="2" t="inlineStr">
        <is>
          <t>1996-9732</t>
        </is>
      </c>
      <c r="O8" s="2" t="inlineStr">
        <is>
          <t>已取得核验全文</t>
        </is>
      </c>
      <c r="P8" s="2" t="inlineStr">
        <is>
          <t>是</t>
        </is>
      </c>
      <c r="Q8" s="2" t="inlineStr">
        <is>
          <t>当前无补充材料原件；沿用既有缺失/无附件证据，不据此认定无附件</t>
        </is>
      </c>
      <c r="R8" s="2" t="n">
        <v>2024</v>
      </c>
      <c r="S8" s="2" t="inlineStr">
        <is>
          <t>2025发布版（2024指标年）</t>
        </is>
      </c>
      <c r="T8" s="2" t="inlineStr">
        <is>
          <t>WATER RESOURCES; ENGINEERING, ENVIRONMENTAL; ENVIRONMENTAL SCIENCES</t>
        </is>
      </c>
      <c r="U8" s="2" t="inlineStr">
        <is>
          <t>WATER RESOURCES: Q2; ENGINEERING, ENVIRONMENTAL: Q3; ENVIRONMENTAL SCIENCES: Q3</t>
        </is>
      </c>
      <c r="V8" s="2" t="inlineStr">
        <is>
          <t>否</t>
        </is>
      </c>
      <c r="W8" s="2" t="inlineStr">
        <is>
          <t>否</t>
        </is>
      </c>
      <c r="X8" s="2" t="inlineStr">
        <is>
          <t>是</t>
        </is>
      </c>
      <c r="Y8" s="2" t="inlineStr">
        <is>
          <t>https://topj.lib.whu.edu.cn/search2.asp?ordertype=&amp;page=2&amp;q=&amp;sea=w&amp;searchtype=esi</t>
        </is>
      </c>
      <c r="Z8" s="2" t="inlineStr">
        <is>
          <t>https://api.crossref.org/works/10.2166/wst.2013.779</t>
        </is>
      </c>
      <c r="AA8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8" s="2" t="inlineStr">
        <is>
          <t>original_files/R01297/fulltext/fulltext__published__de7ffcf910e42cc3.pdf</t>
        </is>
      </c>
      <c r="AC8" s="2" t="inlineStr"/>
      <c r="AD8" s="2" t="inlineStr">
        <is>
          <t>https://github.com/Colliam-Vermilion/FirstCodex/blob/results/ad-oxygen-literature-20261006/results/ad-oxygen-literature-20261006/original_files/R01297/fulltext/fulltext__published__de7ffcf910e42cc3.pdf</t>
        </is>
      </c>
    </row>
    <row r="9" ht="48" customHeight="1">
      <c r="A9" s="3" t="inlineStr">
        <is>
          <t>R01347</t>
        </is>
      </c>
      <c r="B9" s="3" t="inlineStr">
        <is>
          <t>Microaeration for hydrogen sulfide removal in UASB reactor</t>
        </is>
      </c>
      <c r="C9" s="3" t="inlineStr">
        <is>
          <t>2014</t>
        </is>
      </c>
      <c r="D9" s="3" t="inlineStr">
        <is>
          <t>2014</t>
        </is>
      </c>
      <c r="E9" s="3" t="inlineStr">
        <is>
          <t>10.1016/j.biortech.2014.09.056</t>
        </is>
      </c>
      <c r="F9" s="3" t="inlineStr">
        <is>
          <t>期刊文章</t>
        </is>
      </c>
      <c r="G9" s="3" t="inlineStr">
        <is>
          <t>1 直接向 AD 反应器或内部循环系统供氧</t>
        </is>
      </c>
      <c r="H9" s="3" t="inlineStr">
        <is>
          <t>是</t>
        </is>
      </c>
      <c r="I9" s="3" t="inlineStr">
        <is>
          <t>研究类</t>
        </is>
      </c>
      <c r="J9" s="3" t="inlineStr">
        <is>
          <t>是</t>
        </is>
      </c>
      <c r="K9" s="3" t="inlineStr">
        <is>
          <t>BIORESOURCE TECHNOLOGY</t>
        </is>
      </c>
      <c r="L9" s="3" t="inlineStr">
        <is>
          <t>Bioresource Technology</t>
        </is>
      </c>
      <c r="M9" s="3" t="inlineStr">
        <is>
          <t>0960-8524</t>
        </is>
      </c>
      <c r="N9" s="3" t="inlineStr"/>
      <c r="O9" s="3" t="inlineStr">
        <is>
          <t>已取得核验全文</t>
        </is>
      </c>
      <c r="P9" s="3" t="inlineStr">
        <is>
          <t>是</t>
        </is>
      </c>
      <c r="Q9" s="3" t="inlineStr">
        <is>
          <t>当前无补充材料原件；沿用既有缺失/无附件证据，不据此认定无附件</t>
        </is>
      </c>
      <c r="R9" s="3" t="n">
        <v>2024</v>
      </c>
      <c r="S9" s="3" t="inlineStr">
        <is>
          <t>2025发布版（2024指标年）</t>
        </is>
      </c>
      <c r="T9" s="3" t="inlineStr">
        <is>
          <t>AGRICULTURAL ENGINEERING; BIOTECHNOLOGY &amp; APPLIED MICROBIOLOGY; ENERGY &amp; FUELS</t>
        </is>
      </c>
      <c r="U9" s="3" t="inlineStr">
        <is>
          <t>AGRICULTURAL ENGINEERING: Q1; BIOTECHNOLOGY &amp; APPLIED MICROBIOLOGY: Q1; ENERGY &amp; FUELS: Q1</t>
        </is>
      </c>
      <c r="V9" s="4" t="inlineStr">
        <is>
          <t>是</t>
        </is>
      </c>
      <c r="W9" s="4" t="inlineStr">
        <is>
          <t>是</t>
        </is>
      </c>
      <c r="X9" s="3" t="inlineStr">
        <is>
          <t>是</t>
        </is>
      </c>
      <c r="Y9" s="3" t="inlineStr">
        <is>
          <t>https://topj.lib.whu.edu.cn/show.asp?cat=zk&amp;id=3976</t>
        </is>
      </c>
      <c r="Z9" s="3" t="inlineStr">
        <is>
          <t>https://api.crossref.org/works/10.1016/j.biortech.2014.09.056</t>
        </is>
      </c>
      <c r="AA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" s="3" t="inlineStr">
        <is>
          <t>original_files/R01347/fulltext/fulltext__published__45f836aff9088c2e.pdf</t>
        </is>
      </c>
      <c r="AC9" s="3" t="inlineStr"/>
      <c r="AD9" s="3" t="inlineStr">
        <is>
          <t>https://github.com/Colliam-Vermilion/FirstCodex/blob/results/ad-oxygen-literature-20261006/results/ad-oxygen-literature-20261006/original_files/R01347/fulltext/fulltext__published__45f836aff9088c2e.pdf</t>
        </is>
      </c>
    </row>
    <row r="10" ht="48" customHeight="1">
      <c r="A10" s="2" t="inlineStr">
        <is>
          <t>R01350</t>
        </is>
      </c>
      <c r="B10" s="2" t="inlineStr">
        <is>
          <t>Microaerobic digestion of sewage sludge on an industrial-pilot scale: The efficiency of biogas desulphurisation under different configurations and the impact of O2 on the microbial communities</t>
        </is>
      </c>
      <c r="C10" s="2" t="inlineStr">
        <is>
          <t>2014</t>
        </is>
      </c>
      <c r="D10" s="2" t="inlineStr">
        <is>
          <t>2014</t>
        </is>
      </c>
      <c r="E10" s="2" t="inlineStr">
        <is>
          <t>10.1016/j.biortech.2014.04.109</t>
        </is>
      </c>
      <c r="F10" s="2" t="inlineStr">
        <is>
          <t>期刊文章</t>
        </is>
      </c>
      <c r="G10" s="2" t="inlineStr">
        <is>
          <t>1 直接向 AD 反应器或内部循环系统供氧</t>
        </is>
      </c>
      <c r="H10" s="2" t="inlineStr">
        <is>
          <t>是</t>
        </is>
      </c>
      <c r="I10" s="2" t="inlineStr">
        <is>
          <t>研究类</t>
        </is>
      </c>
      <c r="J10" s="2" t="inlineStr">
        <is>
          <t>是</t>
        </is>
      </c>
      <c r="K10" s="2" t="inlineStr">
        <is>
          <t>BIORESOURCE TECHNOLOGY</t>
        </is>
      </c>
      <c r="L10" s="2" t="inlineStr">
        <is>
          <t>Bioresource Technology</t>
        </is>
      </c>
      <c r="M10" s="2" t="inlineStr">
        <is>
          <t>0960-8524</t>
        </is>
      </c>
      <c r="N10" s="2" t="inlineStr"/>
      <c r="O10" s="2" t="inlineStr">
        <is>
          <t>已取得核验全文</t>
        </is>
      </c>
      <c r="P10" s="2" t="inlineStr">
        <is>
          <t>是</t>
        </is>
      </c>
      <c r="Q10" s="2" t="inlineStr">
        <is>
          <t>当前无补充材料原件；沿用既有缺失/无附件证据，不据此认定无附件</t>
        </is>
      </c>
      <c r="R10" s="2" t="n">
        <v>2024</v>
      </c>
      <c r="S10" s="2" t="inlineStr">
        <is>
          <t>2025发布版（2024指标年）</t>
        </is>
      </c>
      <c r="T10" s="2" t="inlineStr">
        <is>
          <t>AGRICULTURAL ENGINEERING; BIOTECHNOLOGY &amp; APPLIED MICROBIOLOGY; ENERGY &amp; FUELS</t>
        </is>
      </c>
      <c r="U10" s="2" t="inlineStr">
        <is>
          <t>AGRICULTURAL ENGINEERING: Q1; BIOTECHNOLOGY &amp; APPLIED MICROBIOLOGY: Q1; ENERGY &amp; FUELS: Q1</t>
        </is>
      </c>
      <c r="V10" s="4" t="inlineStr">
        <is>
          <t>是</t>
        </is>
      </c>
      <c r="W10" s="4" t="inlineStr">
        <is>
          <t>是</t>
        </is>
      </c>
      <c r="X10" s="2" t="inlineStr">
        <is>
          <t>是</t>
        </is>
      </c>
      <c r="Y10" s="2" t="inlineStr">
        <is>
          <t>https://topj.lib.whu.edu.cn/show.asp?cat=zk&amp;id=3976</t>
        </is>
      </c>
      <c r="Z10" s="2" t="inlineStr">
        <is>
          <t>https://api.crossref.org/works/10.1016/j.biortech.2014.04.109</t>
        </is>
      </c>
      <c r="AA1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0" s="2" t="inlineStr">
        <is>
          <t>original_files/R01350/fulltext/fulltext__published__a2d149d39c1e69ee.pdf</t>
        </is>
      </c>
      <c r="AC10" s="2" t="inlineStr"/>
      <c r="AD10" s="2" t="inlineStr">
        <is>
          <t>https://github.com/Colliam-Vermilion/FirstCodex/blob/results/ad-oxygen-literature-20261006/results/ad-oxygen-literature-20261006/original_files/R01350/fulltext/fulltext__published__a2d149d39c1e69ee.pdf</t>
        </is>
      </c>
    </row>
    <row r="11" ht="48" customHeight="1">
      <c r="A11" s="3" t="inlineStr">
        <is>
          <t>R01414</t>
        </is>
      </c>
      <c r="B11" s="3" t="inlineStr">
        <is>
          <t>Oxidation reduction potential as a parameter to regulate micro-oxygen injection into anaerobic digester for reducing hydrogen sulphide concentration in biogas</t>
        </is>
      </c>
      <c r="C11" s="3" t="inlineStr">
        <is>
          <t>2014</t>
        </is>
      </c>
      <c r="D11" s="3" t="inlineStr">
        <is>
          <t>2014</t>
        </is>
      </c>
      <c r="E11" s="3" t="inlineStr">
        <is>
          <t>10.1016/j.biortech.2014.09.052</t>
        </is>
      </c>
      <c r="F11" s="3" t="inlineStr">
        <is>
          <t>期刊文章</t>
        </is>
      </c>
      <c r="G11" s="3" t="inlineStr">
        <is>
          <t>1 直接向 AD 反应器或内部循环系统供氧</t>
        </is>
      </c>
      <c r="H11" s="3" t="inlineStr">
        <is>
          <t>是</t>
        </is>
      </c>
      <c r="I11" s="3" t="inlineStr">
        <is>
          <t>研究类</t>
        </is>
      </c>
      <c r="J11" s="3" t="inlineStr">
        <is>
          <t>是</t>
        </is>
      </c>
      <c r="K11" s="3" t="inlineStr">
        <is>
          <t>BIORESOURCE TECHNOLOGY</t>
        </is>
      </c>
      <c r="L11" s="3" t="inlineStr">
        <is>
          <t>Bioresource Technology</t>
        </is>
      </c>
      <c r="M11" s="3" t="inlineStr">
        <is>
          <t>0960-8524</t>
        </is>
      </c>
      <c r="N11" s="3" t="inlineStr"/>
      <c r="O11" s="3" t="inlineStr">
        <is>
          <t>已取得核验全文</t>
        </is>
      </c>
      <c r="P11" s="3" t="inlineStr">
        <is>
          <t>是</t>
        </is>
      </c>
      <c r="Q11" s="3" t="inlineStr">
        <is>
          <t>已取得1件原格式补充材料；其中0件唯一关联待核实；完整性未确认</t>
        </is>
      </c>
      <c r="R11" s="3" t="n">
        <v>2024</v>
      </c>
      <c r="S11" s="3" t="inlineStr">
        <is>
          <t>2025发布版（2024指标年）</t>
        </is>
      </c>
      <c r="T11" s="3" t="inlineStr">
        <is>
          <t>AGRICULTURAL ENGINEERING; BIOTECHNOLOGY &amp; APPLIED MICROBIOLOGY; ENERGY &amp; FUELS</t>
        </is>
      </c>
      <c r="U11" s="3" t="inlineStr">
        <is>
          <t>AGRICULTURAL ENGINEERING: Q1; BIOTECHNOLOGY &amp; APPLIED MICROBIOLOGY: Q1; ENERGY &amp; FUELS: Q1</t>
        </is>
      </c>
      <c r="V11" s="4" t="inlineStr">
        <is>
          <t>是</t>
        </is>
      </c>
      <c r="W11" s="4" t="inlineStr">
        <is>
          <t>是</t>
        </is>
      </c>
      <c r="X11" s="3" t="inlineStr">
        <is>
          <t>是</t>
        </is>
      </c>
      <c r="Y11" s="3" t="inlineStr">
        <is>
          <t>https://topj.lib.whu.edu.cn/show.asp?cat=zk&amp;id=3976</t>
        </is>
      </c>
      <c r="Z11" s="3" t="inlineStr">
        <is>
          <t>https://api.crossref.org/works/10.1016/j.biortech.2014.09.052</t>
        </is>
      </c>
      <c r="AA1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1" s="3" t="inlineStr">
        <is>
          <t>original_files/R01414/fulltext/fulltext__published__f3fdd6d92cc6ded3.pdf</t>
        </is>
      </c>
      <c r="AC11" s="3" t="inlineStr">
        <is>
          <t>original_files/R01414/supplementary/supplementary__0b2884c05d320076.docx</t>
        </is>
      </c>
      <c r="AD11" s="3" t="inlineStr">
        <is>
          <t>https://github.com/Colliam-Vermilion/FirstCodex/blob/results/ad-oxygen-literature-20261006/results/ad-oxygen-literature-20261006/original_files/R01414/fulltext/fulltext__published__f3fdd6d92cc6ded3.pdf</t>
        </is>
      </c>
    </row>
    <row r="12" ht="48" customHeight="1">
      <c r="A12" s="2" t="inlineStr">
        <is>
          <t>R01505</t>
        </is>
      </c>
      <c r="B12" s="2" t="inlineStr">
        <is>
          <t>The headspace of microaerobic reactors: Sulphide-oxidising population and the impact of cleaning on the efficiency of biogas desulphurisation</t>
        </is>
      </c>
      <c r="C12" s="2" t="inlineStr">
        <is>
          <t>2014</t>
        </is>
      </c>
      <c r="D12" s="2" t="inlineStr">
        <is>
          <t>2014</t>
        </is>
      </c>
      <c r="E12" s="2" t="inlineStr">
        <is>
          <t>10.1016/j.biortech.2014.02.001</t>
        </is>
      </c>
      <c r="F12" s="2" t="inlineStr">
        <is>
          <t>期刊文章</t>
        </is>
      </c>
      <c r="G12" s="2" t="inlineStr">
        <is>
          <t>1 直接向 AD 反应器或内部循环系统供氧</t>
        </is>
      </c>
      <c r="H12" s="2" t="inlineStr">
        <is>
          <t>是</t>
        </is>
      </c>
      <c r="I12" s="2" t="inlineStr">
        <is>
          <t>研究类</t>
        </is>
      </c>
      <c r="J12" s="2" t="inlineStr">
        <is>
          <t>是</t>
        </is>
      </c>
      <c r="K12" s="2" t="inlineStr">
        <is>
          <t>BIORESOURCE TECHNOLOGY</t>
        </is>
      </c>
      <c r="L12" s="2" t="inlineStr">
        <is>
          <t>Bioresource Technology</t>
        </is>
      </c>
      <c r="M12" s="2" t="inlineStr">
        <is>
          <t>0960-8524</t>
        </is>
      </c>
      <c r="N12" s="2" t="inlineStr"/>
      <c r="O12" s="2" t="inlineStr">
        <is>
          <t>已取得核验全文</t>
        </is>
      </c>
      <c r="P12" s="2" t="inlineStr">
        <is>
          <t>是</t>
        </is>
      </c>
      <c r="Q12" s="2" t="inlineStr">
        <is>
          <t>当前无补充材料原件；沿用既有缺失/无附件证据，不据此认定无附件</t>
        </is>
      </c>
      <c r="R12" s="2" t="n">
        <v>2024</v>
      </c>
      <c r="S12" s="2" t="inlineStr">
        <is>
          <t>2025发布版（2024指标年）</t>
        </is>
      </c>
      <c r="T12" s="2" t="inlineStr">
        <is>
          <t>AGRICULTURAL ENGINEERING; BIOTECHNOLOGY &amp; APPLIED MICROBIOLOGY; ENERGY &amp; FUELS</t>
        </is>
      </c>
      <c r="U12" s="2" t="inlineStr">
        <is>
          <t>AGRICULTURAL ENGINEERING: Q1; BIOTECHNOLOGY &amp; APPLIED MICROBIOLOGY: Q1; ENERGY &amp; FUELS: Q1</t>
        </is>
      </c>
      <c r="V12" s="4" t="inlineStr">
        <is>
          <t>是</t>
        </is>
      </c>
      <c r="W12" s="4" t="inlineStr">
        <is>
          <t>是</t>
        </is>
      </c>
      <c r="X12" s="2" t="inlineStr">
        <is>
          <t>是</t>
        </is>
      </c>
      <c r="Y12" s="2" t="inlineStr">
        <is>
          <t>https://topj.lib.whu.edu.cn/show.asp?cat=zk&amp;id=3976</t>
        </is>
      </c>
      <c r="Z12" s="2" t="inlineStr">
        <is>
          <t>https://api.crossref.org/works/10.1016/j.biortech.2014.02.001</t>
        </is>
      </c>
      <c r="AA1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2" s="2" t="inlineStr">
        <is>
          <t>original_files/R01505/fulltext/fulltext__published__cd661b225d80e30c.pdf</t>
        </is>
      </c>
      <c r="AC12" s="2" t="inlineStr"/>
      <c r="AD12" s="2" t="inlineStr">
        <is>
          <t>https://github.com/Colliam-Vermilion/FirstCodex/blob/results/ad-oxygen-literature-20261006/results/ad-oxygen-literature-20261006/original_files/R01505/fulltext/fulltext__published__cd661b225d80e30c.pdf</t>
        </is>
      </c>
    </row>
    <row r="13" ht="48" customHeight="1">
      <c r="A13" s="3" t="inlineStr">
        <is>
          <t>R01556</t>
        </is>
      </c>
      <c r="B13" s="3" t="inlineStr">
        <is>
          <t>Where does the removal of H2S from biogas occur in microaerobic reactors?</t>
        </is>
      </c>
      <c r="C13" s="3" t="inlineStr">
        <is>
          <t>2014</t>
        </is>
      </c>
      <c r="D13" s="3" t="inlineStr">
        <is>
          <t>2014</t>
        </is>
      </c>
      <c r="E13" s="3" t="inlineStr">
        <is>
          <t>10.1016/j.biortech.2014.05.058</t>
        </is>
      </c>
      <c r="F13" s="3" t="inlineStr">
        <is>
          <t>期刊文章</t>
        </is>
      </c>
      <c r="G13" s="3" t="inlineStr">
        <is>
          <t>1 直接向 AD 反应器或内部循环系统供氧</t>
        </is>
      </c>
      <c r="H13" s="3" t="inlineStr">
        <is>
          <t>是</t>
        </is>
      </c>
      <c r="I13" s="3" t="inlineStr">
        <is>
          <t>研究类</t>
        </is>
      </c>
      <c r="J13" s="3" t="inlineStr">
        <is>
          <t>是</t>
        </is>
      </c>
      <c r="K13" s="3" t="inlineStr">
        <is>
          <t>BIORESOURCE TECHNOLOGY</t>
        </is>
      </c>
      <c r="L13" s="3" t="inlineStr">
        <is>
          <t>Bioresource Technology</t>
        </is>
      </c>
      <c r="M13" s="3" t="inlineStr">
        <is>
          <t>0960-8524</t>
        </is>
      </c>
      <c r="N13" s="3" t="inlineStr"/>
      <c r="O13" s="3" t="inlineStr">
        <is>
          <t>已取得核验全文</t>
        </is>
      </c>
      <c r="P13" s="3" t="inlineStr">
        <is>
          <t>是</t>
        </is>
      </c>
      <c r="Q13" s="3" t="inlineStr">
        <is>
          <t>当前无补充材料原件；沿用既有缺失/无附件证据，不据此认定无附件</t>
        </is>
      </c>
      <c r="R13" s="3" t="n">
        <v>2024</v>
      </c>
      <c r="S13" s="3" t="inlineStr">
        <is>
          <t>2025发布版（2024指标年）</t>
        </is>
      </c>
      <c r="T13" s="3" t="inlineStr">
        <is>
          <t>AGRICULTURAL ENGINEERING; BIOTECHNOLOGY &amp; APPLIED MICROBIOLOGY; ENERGY &amp; FUELS</t>
        </is>
      </c>
      <c r="U13" s="3" t="inlineStr">
        <is>
          <t>AGRICULTURAL ENGINEERING: Q1; BIOTECHNOLOGY &amp; APPLIED MICROBIOLOGY: Q1; ENERGY &amp; FUELS: Q1</t>
        </is>
      </c>
      <c r="V13" s="4" t="inlineStr">
        <is>
          <t>是</t>
        </is>
      </c>
      <c r="W13" s="4" t="inlineStr">
        <is>
          <t>是</t>
        </is>
      </c>
      <c r="X13" s="3" t="inlineStr">
        <is>
          <t>是</t>
        </is>
      </c>
      <c r="Y13" s="3" t="inlineStr">
        <is>
          <t>https://topj.lib.whu.edu.cn/show.asp?cat=zk&amp;id=3976</t>
        </is>
      </c>
      <c r="Z13" s="3" t="inlineStr">
        <is>
          <t>https://api.crossref.org/works/10.1016/j.biortech.2014.05.058</t>
        </is>
      </c>
      <c r="AA1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3" s="3" t="inlineStr">
        <is>
          <t>original_files/R01556/fulltext/fulltext__published__2f7462391b5df844.pdf</t>
        </is>
      </c>
      <c r="AC13" s="3" t="inlineStr"/>
      <c r="AD13" s="3" t="inlineStr">
        <is>
          <t>https://github.com/Colliam-Vermilion/FirstCodex/blob/results/ad-oxygen-literature-20261006/results/ad-oxygen-literature-20261006/original_files/R01556/fulltext/fulltext__published__2f7462391b5df844.pdf</t>
        </is>
      </c>
    </row>
    <row r="14" ht="48" customHeight="1">
      <c r="A14" s="2" t="inlineStr">
        <is>
          <t>R01654</t>
        </is>
      </c>
      <c r="B14" s="2" t="inlineStr">
        <is>
          <t>Anaerobic digestion of waste biomass from the production of L-cystine in suspended-growth bioreactors</t>
        </is>
      </c>
      <c r="C14" s="2" t="inlineStr">
        <is>
          <t>2015</t>
        </is>
      </c>
      <c r="D14" s="2" t="inlineStr">
        <is>
          <t>2015</t>
        </is>
      </c>
      <c r="E14" s="2" t="inlineStr">
        <is>
          <t>10.2166/wst.2015.224</t>
        </is>
      </c>
      <c r="F14" s="2" t="inlineStr">
        <is>
          <t>期刊文章</t>
        </is>
      </c>
      <c r="G14" s="2" t="inlineStr">
        <is>
          <t>1 直接向 AD 反应器或内部循环系统供氧</t>
        </is>
      </c>
      <c r="H14" s="2" t="inlineStr">
        <is>
          <t>是</t>
        </is>
      </c>
      <c r="I14" s="2" t="inlineStr">
        <is>
          <t>研究类</t>
        </is>
      </c>
      <c r="J14" s="2" t="inlineStr">
        <is>
          <t>是</t>
        </is>
      </c>
      <c r="K14" s="2" t="inlineStr">
        <is>
          <t>WATER SCIENCE AND TECHNOLOGY</t>
        </is>
      </c>
      <c r="L14" s="2" t="inlineStr">
        <is>
          <t>Water Science and Technology</t>
        </is>
      </c>
      <c r="M14" s="2" t="inlineStr">
        <is>
          <t>0273-1223</t>
        </is>
      </c>
      <c r="N14" s="2" t="inlineStr"/>
      <c r="O14" s="2" t="inlineStr">
        <is>
          <t>已取得核验全文</t>
        </is>
      </c>
      <c r="P14" s="2" t="inlineStr">
        <is>
          <t>是</t>
        </is>
      </c>
      <c r="Q14" s="2" t="inlineStr">
        <is>
          <t>当前无补充材料原件；沿用既有缺失/无附件证据，不据此认定无附件</t>
        </is>
      </c>
      <c r="R14" s="2" t="n">
        <v>2024</v>
      </c>
      <c r="S14" s="2" t="inlineStr">
        <is>
          <t>2025发布版（2024指标年）</t>
        </is>
      </c>
      <c r="T14" s="2" t="inlineStr">
        <is>
          <t>WATER RESOURCES; ENGINEERING, ENVIRONMENTAL; ENVIRONMENTAL SCIENCES</t>
        </is>
      </c>
      <c r="U14" s="2" t="inlineStr">
        <is>
          <t>WATER RESOURCES: Q2; ENGINEERING, ENVIRONMENTAL: Q3; ENVIRONMENTAL SCIENCES: Q3</t>
        </is>
      </c>
      <c r="V14" s="2" t="inlineStr">
        <is>
          <t>否</t>
        </is>
      </c>
      <c r="W14" s="2" t="inlineStr">
        <is>
          <t>否</t>
        </is>
      </c>
      <c r="X14" s="2" t="inlineStr">
        <is>
          <t>是</t>
        </is>
      </c>
      <c r="Y14" s="2" t="inlineStr">
        <is>
          <t>https://topj.lib.whu.edu.cn/search2.asp?ordertype=&amp;page=2&amp;q=&amp;sea=w&amp;searchtype=esi</t>
        </is>
      </c>
      <c r="Z14" s="2" t="inlineStr"/>
      <c r="AA14" s="2" t="inlineStr">
        <is>
          <t>既有DOI未由Crossref返回可用元数据（可能为DataCite/JaLC等）；不据此否认记录身份 | 机构2024年JCR列表栏：搜索索引可核验；原页直连未成功；仅统计已显示学科 | 全部Q1仅指本表全部已核实学科；无官方完整学科导出，不承诺没有未显示学科</t>
        </is>
      </c>
      <c r="AB14" s="2" t="inlineStr">
        <is>
          <t>original_files/R01654/fulltext/fulltext__published__07361dc13d0f4990.pdf</t>
        </is>
      </c>
      <c r="AC14" s="2" t="inlineStr"/>
      <c r="AD14" s="2" t="inlineStr">
        <is>
          <t>https://github.com/Colliam-Vermilion/FirstCodex/blob/results/ad-oxygen-literature-20261006/results/ad-oxygen-literature-20261006/original_files/R01654/fulltext/fulltext__published__07361dc13d0f4990.pdf</t>
        </is>
      </c>
    </row>
    <row r="15" ht="48" customHeight="1">
      <c r="A15" s="3" t="inlineStr">
        <is>
          <t>R01785</t>
        </is>
      </c>
      <c r="B15" s="3" t="inlineStr">
        <is>
          <t>Economic analysis of microaerobic removal of H2S from biogas in full-scale sludge digesters</t>
        </is>
      </c>
      <c r="C15" s="3" t="inlineStr">
        <is>
          <t>2015</t>
        </is>
      </c>
      <c r="D15" s="3" t="inlineStr">
        <is>
          <t>2015</t>
        </is>
      </c>
      <c r="E15" s="3" t="inlineStr">
        <is>
          <t>10.1016/j.biortech.2015.05.048</t>
        </is>
      </c>
      <c r="F15" s="3" t="inlineStr">
        <is>
          <t>期刊文章</t>
        </is>
      </c>
      <c r="G15" s="3" t="inlineStr">
        <is>
          <t>1 直接向 AD 反应器或内部循环系统供氧</t>
        </is>
      </c>
      <c r="H15" s="3" t="inlineStr">
        <is>
          <t>是</t>
        </is>
      </c>
      <c r="I15" s="3" t="inlineStr">
        <is>
          <t>研究类</t>
        </is>
      </c>
      <c r="J15" s="3" t="inlineStr">
        <is>
          <t>是</t>
        </is>
      </c>
      <c r="K15" s="3" t="inlineStr">
        <is>
          <t>BIORESOURCE TECHNOLOGY</t>
        </is>
      </c>
      <c r="L15" s="3" t="inlineStr">
        <is>
          <t>Bioresource Technology</t>
        </is>
      </c>
      <c r="M15" s="3" t="inlineStr">
        <is>
          <t>0960-8524</t>
        </is>
      </c>
      <c r="N15" s="3" t="inlineStr"/>
      <c r="O15" s="3" t="inlineStr">
        <is>
          <t>已取得核验全文</t>
        </is>
      </c>
      <c r="P15" s="3" t="inlineStr">
        <is>
          <t>是</t>
        </is>
      </c>
      <c r="Q15" s="3" t="inlineStr">
        <is>
          <t>当前无补充材料原件；沿用既有缺失/无附件证据，不据此认定无附件</t>
        </is>
      </c>
      <c r="R15" s="3" t="n">
        <v>2024</v>
      </c>
      <c r="S15" s="3" t="inlineStr">
        <is>
          <t>2025发布版（2024指标年）</t>
        </is>
      </c>
      <c r="T15" s="3" t="inlineStr">
        <is>
          <t>AGRICULTURAL ENGINEERING; BIOTECHNOLOGY &amp; APPLIED MICROBIOLOGY; ENERGY &amp; FUELS</t>
        </is>
      </c>
      <c r="U15" s="3" t="inlineStr">
        <is>
          <t>AGRICULTURAL ENGINEERING: Q1; BIOTECHNOLOGY &amp; APPLIED MICROBIOLOGY: Q1; ENERGY &amp; FUELS: Q1</t>
        </is>
      </c>
      <c r="V15" s="4" t="inlineStr">
        <is>
          <t>是</t>
        </is>
      </c>
      <c r="W15" s="4" t="inlineStr">
        <is>
          <t>是</t>
        </is>
      </c>
      <c r="X15" s="3" t="inlineStr">
        <is>
          <t>是</t>
        </is>
      </c>
      <c r="Y15" s="3" t="inlineStr">
        <is>
          <t>https://topj.lib.whu.edu.cn/show.asp?cat=zk&amp;id=3976</t>
        </is>
      </c>
      <c r="Z15" s="3" t="inlineStr">
        <is>
          <t>https://api.crossref.org/works/10.1016/j.biortech.2015.05.048</t>
        </is>
      </c>
      <c r="AA1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5" s="3" t="inlineStr">
        <is>
          <t>original_files/R01785/fulltext/fulltext__published__1045800466e6b5e7.pdf</t>
        </is>
      </c>
      <c r="AC15" s="3" t="inlineStr"/>
      <c r="AD15" s="3" t="inlineStr">
        <is>
          <t>https://github.com/Colliam-Vermilion/FirstCodex/blob/results/ad-oxygen-literature-20261006/results/ad-oxygen-literature-20261006/original_files/R01785/fulltext/fulltext__published__1045800466e6b5e7.pdf</t>
        </is>
      </c>
    </row>
    <row r="16" ht="48" customHeight="1">
      <c r="A16" s="2" t="inlineStr">
        <is>
          <t>R01911</t>
        </is>
      </c>
      <c r="B16" s="2" t="inlineStr">
        <is>
          <t>Improvement by Micro-Aeration of Anaerobic Digestion of Slaughterhouse Wastewater At 38°C</t>
        </is>
      </c>
      <c r="C16" s="2" t="inlineStr">
        <is>
          <t>2015</t>
        </is>
      </c>
      <c r="D16" s="2" t="inlineStr">
        <is>
          <t>2015</t>
        </is>
      </c>
      <c r="E16" s="2" t="inlineStr">
        <is>
          <t>10.15680/ijirset.2015.0403002</t>
        </is>
      </c>
      <c r="F16" s="2" t="inlineStr">
        <is>
          <t>期刊文章</t>
        </is>
      </c>
      <c r="G16" s="2" t="inlineStr">
        <is>
          <t>1 直接向 AD 反应器或内部循环系统供氧</t>
        </is>
      </c>
      <c r="H16" s="2" t="inlineStr">
        <is>
          <t>是</t>
        </is>
      </c>
      <c r="I16" s="2" t="inlineStr">
        <is>
          <t>研究类</t>
        </is>
      </c>
      <c r="J16" s="2" t="inlineStr">
        <is>
          <t>是</t>
        </is>
      </c>
      <c r="K16" s="2" t="inlineStr">
        <is>
          <t>International Journal of Innovative Research in Science, Engineering and Technology</t>
        </is>
      </c>
      <c r="L16" s="2" t="inlineStr">
        <is>
          <t>International Journal of Innovative Research in Science, Engineering and Technology</t>
        </is>
      </c>
      <c r="M16" s="2" t="inlineStr">
        <is>
          <t>2347-6710</t>
        </is>
      </c>
      <c r="N16" s="2" t="inlineStr">
        <is>
          <t>2319-8753</t>
        </is>
      </c>
      <c r="O16" s="2" t="inlineStr">
        <is>
          <t>未取得全文</t>
        </is>
      </c>
      <c r="P16" s="2" t="inlineStr">
        <is>
          <t>否</t>
        </is>
      </c>
      <c r="Q16" s="2" t="inlineStr">
        <is>
          <t>当前无补充材料原件；沿用既有缺失/无附件证据，不据此认定无附件</t>
        </is>
      </c>
      <c r="R16" s="2" t="n">
        <v>2024</v>
      </c>
      <c r="S16" s="2" t="inlineStr">
        <is>
          <t>2025发布版（2024指标年）</t>
        </is>
      </c>
      <c r="T16" s="2" t="inlineStr"/>
      <c r="U16" s="2" t="inlineStr"/>
      <c r="V16" s="2" t="inlineStr">
        <is>
          <t>待核实</t>
        </is>
      </c>
      <c r="W16" s="2" t="inlineStr">
        <is>
          <t>待核实</t>
        </is>
      </c>
      <c r="X16" s="2" t="inlineStr">
        <is>
          <t>否</t>
        </is>
      </c>
      <c r="Y16" s="2" t="inlineStr"/>
      <c r="Z16" s="2" t="inlineStr">
        <is>
          <t>https://api.crossref.org/works/10.15680/ijirset.2015.0403002</t>
        </is>
      </c>
      <c r="AA16" s="2" t="inlineStr">
        <is>
          <t>2024指标年JCR分区未核实；空白不能当非Q1。需要2025发布版/2024指标年的JCR全部学科导出。</t>
        </is>
      </c>
      <c r="AB16" s="2" t="inlineStr"/>
      <c r="AC16" s="2" t="inlineStr"/>
      <c r="AD16" s="2" t="inlineStr"/>
    </row>
    <row r="17" ht="48" customHeight="1">
      <c r="A17" s="3" t="inlineStr">
        <is>
          <t>R02115</t>
        </is>
      </c>
      <c r="B17" s="3" t="inlineStr">
        <is>
          <t>Secondary thermophilic microaerobic treatment in the anaerobic digestion of corn straw</t>
        </is>
      </c>
      <c r="C17" s="3" t="inlineStr">
        <is>
          <t>2015</t>
        </is>
      </c>
      <c r="D17" s="3" t="inlineStr">
        <is>
          <t>2015</t>
        </is>
      </c>
      <c r="E17" s="3" t="inlineStr">
        <is>
          <t>10.1016/j.biortech.2015.03.053</t>
        </is>
      </c>
      <c r="F17" s="3" t="inlineStr">
        <is>
          <t>期刊文章</t>
        </is>
      </c>
      <c r="G17" s="3" t="inlineStr">
        <is>
          <t>1 直接向 AD 反应器或内部循环系统供氧</t>
        </is>
      </c>
      <c r="H17" s="3" t="inlineStr">
        <is>
          <t>是</t>
        </is>
      </c>
      <c r="I17" s="3" t="inlineStr">
        <is>
          <t>研究类</t>
        </is>
      </c>
      <c r="J17" s="3" t="inlineStr">
        <is>
          <t>是</t>
        </is>
      </c>
      <c r="K17" s="3" t="inlineStr">
        <is>
          <t>BIORESOURCE TECHNOLOGY</t>
        </is>
      </c>
      <c r="L17" s="3" t="inlineStr">
        <is>
          <t>Bioresource Technology</t>
        </is>
      </c>
      <c r="M17" s="3" t="inlineStr">
        <is>
          <t>0960-8524</t>
        </is>
      </c>
      <c r="N17" s="3" t="inlineStr"/>
      <c r="O17" s="3" t="inlineStr">
        <is>
          <t>已取得核验全文</t>
        </is>
      </c>
      <c r="P17" s="3" t="inlineStr">
        <is>
          <t>是</t>
        </is>
      </c>
      <c r="Q17" s="3" t="inlineStr">
        <is>
          <t>当前无补充材料原件；沿用既有缺失/无附件证据，不据此认定无附件</t>
        </is>
      </c>
      <c r="R17" s="3" t="n">
        <v>2024</v>
      </c>
      <c r="S17" s="3" t="inlineStr">
        <is>
          <t>2025发布版（2024指标年）</t>
        </is>
      </c>
      <c r="T17" s="3" t="inlineStr">
        <is>
          <t>AGRICULTURAL ENGINEERING; BIOTECHNOLOGY &amp; APPLIED MICROBIOLOGY; ENERGY &amp; FUELS</t>
        </is>
      </c>
      <c r="U17" s="3" t="inlineStr">
        <is>
          <t>AGRICULTURAL ENGINEERING: Q1; BIOTECHNOLOGY &amp; APPLIED MICROBIOLOGY: Q1; ENERGY &amp; FUELS: Q1</t>
        </is>
      </c>
      <c r="V17" s="4" t="inlineStr">
        <is>
          <t>是</t>
        </is>
      </c>
      <c r="W17" s="4" t="inlineStr">
        <is>
          <t>是</t>
        </is>
      </c>
      <c r="X17" s="3" t="inlineStr">
        <is>
          <t>是</t>
        </is>
      </c>
      <c r="Y17" s="3" t="inlineStr">
        <is>
          <t>https://topj.lib.whu.edu.cn/show.asp?cat=zk&amp;id=3976</t>
        </is>
      </c>
      <c r="Z17" s="3" t="inlineStr">
        <is>
          <t>https://api.crossref.org/works/10.1016/j.biortech.2015.03.053</t>
        </is>
      </c>
      <c r="AA1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7" s="3" t="inlineStr">
        <is>
          <t>original_files/R02115/fulltext/fulltext__published__e07eece2b7522917.pdf</t>
        </is>
      </c>
      <c r="AC17" s="3" t="inlineStr"/>
      <c r="AD17" s="3" t="inlineStr">
        <is>
          <t>https://github.com/Colliam-Vermilion/FirstCodex/blob/results/ad-oxygen-literature-20261006/results/ad-oxygen-literature-20261006/original_files/R02115/fulltext/fulltext__published__e07eece2b7522917.pdf</t>
        </is>
      </c>
    </row>
    <row r="18" ht="48" customHeight="1">
      <c r="A18" s="2" t="inlineStr">
        <is>
          <t>R02274</t>
        </is>
      </c>
      <c r="B18" s="2" t="inlineStr">
        <is>
          <t>ANAEROBIC DIGESTION OF WASTEWATER WITH HIGH SULFATE CONCENTRATION USING MICRO-AERATION AND NATURAL ZEOLITES</t>
        </is>
      </c>
      <c r="C18" s="2" t="inlineStr">
        <is>
          <t>2016</t>
        </is>
      </c>
      <c r="D18" s="2" t="inlineStr">
        <is>
          <t>2016</t>
        </is>
      </c>
      <c r="E18" s="2" t="inlineStr">
        <is>
          <t>10.1590/0104-6632.20160334s20150261</t>
        </is>
      </c>
      <c r="F18" s="2" t="inlineStr">
        <is>
          <t>期刊文章</t>
        </is>
      </c>
      <c r="G18" s="2" t="inlineStr">
        <is>
          <t>1 直接向 AD 反应器或内部循环系统供氧</t>
        </is>
      </c>
      <c r="H18" s="2" t="inlineStr">
        <is>
          <t>是</t>
        </is>
      </c>
      <c r="I18" s="2" t="inlineStr">
        <is>
          <t>研究类</t>
        </is>
      </c>
      <c r="J18" s="2" t="inlineStr">
        <is>
          <t>是</t>
        </is>
      </c>
      <c r="K18" s="2" t="inlineStr">
        <is>
          <t>BRAZILIAN JOURNAL OF CHEMICAL ENGINEERING</t>
        </is>
      </c>
      <c r="L18" s="2" t="inlineStr">
        <is>
          <t>Brazilian Journal of Chemical Engineering</t>
        </is>
      </c>
      <c r="M18" s="2" t="inlineStr"/>
      <c r="N18" s="2" t="inlineStr">
        <is>
          <t>0104-6632</t>
        </is>
      </c>
      <c r="O18" s="2" t="inlineStr">
        <is>
          <t>已取得核验全文</t>
        </is>
      </c>
      <c r="P18" s="2" t="inlineStr">
        <is>
          <t>是</t>
        </is>
      </c>
      <c r="Q18" s="2" t="inlineStr">
        <is>
          <t>当前无补充材料原件；沿用既有缺失/无附件证据，不据此认定无附件</t>
        </is>
      </c>
      <c r="R18" s="2" t="n">
        <v>2024</v>
      </c>
      <c r="S18" s="2" t="inlineStr">
        <is>
          <t>2025发布版（2024指标年）</t>
        </is>
      </c>
      <c r="T18" s="2" t="inlineStr">
        <is>
          <t>ENGINEERING, CHEMICAL</t>
        </is>
      </c>
      <c r="U18" s="2" t="inlineStr">
        <is>
          <t>ENGINEERING, CHEMICAL: Q3</t>
        </is>
      </c>
      <c r="V18" s="2" t="inlineStr">
        <is>
          <t>否</t>
        </is>
      </c>
      <c r="W18" s="2" t="inlineStr">
        <is>
          <t>否</t>
        </is>
      </c>
      <c r="X18" s="2" t="inlineStr">
        <is>
          <t>是</t>
        </is>
      </c>
      <c r="Y18" s="2" t="inlineStr">
        <is>
          <t>https://topj.lib.whu.edu.cn/show.asp?cat=sci&amp;id=5923</t>
        </is>
      </c>
      <c r="Z18" s="2" t="inlineStr">
        <is>
          <t>https://api.crossref.org/works/10.1590/0104-6632.20160334s20150261</t>
        </is>
      </c>
      <c r="AA1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8" s="2" t="inlineStr">
        <is>
          <t>original_files/R02274/fulltext/fulltext__published__4c7da8384f1f6e3d.pdf</t>
        </is>
      </c>
      <c r="AC18" s="2" t="inlineStr"/>
      <c r="AD18" s="2" t="inlineStr">
        <is>
          <t>https://github.com/Colliam-Vermilion/FirstCodex/blob/results/ad-oxygen-literature-20261006/results/ad-oxygen-literature-20261006/original_files/R02274/fulltext/fulltext__published__4c7da8384f1f6e3d.pdf</t>
        </is>
      </c>
    </row>
    <row r="19" ht="48" customHeight="1">
      <c r="A19" s="3" t="inlineStr">
        <is>
          <t>R02454</t>
        </is>
      </c>
      <c r="B19" s="3" t="inlineStr">
        <is>
          <t>Effect of oxygen on the microbial activities of thermophilic anaerobic biomass</t>
        </is>
      </c>
      <c r="C19" s="3" t="inlineStr">
        <is>
          <t>2016</t>
        </is>
      </c>
      <c r="D19" s="3" t="inlineStr">
        <is>
          <t>2016</t>
        </is>
      </c>
      <c r="E19" s="3" t="inlineStr">
        <is>
          <t>10.1016/j.biortech.2016.03.085</t>
        </is>
      </c>
      <c r="F19" s="3" t="inlineStr">
        <is>
          <t>期刊文章</t>
        </is>
      </c>
      <c r="G19" s="3" t="inlineStr">
        <is>
          <t>1 直接向 AD 反应器或内部循环系统供氧</t>
        </is>
      </c>
      <c r="H19" s="3" t="inlineStr">
        <is>
          <t>是</t>
        </is>
      </c>
      <c r="I19" s="3" t="inlineStr">
        <is>
          <t>研究类</t>
        </is>
      </c>
      <c r="J19" s="3" t="inlineStr">
        <is>
          <t>是</t>
        </is>
      </c>
      <c r="K19" s="3" t="inlineStr">
        <is>
          <t>BIORESOURCE TECHNOLOGY</t>
        </is>
      </c>
      <c r="L19" s="3" t="inlineStr">
        <is>
          <t>Bioresource Technology</t>
        </is>
      </c>
      <c r="M19" s="3" t="inlineStr">
        <is>
          <t>0960-8524</t>
        </is>
      </c>
      <c r="N19" s="3" t="inlineStr"/>
      <c r="O19" s="3" t="inlineStr">
        <is>
          <t>已取得核验全文</t>
        </is>
      </c>
      <c r="P19" s="3" t="inlineStr">
        <is>
          <t>是</t>
        </is>
      </c>
      <c r="Q19" s="3" t="inlineStr">
        <is>
          <t>当前无补充材料原件；沿用既有缺失/无附件证据，不据此认定无附件</t>
        </is>
      </c>
      <c r="R19" s="3" t="n">
        <v>2024</v>
      </c>
      <c r="S19" s="3" t="inlineStr">
        <is>
          <t>2025发布版（2024指标年）</t>
        </is>
      </c>
      <c r="T19" s="3" t="inlineStr">
        <is>
          <t>AGRICULTURAL ENGINEERING; BIOTECHNOLOGY &amp; APPLIED MICROBIOLOGY; ENERGY &amp; FUELS</t>
        </is>
      </c>
      <c r="U19" s="3" t="inlineStr">
        <is>
          <t>AGRICULTURAL ENGINEERING: Q1; BIOTECHNOLOGY &amp; APPLIED MICROBIOLOGY: Q1; ENERGY &amp; FUELS: Q1</t>
        </is>
      </c>
      <c r="V19" s="4" t="inlineStr">
        <is>
          <t>是</t>
        </is>
      </c>
      <c r="W19" s="4" t="inlineStr">
        <is>
          <t>是</t>
        </is>
      </c>
      <c r="X19" s="3" t="inlineStr">
        <is>
          <t>是</t>
        </is>
      </c>
      <c r="Y19" s="3" t="inlineStr">
        <is>
          <t>https://topj.lib.whu.edu.cn/show.asp?cat=zk&amp;id=3976</t>
        </is>
      </c>
      <c r="Z19" s="3" t="inlineStr">
        <is>
          <t>https://api.crossref.org/works/10.1016/j.biortech.2016.03.085</t>
        </is>
      </c>
      <c r="AA1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9" s="3" t="inlineStr">
        <is>
          <t>original_files/R02454/fulltext/fulltext__published__59977732e1c6bb84.pdf</t>
        </is>
      </c>
      <c r="AC19" s="3" t="inlineStr"/>
      <c r="AD19" s="3" t="inlineStr">
        <is>
          <t>https://github.com/Colliam-Vermilion/FirstCodex/blob/results/ad-oxygen-literature-20261006/results/ad-oxygen-literature-20261006/original_files/R02454/fulltext/fulltext__published__59977732e1c6bb84.pdf</t>
        </is>
      </c>
    </row>
    <row r="20" ht="48" customHeight="1">
      <c r="A20" s="2" t="inlineStr">
        <is>
          <t>R02585</t>
        </is>
      </c>
      <c r="B20" s="2" t="inlineStr">
        <is>
          <t>In situ Removal of Hydrogen Sulfide During Biogas Fermentation at Microaerobic Condition</t>
        </is>
      </c>
      <c r="C20" s="2" t="inlineStr">
        <is>
          <t>2016</t>
        </is>
      </c>
      <c r="D20" s="2" t="inlineStr">
        <is>
          <t>2016</t>
        </is>
      </c>
      <c r="E20" s="2" t="inlineStr">
        <is>
          <t>10.1007/s12010-016-2135-3</t>
        </is>
      </c>
      <c r="F20" s="2" t="inlineStr">
        <is>
          <t>期刊文章</t>
        </is>
      </c>
      <c r="G20" s="2" t="inlineStr">
        <is>
          <t>1 直接向 AD 反应器或内部循环系统供氧</t>
        </is>
      </c>
      <c r="H20" s="2" t="inlineStr">
        <is>
          <t>是</t>
        </is>
      </c>
      <c r="I20" s="2" t="inlineStr">
        <is>
          <t>研究类</t>
        </is>
      </c>
      <c r="J20" s="2" t="inlineStr">
        <is>
          <t>是</t>
        </is>
      </c>
      <c r="K20" s="2" t="inlineStr">
        <is>
          <t>APPLIED BIOCHEMISTRY AND BIOTECHNOLOGY</t>
        </is>
      </c>
      <c r="L20" s="2" t="inlineStr">
        <is>
          <t>Applied Biochemistry and Biotechnology</t>
        </is>
      </c>
      <c r="M20" s="2" t="inlineStr">
        <is>
          <t>0273-2289</t>
        </is>
      </c>
      <c r="N20" s="2" t="inlineStr">
        <is>
          <t>1559-0291</t>
        </is>
      </c>
      <c r="O20" s="2" t="inlineStr">
        <is>
          <t>已取得核验全文</t>
        </is>
      </c>
      <c r="P20" s="2" t="inlineStr">
        <is>
          <t>是</t>
        </is>
      </c>
      <c r="Q20" s="2" t="inlineStr">
        <is>
          <t>当前无补充材料原件；沿用既有缺失/无附件证据，不据此认定无附件</t>
        </is>
      </c>
      <c r="R20" s="2" t="n">
        <v>2024</v>
      </c>
      <c r="S20" s="2" t="inlineStr">
        <is>
          <t>2025发布版（2024指标年）</t>
        </is>
      </c>
      <c r="T20" s="2" t="inlineStr">
        <is>
          <t>BIOCHEMISTRY &amp; MOLECULAR BIOLOGY; BIOTECHNOLOGY &amp; APPLIED MICROBIOLOGY</t>
        </is>
      </c>
      <c r="U20" s="2" t="inlineStr">
        <is>
          <t>BIOCHEMISTRY &amp; MOLECULAR BIOLOGY: Q2; BIOTECHNOLOGY &amp; APPLIED MICROBIOLOGY: Q2</t>
        </is>
      </c>
      <c r="V20" s="2" t="inlineStr">
        <is>
          <t>否</t>
        </is>
      </c>
      <c r="W20" s="2" t="inlineStr">
        <is>
          <t>否</t>
        </is>
      </c>
      <c r="X20" s="2" t="inlineStr">
        <is>
          <t>是</t>
        </is>
      </c>
      <c r="Y20" s="2" t="inlineStr">
        <is>
          <t>https://topj.lib.whu.edu.cn/show.asp?cat=sci&amp;id=2805</t>
        </is>
      </c>
      <c r="Z20" s="2" t="inlineStr">
        <is>
          <t>https://api.crossref.org/works/10.1007/s12010-016-2135-3</t>
        </is>
      </c>
      <c r="AA2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0" s="2" t="inlineStr">
        <is>
          <t>original_files/R02585/fulltext/fulltext__published__ece7fec3277a694d.pdf</t>
        </is>
      </c>
      <c r="AC20" s="2" t="inlineStr"/>
      <c r="AD20" s="2" t="inlineStr">
        <is>
          <t>https://github.com/Colliam-Vermilion/FirstCodex/blob/results/ad-oxygen-literature-20261006/results/ad-oxygen-literature-20261006/original_files/R02585/fulltext/fulltext__published__ece7fec3277a694d.pdf</t>
        </is>
      </c>
    </row>
    <row r="21" ht="48" customHeight="1">
      <c r="A21" s="3" t="inlineStr">
        <is>
          <t>R02819</t>
        </is>
      </c>
      <c r="B21" s="3" t="inlineStr">
        <is>
          <t>Technical, Economical, and Microbiological Aspects of the Microaerobic Process on H2S Removal for Low Sulfate Concentration Wastewaters</t>
        </is>
      </c>
      <c r="C21" s="3" t="inlineStr">
        <is>
          <t>2016</t>
        </is>
      </c>
      <c r="D21" s="3" t="inlineStr">
        <is>
          <t>2016</t>
        </is>
      </c>
      <c r="E21" s="3" t="inlineStr">
        <is>
          <t>10.1007/s12010-016-2174-9</t>
        </is>
      </c>
      <c r="F21" s="3" t="inlineStr">
        <is>
          <t>期刊文章</t>
        </is>
      </c>
      <c r="G21" s="3" t="inlineStr">
        <is>
          <t>1 直接向 AD 反应器或内部循环系统供氧</t>
        </is>
      </c>
      <c r="H21" s="3" t="inlineStr">
        <is>
          <t>是</t>
        </is>
      </c>
      <c r="I21" s="3" t="inlineStr">
        <is>
          <t>研究类</t>
        </is>
      </c>
      <c r="J21" s="3" t="inlineStr">
        <is>
          <t>是</t>
        </is>
      </c>
      <c r="K21" s="3" t="inlineStr">
        <is>
          <t>APPLIED BIOCHEMISTRY AND BIOTECHNOLOGY</t>
        </is>
      </c>
      <c r="L21" s="3" t="inlineStr">
        <is>
          <t>Applied Biochemistry and Biotechnology</t>
        </is>
      </c>
      <c r="M21" s="3" t="inlineStr">
        <is>
          <t>0273-2289</t>
        </is>
      </c>
      <c r="N21" s="3" t="inlineStr">
        <is>
          <t>1559-0291</t>
        </is>
      </c>
      <c r="O21" s="3" t="inlineStr">
        <is>
          <t>已取得核验全文</t>
        </is>
      </c>
      <c r="P21" s="3" t="inlineStr">
        <is>
          <t>是</t>
        </is>
      </c>
      <c r="Q21" s="3" t="inlineStr">
        <is>
          <t>当前无补充材料原件；沿用既有缺失/无附件证据，不据此认定无附件</t>
        </is>
      </c>
      <c r="R21" s="3" t="n">
        <v>2024</v>
      </c>
      <c r="S21" s="3" t="inlineStr">
        <is>
          <t>2025发布版（2024指标年）</t>
        </is>
      </c>
      <c r="T21" s="3" t="inlineStr">
        <is>
          <t>BIOCHEMISTRY &amp; MOLECULAR BIOLOGY; BIOTECHNOLOGY &amp; APPLIED MICROBIOLOGY</t>
        </is>
      </c>
      <c r="U21" s="3" t="inlineStr">
        <is>
          <t>BIOCHEMISTRY &amp; MOLECULAR BIOLOGY: Q2; BIOTECHNOLOGY &amp; APPLIED MICROBIOLOGY: Q2</t>
        </is>
      </c>
      <c r="V21" s="3" t="inlineStr">
        <is>
          <t>否</t>
        </is>
      </c>
      <c r="W21" s="3" t="inlineStr">
        <is>
          <t>否</t>
        </is>
      </c>
      <c r="X21" s="3" t="inlineStr">
        <is>
          <t>是</t>
        </is>
      </c>
      <c r="Y21" s="3" t="inlineStr">
        <is>
          <t>https://topj.lib.whu.edu.cn/show.asp?cat=sci&amp;id=2805</t>
        </is>
      </c>
      <c r="Z21" s="3" t="inlineStr">
        <is>
          <t>https://api.crossref.org/works/10.1007/s12010-016-2174-9</t>
        </is>
      </c>
      <c r="AA2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1" s="3" t="inlineStr">
        <is>
          <t>original_files/R02819/fulltext/fulltext__published__bf9c210e52bacc5f.pdf</t>
        </is>
      </c>
      <c r="AC21" s="3" t="inlineStr"/>
      <c r="AD21" s="3" t="inlineStr">
        <is>
          <t>https://github.com/Colliam-Vermilion/FirstCodex/blob/results/ad-oxygen-literature-20261006/results/ad-oxygen-literature-20261006/original_files/R02819/fulltext/fulltext__published__bf9c210e52bacc5f.pdf</t>
        </is>
      </c>
    </row>
    <row r="22" ht="48" customHeight="1">
      <c r="A22" s="2" t="inlineStr">
        <is>
          <t>R03161</t>
        </is>
      </c>
      <c r="B22" s="2" t="inlineStr">
        <is>
          <t>Effect of liquid surface area on hydrogen sulfide oxidation during micro-aeration in dairy manure digesters</t>
        </is>
      </c>
      <c r="C22" s="2" t="inlineStr">
        <is>
          <t>2017</t>
        </is>
      </c>
      <c r="D22" s="2" t="inlineStr">
        <is>
          <t>2017</t>
        </is>
      </c>
      <c r="E22" s="2" t="inlineStr">
        <is>
          <t>10.1371/journal.pone.0185738</t>
        </is>
      </c>
      <c r="F22" s="2" t="inlineStr">
        <is>
          <t>期刊文章</t>
        </is>
      </c>
      <c r="G22" s="2" t="inlineStr">
        <is>
          <t>1 直接向 AD 反应器或内部循环系统供氧</t>
        </is>
      </c>
      <c r="H22" s="2" t="inlineStr">
        <is>
          <t>是</t>
        </is>
      </c>
      <c r="I22" s="2" t="inlineStr">
        <is>
          <t>研究类</t>
        </is>
      </c>
      <c r="J22" s="2" t="inlineStr">
        <is>
          <t>是</t>
        </is>
      </c>
      <c r="K22" s="2" t="inlineStr">
        <is>
          <t>PLOS ONE</t>
        </is>
      </c>
      <c r="L22" s="2" t="inlineStr">
        <is>
          <t>PLOS ONE</t>
        </is>
      </c>
      <c r="M22" s="2" t="inlineStr"/>
      <c r="N22" s="2" t="inlineStr">
        <is>
          <t>1932-6203</t>
        </is>
      </c>
      <c r="O22" s="2" t="inlineStr">
        <is>
          <t>已取得核验全文</t>
        </is>
      </c>
      <c r="P22" s="2" t="inlineStr">
        <is>
          <t>是</t>
        </is>
      </c>
      <c r="Q22" s="2" t="inlineStr">
        <is>
          <t>已取得1件原格式补充材料；其中0件唯一关联待核实；完整性未确认</t>
        </is>
      </c>
      <c r="R22" s="2" t="n">
        <v>2024</v>
      </c>
      <c r="S22" s="2" t="inlineStr">
        <is>
          <t>2025发布版（2024指标年）</t>
        </is>
      </c>
      <c r="T22" s="2" t="inlineStr"/>
      <c r="U22" s="2" t="inlineStr"/>
      <c r="V22" s="2" t="inlineStr">
        <is>
          <t>待核实</t>
        </is>
      </c>
      <c r="W22" s="2" t="inlineStr">
        <is>
          <t>待核实</t>
        </is>
      </c>
      <c r="X22" s="2" t="inlineStr">
        <is>
          <t>否</t>
        </is>
      </c>
      <c r="Y22" s="2" t="inlineStr"/>
      <c r="Z22" s="2" t="inlineStr">
        <is>
          <t>https://api.crossref.org/works/10.1371/journal.pone.0185738</t>
        </is>
      </c>
      <c r="AA22" s="2" t="inlineStr">
        <is>
          <t>2024指标年JCR分区未核实；空白不能当非Q1。需要2025发布版/2024指标年的JCR全部学科导出。</t>
        </is>
      </c>
      <c r="AB22" s="2" t="inlineStr">
        <is>
          <t>original_files/R03161/fulltext/fulltext__published__ea90043284b5a305.pdf</t>
        </is>
      </c>
      <c r="AC22" s="2" t="inlineStr">
        <is>
          <t>original_files/R03161/supplementary/supplementary__d7cc276f64fa4c14.xlsx</t>
        </is>
      </c>
      <c r="AD22" s="2" t="inlineStr">
        <is>
          <t>https://github.com/Colliam-Vermilion/FirstCodex/blob/results/ad-oxygen-literature-20261006/results/ad-oxygen-literature-20261006/original_files/R03161/fulltext/fulltext__published__ea90043284b5a305.pdf</t>
        </is>
      </c>
    </row>
    <row r="23" ht="48" customHeight="1">
      <c r="A23" s="3" t="inlineStr">
        <is>
          <t>R03164</t>
        </is>
      </c>
      <c r="B23" s="3" t="inlineStr">
        <is>
          <t>Effect of micro-aeration and inoculum type on the biodegradation of lignocellulosic substrate</t>
        </is>
      </c>
      <c r="C23" s="3" t="inlineStr">
        <is>
          <t>2017</t>
        </is>
      </c>
      <c r="D23" s="3" t="inlineStr">
        <is>
          <t>2017</t>
        </is>
      </c>
      <c r="E23" s="3" t="inlineStr">
        <is>
          <t>10.1016/j.biortech.2016.11.081</t>
        </is>
      </c>
      <c r="F23" s="3" t="inlineStr">
        <is>
          <t>期刊文章</t>
        </is>
      </c>
      <c r="G23" s="3" t="inlineStr">
        <is>
          <t>1 直接向 AD 反应器或内部循环系统供氧</t>
        </is>
      </c>
      <c r="H23" s="3" t="inlineStr">
        <is>
          <t>是</t>
        </is>
      </c>
      <c r="I23" s="3" t="inlineStr">
        <is>
          <t>研究类</t>
        </is>
      </c>
      <c r="J23" s="3" t="inlineStr">
        <is>
          <t>是</t>
        </is>
      </c>
      <c r="K23" s="3" t="inlineStr">
        <is>
          <t>BIORESOURCE TECHNOLOGY</t>
        </is>
      </c>
      <c r="L23" s="3" t="inlineStr">
        <is>
          <t>Bioresource Technology</t>
        </is>
      </c>
      <c r="M23" s="3" t="inlineStr">
        <is>
          <t>0960-8524</t>
        </is>
      </c>
      <c r="N23" s="3" t="inlineStr"/>
      <c r="O23" s="3" t="inlineStr">
        <is>
          <t>已取得核验全文</t>
        </is>
      </c>
      <c r="P23" s="3" t="inlineStr">
        <is>
          <t>是</t>
        </is>
      </c>
      <c r="Q23" s="3" t="inlineStr">
        <is>
          <t>当前无补充材料原件；沿用既有缺失/无附件证据，不据此认定无附件</t>
        </is>
      </c>
      <c r="R23" s="3" t="n">
        <v>2024</v>
      </c>
      <c r="S23" s="3" t="inlineStr">
        <is>
          <t>2025发布版（2024指标年）</t>
        </is>
      </c>
      <c r="T23" s="3" t="inlineStr">
        <is>
          <t>AGRICULTURAL ENGINEERING; BIOTECHNOLOGY &amp; APPLIED MICROBIOLOGY; ENERGY &amp; FUELS</t>
        </is>
      </c>
      <c r="U23" s="3" t="inlineStr">
        <is>
          <t>AGRICULTURAL ENGINEERING: Q1; BIOTECHNOLOGY &amp; APPLIED MICROBIOLOGY: Q1; ENERGY &amp; FUELS: Q1</t>
        </is>
      </c>
      <c r="V23" s="4" t="inlineStr">
        <is>
          <t>是</t>
        </is>
      </c>
      <c r="W23" s="4" t="inlineStr">
        <is>
          <t>是</t>
        </is>
      </c>
      <c r="X23" s="3" t="inlineStr">
        <is>
          <t>是</t>
        </is>
      </c>
      <c r="Y23" s="3" t="inlineStr">
        <is>
          <t>https://topj.lib.whu.edu.cn/show.asp?cat=zk&amp;id=3976</t>
        </is>
      </c>
      <c r="Z23" s="3" t="inlineStr">
        <is>
          <t>https://api.crossref.org/works/10.1016/j.biortech.2016.11.081</t>
        </is>
      </c>
      <c r="AA2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3" s="3" t="inlineStr">
        <is>
          <t>original_files/R03164/fulltext/fulltext__published__948ccf2541317dc8.pdf</t>
        </is>
      </c>
      <c r="AC23" s="3" t="inlineStr"/>
      <c r="AD23" s="3" t="inlineStr">
        <is>
          <t>https://github.com/Colliam-Vermilion/FirstCodex/blob/results/ad-oxygen-literature-20261006/results/ad-oxygen-literature-20261006/original_files/R03164/fulltext/fulltext__published__948ccf2541317dc8.pdf</t>
        </is>
      </c>
    </row>
    <row r="24" ht="48" customHeight="1">
      <c r="A24" s="2" t="inlineStr">
        <is>
          <t>R03455</t>
        </is>
      </c>
      <c r="B24" s="2" t="inlineStr">
        <is>
          <t>Performance evaluation of combining microaerobic desulfurization with addition of rusty scrap iron (RSI) during waste-activated sludge digestion</t>
        </is>
      </c>
      <c r="C24" s="2" t="inlineStr">
        <is>
          <t>2017</t>
        </is>
      </c>
      <c r="D24" s="2" t="inlineStr">
        <is>
          <t>2017</t>
        </is>
      </c>
      <c r="E24" s="2" t="inlineStr">
        <is>
          <t>10.5004/dwt.2017.20976</t>
        </is>
      </c>
      <c r="F24" s="2" t="inlineStr">
        <is>
          <t>期刊文章</t>
        </is>
      </c>
      <c r="G24" s="2" t="inlineStr">
        <is>
          <t>1 直接向 AD 反应器或内部循环系统供氧</t>
        </is>
      </c>
      <c r="H24" s="2" t="inlineStr">
        <is>
          <t>是</t>
        </is>
      </c>
      <c r="I24" s="2" t="inlineStr">
        <is>
          <t>研究类</t>
        </is>
      </c>
      <c r="J24" s="2" t="inlineStr">
        <is>
          <t>是</t>
        </is>
      </c>
      <c r="K24" s="2" t="inlineStr">
        <is>
          <t>Desalination and Water Treatment</t>
        </is>
      </c>
      <c r="L24" s="2" t="inlineStr">
        <is>
          <t>Desalination and Water Treatment</t>
        </is>
      </c>
      <c r="M24" s="2" t="inlineStr">
        <is>
          <t>1944-3986</t>
        </is>
      </c>
      <c r="N24" s="2" t="inlineStr"/>
      <c r="O24" s="2" t="inlineStr">
        <is>
          <t>已取得核验全文</t>
        </is>
      </c>
      <c r="P24" s="2" t="inlineStr">
        <is>
          <t>是</t>
        </is>
      </c>
      <c r="Q24" s="2" t="inlineStr">
        <is>
          <t>当前无补充材料原件；沿用既有缺失/无附件证据，不据此认定无附件</t>
        </is>
      </c>
      <c r="R24" s="2" t="n">
        <v>2024</v>
      </c>
      <c r="S24" s="2" t="inlineStr">
        <is>
          <t>2025发布版（2024指标年）</t>
        </is>
      </c>
      <c r="T24" s="2" t="inlineStr">
        <is>
          <t>WATER RESOURCES; ENGINEERING, CHEMICAL</t>
        </is>
      </c>
      <c r="U24" s="2" t="inlineStr">
        <is>
          <t>WATER RESOURCES: Q4; ENGINEERING, CHEMICAL: Q4</t>
        </is>
      </c>
      <c r="V24" s="2" t="inlineStr">
        <is>
          <t>否</t>
        </is>
      </c>
      <c r="W24" s="2" t="inlineStr">
        <is>
          <t>否</t>
        </is>
      </c>
      <c r="X24" s="2" t="inlineStr">
        <is>
          <t>是</t>
        </is>
      </c>
      <c r="Y24" s="2" t="inlineStr">
        <is>
          <t>https://topj.lib.whu.edu.cn/show.asp?cat=sci&amp;id=5937</t>
        </is>
      </c>
      <c r="Z24" s="2" t="inlineStr">
        <is>
          <t>https://api.crossref.org/works/10.5004/dwt.2017.20976</t>
        </is>
      </c>
      <c r="AA2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4" s="2" t="inlineStr">
        <is>
          <t>original_files/R03455/fulltext/fulltext__published__64a8528ddfd93bdf.pdf</t>
        </is>
      </c>
      <c r="AC24" s="2" t="inlineStr"/>
      <c r="AD24" s="2" t="inlineStr">
        <is>
          <t>https://github.com/Colliam-Vermilion/FirstCodex/blob/results/ad-oxygen-literature-20261006/results/ad-oxygen-literature-20261006/original_files/R03455/fulltext/fulltext__published__64a8528ddfd93bdf.pdf</t>
        </is>
      </c>
    </row>
    <row r="25" ht="48" customHeight="1">
      <c r="A25" s="3" t="inlineStr">
        <is>
          <t>R03522</t>
        </is>
      </c>
      <c r="B25" s="3" t="inlineStr">
        <is>
          <t>Simple biogas desulfurization by microaeration – Full scale experience</t>
        </is>
      </c>
      <c r="C25" s="3" t="inlineStr">
        <is>
          <t>2017</t>
        </is>
      </c>
      <c r="D25" s="3" t="inlineStr">
        <is>
          <t>2017</t>
        </is>
      </c>
      <c r="E25" s="3" t="inlineStr">
        <is>
          <t>10.1016/j.anaerobe.2017.01.002</t>
        </is>
      </c>
      <c r="F25" s="3" t="inlineStr">
        <is>
          <t>期刊文章</t>
        </is>
      </c>
      <c r="G25" s="3" t="inlineStr">
        <is>
          <t>1 直接向 AD 反应器或内部循环系统供氧</t>
        </is>
      </c>
      <c r="H25" s="3" t="inlineStr">
        <is>
          <t>是</t>
        </is>
      </c>
      <c r="I25" s="3" t="inlineStr">
        <is>
          <t>研究类</t>
        </is>
      </c>
      <c r="J25" s="3" t="inlineStr">
        <is>
          <t>是</t>
        </is>
      </c>
      <c r="K25" s="3" t="inlineStr">
        <is>
          <t>Anaerobe</t>
        </is>
      </c>
      <c r="L25" s="3" t="inlineStr">
        <is>
          <t>Anaerobe</t>
        </is>
      </c>
      <c r="M25" s="3" t="inlineStr">
        <is>
          <t>1075-9964</t>
        </is>
      </c>
      <c r="N25" s="3" t="inlineStr"/>
      <c r="O25" s="3" t="inlineStr">
        <is>
          <t>已取得核验全文</t>
        </is>
      </c>
      <c r="P25" s="3" t="inlineStr">
        <is>
          <t>是</t>
        </is>
      </c>
      <c r="Q25" s="3" t="inlineStr">
        <is>
          <t>当前无补充材料原件；沿用既有缺失/无附件证据，不据此认定无附件</t>
        </is>
      </c>
      <c r="R25" s="3" t="n">
        <v>2024</v>
      </c>
      <c r="S25" s="3" t="inlineStr">
        <is>
          <t>2025发布版（2024指标年）</t>
        </is>
      </c>
      <c r="T25" s="3" t="inlineStr"/>
      <c r="U25" s="3" t="inlineStr"/>
      <c r="V25" s="3" t="inlineStr">
        <is>
          <t>待核实</t>
        </is>
      </c>
      <c r="W25" s="3" t="inlineStr">
        <is>
          <t>待核实</t>
        </is>
      </c>
      <c r="X25" s="3" t="inlineStr">
        <is>
          <t>否</t>
        </is>
      </c>
      <c r="Y25" s="3" t="inlineStr"/>
      <c r="Z25" s="3" t="inlineStr">
        <is>
          <t>https://api.crossref.org/works/10.1016/j.anaerobe.2017.01.002</t>
        </is>
      </c>
      <c r="AA25" s="3" t="inlineStr">
        <is>
          <t>2024指标年JCR分区未核实；空白不能当非Q1。需要2025发布版/2024指标年的JCR全部学科导出。</t>
        </is>
      </c>
      <c r="AB25" s="3" t="inlineStr">
        <is>
          <t>original_files/R03522/fulltext/fulltext__published__73e8e5aed501f6e5.pdf</t>
        </is>
      </c>
      <c r="AC25" s="3" t="inlineStr"/>
      <c r="AD25" s="3" t="inlineStr">
        <is>
          <t>https://github.com/Colliam-Vermilion/FirstCodex/blob/results/ad-oxygen-literature-20261006/results/ad-oxygen-literature-20261006/original_files/R03522/fulltext/fulltext__published__73e8e5aed501f6e5.pdf</t>
        </is>
      </c>
    </row>
    <row r="26" ht="48" customHeight="1">
      <c r="A26" s="2" t="inlineStr">
        <is>
          <t>R03564</t>
        </is>
      </c>
      <c r="B26" s="2" t="inlineStr">
        <is>
          <t>The Influence of Micro-Oxygen Addition on Desulfurization Performance and Microbial Communities during Waste-Activated Sludge Digestion in a Rusty Scrap Iron-Loaded Anaerobic Digester</t>
        </is>
      </c>
      <c r="C26" s="2" t="inlineStr">
        <is>
          <t>2017</t>
        </is>
      </c>
      <c r="D26" s="2" t="inlineStr">
        <is>
          <t>2017</t>
        </is>
      </c>
      <c r="E26" s="2" t="inlineStr">
        <is>
          <t>10.3390/en10020258</t>
        </is>
      </c>
      <c r="F26" s="2" t="inlineStr">
        <is>
          <t>期刊文章</t>
        </is>
      </c>
      <c r="G26" s="2" t="inlineStr">
        <is>
          <t>1 直接向 AD 反应器或内部循环系统供氧</t>
        </is>
      </c>
      <c r="H26" s="2" t="inlineStr">
        <is>
          <t>是</t>
        </is>
      </c>
      <c r="I26" s="2" t="inlineStr">
        <is>
          <t>研究类</t>
        </is>
      </c>
      <c r="J26" s="2" t="inlineStr">
        <is>
          <t>是</t>
        </is>
      </c>
      <c r="K26" s="2" t="inlineStr">
        <is>
          <t>Energies</t>
        </is>
      </c>
      <c r="L26" s="2" t="inlineStr">
        <is>
          <t>Energies</t>
        </is>
      </c>
      <c r="M26" s="2" t="inlineStr"/>
      <c r="N26" s="2" t="inlineStr">
        <is>
          <t>1996-1073</t>
        </is>
      </c>
      <c r="O26" s="2" t="inlineStr">
        <is>
          <t>已取得核验全文</t>
        </is>
      </c>
      <c r="P26" s="2" t="inlineStr">
        <is>
          <t>是</t>
        </is>
      </c>
      <c r="Q26" s="2" t="inlineStr">
        <is>
          <t>当前无补充材料原件；沿用既有缺失/无附件证据，不据此认定无附件</t>
        </is>
      </c>
      <c r="R26" s="2" t="n">
        <v>2024</v>
      </c>
      <c r="S26" s="2" t="inlineStr">
        <is>
          <t>2025发布版（2024指标年）</t>
        </is>
      </c>
      <c r="T26" s="2" t="inlineStr"/>
      <c r="U26" s="2" t="inlineStr"/>
      <c r="V26" s="2" t="inlineStr">
        <is>
          <t>待核实</t>
        </is>
      </c>
      <c r="W26" s="2" t="inlineStr">
        <is>
          <t>待核实</t>
        </is>
      </c>
      <c r="X26" s="2" t="inlineStr">
        <is>
          <t>否</t>
        </is>
      </c>
      <c r="Y26" s="2" t="inlineStr"/>
      <c r="Z26" s="2" t="inlineStr">
        <is>
          <t>https://api.crossref.org/works/10.3390/en10020258</t>
        </is>
      </c>
      <c r="AA26" s="2" t="inlineStr">
        <is>
          <t>2024指标年JCR分区未核实；空白不能当非Q1。需要2025发布版/2024指标年的JCR全部学科导出。</t>
        </is>
      </c>
      <c r="AB26" s="2" t="inlineStr">
        <is>
          <t>original_files/R03564/fulltext/fulltext__published__2f2d17a0a7254275.pdf</t>
        </is>
      </c>
      <c r="AC26" s="2" t="inlineStr"/>
      <c r="AD26" s="2" t="inlineStr">
        <is>
          <t>https://github.com/Colliam-Vermilion/FirstCodex/blob/results/ad-oxygen-literature-20261006/results/ad-oxygen-literature-20261006/original_files/R03564/fulltext/fulltext__published__2f2d17a0a7254275.pdf</t>
        </is>
      </c>
    </row>
    <row r="27" ht="48" customHeight="1">
      <c r="A27" s="3" t="inlineStr">
        <is>
          <t>R03900</t>
        </is>
      </c>
      <c r="B27" s="3" t="inlineStr">
        <is>
          <t>Efficiency, granulation, and bacterial populations related to pollutant removal in an upflow microaerobic sludge reactor treating wastewater with low COD/TN ratio</t>
        </is>
      </c>
      <c r="C27" s="3" t="inlineStr">
        <is>
          <t>2018</t>
        </is>
      </c>
      <c r="D27" s="3" t="inlineStr">
        <is>
          <t>2018</t>
        </is>
      </c>
      <c r="E27" s="3" t="inlineStr">
        <is>
          <t>10.1016/j.biortech.2018.08.016</t>
        </is>
      </c>
      <c r="F27" s="3" t="inlineStr">
        <is>
          <t>期刊文章</t>
        </is>
      </c>
      <c r="G27" s="3" t="inlineStr">
        <is>
          <t>1 直接向 AD 反应器或内部循环系统供氧</t>
        </is>
      </c>
      <c r="H27" s="3" t="inlineStr">
        <is>
          <t>是</t>
        </is>
      </c>
      <c r="I27" s="3" t="inlineStr">
        <is>
          <t>研究类</t>
        </is>
      </c>
      <c r="J27" s="3" t="inlineStr">
        <is>
          <t>是</t>
        </is>
      </c>
      <c r="K27" s="3" t="inlineStr">
        <is>
          <t>BIORESOURCE TECHNOLOGY</t>
        </is>
      </c>
      <c r="L27" s="3" t="inlineStr">
        <is>
          <t>Bioresource Technology</t>
        </is>
      </c>
      <c r="M27" s="3" t="inlineStr">
        <is>
          <t>0960-8524</t>
        </is>
      </c>
      <c r="N27" s="3" t="inlineStr"/>
      <c r="O27" s="3" t="inlineStr">
        <is>
          <t>已取得核验全文</t>
        </is>
      </c>
      <c r="P27" s="3" t="inlineStr">
        <is>
          <t>是</t>
        </is>
      </c>
      <c r="Q27" s="3" t="inlineStr">
        <is>
          <t>当前无补充材料原件；沿用既有缺失/无附件证据，不据此认定无附件</t>
        </is>
      </c>
      <c r="R27" s="3" t="n">
        <v>2024</v>
      </c>
      <c r="S27" s="3" t="inlineStr">
        <is>
          <t>2025发布版（2024指标年）</t>
        </is>
      </c>
      <c r="T27" s="3" t="inlineStr">
        <is>
          <t>AGRICULTURAL ENGINEERING; BIOTECHNOLOGY &amp; APPLIED MICROBIOLOGY; ENERGY &amp; FUELS</t>
        </is>
      </c>
      <c r="U27" s="3" t="inlineStr">
        <is>
          <t>AGRICULTURAL ENGINEERING: Q1; BIOTECHNOLOGY &amp; APPLIED MICROBIOLOGY: Q1; ENERGY &amp; FUELS: Q1</t>
        </is>
      </c>
      <c r="V27" s="4" t="inlineStr">
        <is>
          <t>是</t>
        </is>
      </c>
      <c r="W27" s="4" t="inlineStr">
        <is>
          <t>是</t>
        </is>
      </c>
      <c r="X27" s="3" t="inlineStr">
        <is>
          <t>是</t>
        </is>
      </c>
      <c r="Y27" s="3" t="inlineStr">
        <is>
          <t>https://topj.lib.whu.edu.cn/show.asp?cat=zk&amp;id=3976</t>
        </is>
      </c>
      <c r="Z27" s="3" t="inlineStr">
        <is>
          <t>https://api.crossref.org/works/10.1016/j.biortech.2018.08.016</t>
        </is>
      </c>
      <c r="AA2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7" s="3" t="inlineStr">
        <is>
          <t>original_files/R03900/fulltext/fulltext__published__254540c6f1846351.pdf</t>
        </is>
      </c>
      <c r="AC27" s="3" t="inlineStr"/>
      <c r="AD27" s="3" t="inlineStr">
        <is>
          <t>https://github.com/Colliam-Vermilion/FirstCodex/blob/results/ad-oxygen-literature-20261006/results/ad-oxygen-literature-20261006/original_files/R03900/fulltext/fulltext__published__254540c6f1846351.pdf</t>
        </is>
      </c>
    </row>
    <row r="28" ht="48" customHeight="1">
      <c r="A28" s="2" t="inlineStr">
        <is>
          <t>R04092</t>
        </is>
      </c>
      <c r="B28" s="2" t="inlineStr">
        <is>
          <t>Mathematical modelling of in-situ microaerobic desulfurization of biogas from sewage sludge digestion</t>
        </is>
      </c>
      <c r="C28" s="2" t="inlineStr">
        <is>
          <t>2018</t>
        </is>
      </c>
      <c r="D28" s="2" t="inlineStr">
        <is>
          <t>2018</t>
        </is>
      </c>
      <c r="E28" s="2" t="inlineStr">
        <is>
          <t>10.1016/j.btre.2018.e00293</t>
        </is>
      </c>
      <c r="F28" s="2" t="inlineStr">
        <is>
          <t>期刊文章</t>
        </is>
      </c>
      <c r="G28" s="2" t="inlineStr">
        <is>
          <t>1 直接向 AD 反应器或内部循环系统供氧</t>
        </is>
      </c>
      <c r="H28" s="2" t="inlineStr">
        <is>
          <t>是</t>
        </is>
      </c>
      <c r="I28" s="2" t="inlineStr">
        <is>
          <t>研究类</t>
        </is>
      </c>
      <c r="J28" s="2" t="inlineStr">
        <is>
          <t>是</t>
        </is>
      </c>
      <c r="K28" s="2" t="inlineStr">
        <is>
          <t>Biotechnology Reports</t>
        </is>
      </c>
      <c r="L28" s="2" t="inlineStr">
        <is>
          <t>Biotechnology Reports</t>
        </is>
      </c>
      <c r="M28" s="2" t="inlineStr">
        <is>
          <t>2215-017X</t>
        </is>
      </c>
      <c r="N28" s="2" t="inlineStr"/>
      <c r="O28" s="2" t="inlineStr">
        <is>
          <t>已取得核验全文</t>
        </is>
      </c>
      <c r="P28" s="2" t="inlineStr">
        <is>
          <t>是</t>
        </is>
      </c>
      <c r="Q28" s="2" t="inlineStr">
        <is>
          <t>当前无补充材料原件；沿用既有缺失/无附件证据，不据此认定无附件</t>
        </is>
      </c>
      <c r="R28" s="2" t="n">
        <v>2024</v>
      </c>
      <c r="S28" s="2" t="inlineStr">
        <is>
          <t>2025发布版（2024指标年）</t>
        </is>
      </c>
      <c r="T28" s="2" t="inlineStr"/>
      <c r="U28" s="2" t="inlineStr"/>
      <c r="V28" s="2" t="inlineStr">
        <is>
          <t>待核实</t>
        </is>
      </c>
      <c r="W28" s="2" t="inlineStr">
        <is>
          <t>待核实</t>
        </is>
      </c>
      <c r="X28" s="2" t="inlineStr">
        <is>
          <t>否</t>
        </is>
      </c>
      <c r="Y28" s="2" t="inlineStr"/>
      <c r="Z28" s="2" t="inlineStr">
        <is>
          <t>https://api.crossref.org/works/10.1016/j.btre.2018.e00293</t>
        </is>
      </c>
      <c r="AA28" s="2" t="inlineStr">
        <is>
          <t>2024指标年JCR分区未核实；空白不能当非Q1。需要2025发布版/2024指标年的JCR全部学科导出。</t>
        </is>
      </c>
      <c r="AB28" s="2" t="inlineStr">
        <is>
          <t>original_files/R04092/fulltext/fulltext__published__187b868956ed3e07.pdf</t>
        </is>
      </c>
      <c r="AC28" s="2" t="inlineStr"/>
      <c r="AD28" s="2" t="inlineStr">
        <is>
          <t>https://github.com/Colliam-Vermilion/FirstCodex/blob/results/ad-oxygen-literature-20261006/results/ad-oxygen-literature-20261006/original_files/R04092/fulltext/fulltext__published__187b868956ed3e07.pdf</t>
        </is>
      </c>
    </row>
    <row r="29" ht="48" customHeight="1">
      <c r="A29" s="3" t="inlineStr">
        <is>
          <t>R04177</t>
        </is>
      </c>
      <c r="B29" s="3" t="inlineStr">
        <is>
          <t>Operating characteristics of baffled reactor under microaerobic conditions</t>
        </is>
      </c>
      <c r="C29" s="3" t="inlineStr">
        <is>
          <t>2018</t>
        </is>
      </c>
      <c r="D29" s="3" t="inlineStr">
        <is>
          <t>2018</t>
        </is>
      </c>
      <c r="E29" s="3" t="inlineStr">
        <is>
          <t>10.5004/dwt.2018.22410</t>
        </is>
      </c>
      <c r="F29" s="3" t="inlineStr">
        <is>
          <t>期刊文章</t>
        </is>
      </c>
      <c r="G29" s="3" t="inlineStr">
        <is>
          <t>1 直接向 AD 反应器或内部循环系统供氧</t>
        </is>
      </c>
      <c r="H29" s="3" t="inlineStr">
        <is>
          <t>是</t>
        </is>
      </c>
      <c r="I29" s="3" t="inlineStr">
        <is>
          <t>研究类</t>
        </is>
      </c>
      <c r="J29" s="3" t="inlineStr">
        <is>
          <t>是</t>
        </is>
      </c>
      <c r="K29" s="3" t="inlineStr">
        <is>
          <t>Desalination and Water Treatment</t>
        </is>
      </c>
      <c r="L29" s="3" t="inlineStr">
        <is>
          <t>Desalination and Water Treatment</t>
        </is>
      </c>
      <c r="M29" s="3" t="inlineStr">
        <is>
          <t>1944-3986</t>
        </is>
      </c>
      <c r="N29" s="3" t="inlineStr"/>
      <c r="O29" s="3" t="inlineStr">
        <is>
          <t>已取得核验全文</t>
        </is>
      </c>
      <c r="P29" s="3" t="inlineStr">
        <is>
          <t>是</t>
        </is>
      </c>
      <c r="Q29" s="3" t="inlineStr">
        <is>
          <t>当前无补充材料原件；沿用既有缺失/无附件证据，不据此认定无附件</t>
        </is>
      </c>
      <c r="R29" s="3" t="n">
        <v>2024</v>
      </c>
      <c r="S29" s="3" t="inlineStr">
        <is>
          <t>2025发布版（2024指标年）</t>
        </is>
      </c>
      <c r="T29" s="3" t="inlineStr">
        <is>
          <t>WATER RESOURCES; ENGINEERING, CHEMICAL</t>
        </is>
      </c>
      <c r="U29" s="3" t="inlineStr">
        <is>
          <t>WATER RESOURCES: Q4; ENGINEERING, CHEMICAL: Q4</t>
        </is>
      </c>
      <c r="V29" s="3" t="inlineStr">
        <is>
          <t>否</t>
        </is>
      </c>
      <c r="W29" s="3" t="inlineStr">
        <is>
          <t>否</t>
        </is>
      </c>
      <c r="X29" s="3" t="inlineStr">
        <is>
          <t>是</t>
        </is>
      </c>
      <c r="Y29" s="3" t="inlineStr">
        <is>
          <t>https://topj.lib.whu.edu.cn/show.asp?cat=sci&amp;id=5937</t>
        </is>
      </c>
      <c r="Z29" s="3" t="inlineStr">
        <is>
          <t>https://api.crossref.org/works/10.5004/dwt.2018.22410</t>
        </is>
      </c>
      <c r="AA2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9" s="3" t="inlineStr">
        <is>
          <t>original_files/R04177/fulltext/fulltext__published__09b0de58af2ff1e6.pdf</t>
        </is>
      </c>
      <c r="AC29" s="3" t="inlineStr"/>
      <c r="AD29" s="3" t="inlineStr">
        <is>
          <t>https://github.com/Colliam-Vermilion/FirstCodex/blob/results/ad-oxygen-literature-20261006/results/ad-oxygen-literature-20261006/original_files/R04177/fulltext/fulltext__published__09b0de58af2ff1e6.pdf</t>
        </is>
      </c>
    </row>
    <row r="30" ht="48" customHeight="1">
      <c r="A30" s="2" t="inlineStr">
        <is>
          <t>R04477</t>
        </is>
      </c>
      <c r="B30" s="2" t="inlineStr">
        <is>
          <t>Aeration to Improve Biogas Production by Recalcitrant Feedstock</t>
        </is>
      </c>
      <c r="C30" s="2" t="inlineStr">
        <is>
          <t>2019</t>
        </is>
      </c>
      <c r="D30" s="2" t="inlineStr">
        <is>
          <t>2019</t>
        </is>
      </c>
      <c r="E30" s="2" t="inlineStr">
        <is>
          <t>10.3390/environments6040044</t>
        </is>
      </c>
      <c r="F30" s="2" t="inlineStr">
        <is>
          <t>期刊文章</t>
        </is>
      </c>
      <c r="G30" s="2" t="inlineStr">
        <is>
          <t>1 直接向 AD 反应器或内部循环系统供氧</t>
        </is>
      </c>
      <c r="H30" s="2" t="inlineStr">
        <is>
          <t>是</t>
        </is>
      </c>
      <c r="I30" s="2" t="inlineStr">
        <is>
          <t>研究类</t>
        </is>
      </c>
      <c r="J30" s="2" t="inlineStr">
        <is>
          <t>是</t>
        </is>
      </c>
      <c r="K30" s="2" t="inlineStr">
        <is>
          <t>Environments</t>
        </is>
      </c>
      <c r="L30" s="2" t="inlineStr">
        <is>
          <t>Environments</t>
        </is>
      </c>
      <c r="M30" s="2" t="inlineStr"/>
      <c r="N30" s="2" t="inlineStr">
        <is>
          <t>2076-3298</t>
        </is>
      </c>
      <c r="O30" s="2" t="inlineStr">
        <is>
          <t>已取得核验全文</t>
        </is>
      </c>
      <c r="P30" s="2" t="inlineStr">
        <is>
          <t>是</t>
        </is>
      </c>
      <c r="Q30" s="2" t="inlineStr">
        <is>
          <t>当前无补充材料原件；沿用既有缺失/无附件证据，不据此认定无附件</t>
        </is>
      </c>
      <c r="R30" s="2" t="n">
        <v>2024</v>
      </c>
      <c r="S30" s="2" t="inlineStr">
        <is>
          <t>2025发布版（2024指标年）</t>
        </is>
      </c>
      <c r="T30" s="2" t="inlineStr"/>
      <c r="U30" s="2" t="inlineStr"/>
      <c r="V30" s="2" t="inlineStr">
        <is>
          <t>待核实</t>
        </is>
      </c>
      <c r="W30" s="2" t="inlineStr">
        <is>
          <t>待核实</t>
        </is>
      </c>
      <c r="X30" s="2" t="inlineStr">
        <is>
          <t>否</t>
        </is>
      </c>
      <c r="Y30" s="2" t="inlineStr"/>
      <c r="Z30" s="2" t="inlineStr">
        <is>
          <t>https://api.crossref.org/works/10.3390/environments6040044</t>
        </is>
      </c>
      <c r="AA30" s="2" t="inlineStr">
        <is>
          <t>2024指标年JCR分区未核实；空白不能当非Q1。需要2025发布版/2024指标年的JCR全部学科导出。</t>
        </is>
      </c>
      <c r="AB30" s="2" t="inlineStr">
        <is>
          <t>original_files/R04477/fulltext/fulltext__published__dc52821c42ce8476.pdf</t>
        </is>
      </c>
      <c r="AC30" s="2" t="inlineStr"/>
      <c r="AD30" s="2" t="inlineStr">
        <is>
          <t>https://github.com/Colliam-Vermilion/FirstCodex/blob/results/ad-oxygen-literature-20261006/results/ad-oxygen-literature-20261006/original_files/R04477/fulltext/fulltext__published__dc52821c42ce8476.pdf</t>
        </is>
      </c>
    </row>
    <row r="31" ht="48" customHeight="1">
      <c r="A31" s="3" t="inlineStr">
        <is>
          <t>R04510</t>
        </is>
      </c>
      <c r="B31" s="3" t="inlineStr">
        <is>
          <t>Anaerobic digestion of wastewater rich in sulfate and sulfide: effects of metallic waste addition and micro-aeration on process performance and methane production</t>
        </is>
      </c>
      <c r="C31" s="3" t="inlineStr">
        <is>
          <t>2019</t>
        </is>
      </c>
      <c r="D31" s="3" t="inlineStr">
        <is>
          <t>2019</t>
        </is>
      </c>
      <c r="E31" s="3" t="inlineStr">
        <is>
          <t>10.1080/10934529.2019.1623597</t>
        </is>
      </c>
      <c r="F31" s="3" t="inlineStr">
        <is>
          <t>期刊文章</t>
        </is>
      </c>
      <c r="G31" s="3" t="inlineStr">
        <is>
          <t>1 直接向 AD 反应器或内部循环系统供氧</t>
        </is>
      </c>
      <c r="H31" s="3" t="inlineStr">
        <is>
          <t>是</t>
        </is>
      </c>
      <c r="I31" s="3" t="inlineStr">
        <is>
          <t>研究类</t>
        </is>
      </c>
      <c r="J31" s="3" t="inlineStr">
        <is>
          <t>是</t>
        </is>
      </c>
      <c r="K31" s="3" t="inlineStr">
        <is>
          <t>JOURNAL OF ENVIRONMENTAL SCIENCE AND HEALTH PART A-TOXIC/HAZARDOUS SUBSTANCES &amp; ENVIRONMENTAL ENGINEERING</t>
        </is>
      </c>
      <c r="L31" s="3" t="inlineStr">
        <is>
          <t>Journal of Environmental Science and Health, Part A</t>
        </is>
      </c>
      <c r="M31" s="3" t="inlineStr">
        <is>
          <t>1093-4529</t>
        </is>
      </c>
      <c r="N31" s="3" t="inlineStr">
        <is>
          <t>1532-4117</t>
        </is>
      </c>
      <c r="O31" s="3" t="inlineStr">
        <is>
          <t>已取得核验全文</t>
        </is>
      </c>
      <c r="P31" s="3" t="inlineStr">
        <is>
          <t>是</t>
        </is>
      </c>
      <c r="Q31" s="3" t="inlineStr">
        <is>
          <t>当前无补充材料原件；沿用既有缺失/无附件证据，不据此认定无附件</t>
        </is>
      </c>
      <c r="R31" s="3" t="n">
        <v>2024</v>
      </c>
      <c r="S31" s="3" t="inlineStr">
        <is>
          <t>2025发布版（2024指标年）</t>
        </is>
      </c>
      <c r="T31" s="3" t="inlineStr">
        <is>
          <t>ENGINEERING, ENVIRONMENTAL; ENVIRONMENTAL SCIENCES</t>
        </is>
      </c>
      <c r="U31" s="3" t="inlineStr">
        <is>
          <t>ENGINEERING, ENVIRONMENTAL: Q4; ENVIRONMENTAL SCIENCES: Q3</t>
        </is>
      </c>
      <c r="V31" s="3" t="inlineStr">
        <is>
          <t>否</t>
        </is>
      </c>
      <c r="W31" s="3" t="inlineStr">
        <is>
          <t>否</t>
        </is>
      </c>
      <c r="X31" s="3" t="inlineStr">
        <is>
          <t>是</t>
        </is>
      </c>
      <c r="Y31" s="3" t="inlineStr">
        <is>
          <t>https://topj.lib.whu.edu.cn/show.asp?cat=zk&amp;id=4361</t>
        </is>
      </c>
      <c r="Z31" s="3" t="inlineStr">
        <is>
          <t>https://api.crossref.org/works/10.1080/10934529.2019.1623597</t>
        </is>
      </c>
      <c r="AA3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1" s="3" t="inlineStr">
        <is>
          <t>original_files/R04510/fulltext/fulltext__version_unverified__c4520ca79e301bb6.pdf</t>
        </is>
      </c>
      <c r="AC31" s="3" t="inlineStr"/>
      <c r="AD31" s="3" t="inlineStr">
        <is>
          <t>https://github.com/Colliam-Vermilion/FirstCodex/blob/results/ad-oxygen-literature-20261006/results/ad-oxygen-literature-20261006/original_files/R04510/fulltext/fulltext__version_unverified__c4520ca79e301bb6.pdf</t>
        </is>
      </c>
    </row>
    <row r="32" ht="48" customHeight="1">
      <c r="A32" s="2" t="inlineStr">
        <is>
          <t>R04786</t>
        </is>
      </c>
      <c r="B32" s="2" t="inlineStr">
        <is>
          <t>Enhancing methane production of anaerobic sludge digestion by microaeration: Enzyme activity stimulation, semi-continuous reactor validation and microbial community analysis</t>
        </is>
      </c>
      <c r="C32" s="2" t="inlineStr">
        <is>
          <t>2019</t>
        </is>
      </c>
      <c r="D32" s="2" t="inlineStr">
        <is>
          <t>2019</t>
        </is>
      </c>
      <c r="E32" s="2" t="inlineStr">
        <is>
          <t>10.1016/j.biortech.2019.121643</t>
        </is>
      </c>
      <c r="F32" s="2" t="inlineStr">
        <is>
          <t>期刊文章</t>
        </is>
      </c>
      <c r="G32" s="2" t="inlineStr">
        <is>
          <t>1 直接向 AD 反应器或内部循环系统供氧</t>
        </is>
      </c>
      <c r="H32" s="2" t="inlineStr">
        <is>
          <t>是</t>
        </is>
      </c>
      <c r="I32" s="2" t="inlineStr">
        <is>
          <t>研究类</t>
        </is>
      </c>
      <c r="J32" s="2" t="inlineStr">
        <is>
          <t>是</t>
        </is>
      </c>
      <c r="K32" s="2" t="inlineStr">
        <is>
          <t>BIORESOURCE TECHNOLOGY</t>
        </is>
      </c>
      <c r="L32" s="2" t="inlineStr">
        <is>
          <t>Bioresource Technology</t>
        </is>
      </c>
      <c r="M32" s="2" t="inlineStr">
        <is>
          <t>0960-8524</t>
        </is>
      </c>
      <c r="N32" s="2" t="inlineStr"/>
      <c r="O32" s="2" t="inlineStr">
        <is>
          <t>已取得核验全文</t>
        </is>
      </c>
      <c r="P32" s="2" t="inlineStr">
        <is>
          <t>是</t>
        </is>
      </c>
      <c r="Q32" s="2" t="inlineStr">
        <is>
          <t>当前无补充材料原件；沿用既有缺失/无附件证据，不据此认定无附件</t>
        </is>
      </c>
      <c r="R32" s="2" t="n">
        <v>2024</v>
      </c>
      <c r="S32" s="2" t="inlineStr">
        <is>
          <t>2025发布版（2024指标年）</t>
        </is>
      </c>
      <c r="T32" s="2" t="inlineStr">
        <is>
          <t>AGRICULTURAL ENGINEERING; BIOTECHNOLOGY &amp; APPLIED MICROBIOLOGY; ENERGY &amp; FUELS</t>
        </is>
      </c>
      <c r="U32" s="2" t="inlineStr">
        <is>
          <t>AGRICULTURAL ENGINEERING: Q1; BIOTECHNOLOGY &amp; APPLIED MICROBIOLOGY: Q1; ENERGY &amp; FUELS: Q1</t>
        </is>
      </c>
      <c r="V32" s="4" t="inlineStr">
        <is>
          <t>是</t>
        </is>
      </c>
      <c r="W32" s="4" t="inlineStr">
        <is>
          <t>是</t>
        </is>
      </c>
      <c r="X32" s="2" t="inlineStr">
        <is>
          <t>是</t>
        </is>
      </c>
      <c r="Y32" s="2" t="inlineStr">
        <is>
          <t>https://topj.lib.whu.edu.cn/show.asp?cat=zk&amp;id=3976</t>
        </is>
      </c>
      <c r="Z32" s="2" t="inlineStr">
        <is>
          <t>https://api.crossref.org/works/10.1016/j.biortech.2019.121643</t>
        </is>
      </c>
      <c r="AA3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2" s="2" t="inlineStr">
        <is>
          <t>original_files/R04786/fulltext/fulltext__published__ea18005b6cd10f40.pdf</t>
        </is>
      </c>
      <c r="AC32" s="2" t="inlineStr"/>
      <c r="AD32" s="2" t="inlineStr">
        <is>
          <t>https://github.com/Colliam-Vermilion/FirstCodex/blob/results/ad-oxygen-literature-20261006/results/ad-oxygen-literature-20261006/original_files/R04786/fulltext/fulltext__published__ea18005b6cd10f40.pdf</t>
        </is>
      </c>
    </row>
    <row r="33" ht="48" customHeight="1">
      <c r="A33" s="3" t="inlineStr">
        <is>
          <t>R04803</t>
        </is>
      </c>
      <c r="B33" s="3" t="inlineStr">
        <is>
          <t>Evaluation of different air dosing strategies to enhance H 2 S removal in microaerobic systems treating low-strength wastewaters</t>
        </is>
      </c>
      <c r="C33" s="3" t="inlineStr">
        <is>
          <t>2019</t>
        </is>
      </c>
      <c r="D33" s="3" t="inlineStr">
        <is>
          <t>2019</t>
        </is>
      </c>
      <c r="E33" s="3" t="inlineStr">
        <is>
          <t>10.1080/09593330.2018.1487470</t>
        </is>
      </c>
      <c r="F33" s="3" t="inlineStr">
        <is>
          <t>期刊文章</t>
        </is>
      </c>
      <c r="G33" s="3" t="inlineStr">
        <is>
          <t>1 直接向 AD 反应器或内部循环系统供氧</t>
        </is>
      </c>
      <c r="H33" s="3" t="inlineStr">
        <is>
          <t>是</t>
        </is>
      </c>
      <c r="I33" s="3" t="inlineStr">
        <is>
          <t>研究类</t>
        </is>
      </c>
      <c r="J33" s="3" t="inlineStr">
        <is>
          <t>是</t>
        </is>
      </c>
      <c r="K33" s="3" t="inlineStr">
        <is>
          <t>ENVIRONMENTAL TECHNOLOGY</t>
        </is>
      </c>
      <c r="L33" s="3" t="inlineStr">
        <is>
          <t>Environmental Technology</t>
        </is>
      </c>
      <c r="M33" s="3" t="inlineStr">
        <is>
          <t>0959-3330</t>
        </is>
      </c>
      <c r="N33" s="3" t="inlineStr">
        <is>
          <t>1479-487X</t>
        </is>
      </c>
      <c r="O33" s="3" t="inlineStr">
        <is>
          <t>已取得核验全文</t>
        </is>
      </c>
      <c r="P33" s="3" t="inlineStr">
        <is>
          <t>是</t>
        </is>
      </c>
      <c r="Q33" s="3" t="inlineStr">
        <is>
          <t>当前无补充材料原件；沿用既有缺失/无附件证据，不据此认定无附件</t>
        </is>
      </c>
      <c r="R33" s="3" t="n">
        <v>2024</v>
      </c>
      <c r="S33" s="3" t="inlineStr">
        <is>
          <t>2025发布版（2024指标年）</t>
        </is>
      </c>
      <c r="T33" s="3" t="inlineStr">
        <is>
          <t>ENVIRONMENTAL SCIENCES</t>
        </is>
      </c>
      <c r="U33" s="3" t="inlineStr">
        <is>
          <t>ENVIRONMENTAL SCIENCES: Q3</t>
        </is>
      </c>
      <c r="V33" s="3" t="inlineStr">
        <is>
          <t>否</t>
        </is>
      </c>
      <c r="W33" s="3" t="inlineStr">
        <is>
          <t>否</t>
        </is>
      </c>
      <c r="X33" s="3" t="inlineStr">
        <is>
          <t>是</t>
        </is>
      </c>
      <c r="Y33" s="3" t="inlineStr">
        <is>
          <t>https://topj.lib.whu.edu.cn/searchxk1.asp?ordertype=desc&amp;page=11&amp;q=&amp;xk=488</t>
        </is>
      </c>
      <c r="Z33" s="3" t="inlineStr">
        <is>
          <t>https://api.crossref.org/works/10.1080/09593330.2018.1487470</t>
        </is>
      </c>
      <c r="AA3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33" s="3" t="inlineStr">
        <is>
          <t>original_files/R04803/fulltext/fulltext__published__3e98d6cf0fefd5e7.pdf</t>
        </is>
      </c>
      <c r="AC33" s="3" t="inlineStr"/>
      <c r="AD33" s="3" t="inlineStr">
        <is>
          <t>https://github.com/Colliam-Vermilion/FirstCodex/blob/results/ad-oxygen-literature-20261006/results/ad-oxygen-literature-20261006/original_files/R04803/fulltext/fulltext__published__3e98d6cf0fefd5e7.pdf</t>
        </is>
      </c>
    </row>
    <row r="34" ht="48" customHeight="1">
      <c r="A34" s="2" t="inlineStr">
        <is>
          <t>R04882</t>
        </is>
      </c>
      <c r="B34" s="2" t="inlineStr">
        <is>
          <t>Influence Mechanism of Micro-Oxygenation Treatment on Dry Fermentation of Food Waste</t>
        </is>
      </c>
      <c r="C34" s="2" t="inlineStr">
        <is>
          <t>2019</t>
        </is>
      </c>
      <c r="D34" s="2" t="inlineStr">
        <is>
          <t>2019</t>
        </is>
      </c>
      <c r="E34" s="2" t="inlineStr">
        <is>
          <t>10.1166/jbmb.2019.1823</t>
        </is>
      </c>
      <c r="F34" s="2" t="inlineStr">
        <is>
          <t>期刊文章</t>
        </is>
      </c>
      <c r="G34" s="2" t="inlineStr">
        <is>
          <t>1 直接向 AD 反应器或内部循环系统供氧</t>
        </is>
      </c>
      <c r="H34" s="2" t="inlineStr">
        <is>
          <t>是</t>
        </is>
      </c>
      <c r="I34" s="2" t="inlineStr">
        <is>
          <t>研究类</t>
        </is>
      </c>
      <c r="J34" s="2" t="inlineStr">
        <is>
          <t>是</t>
        </is>
      </c>
      <c r="K34" s="2" t="inlineStr">
        <is>
          <t>Journal of Biobased Materials and Bioenergy</t>
        </is>
      </c>
      <c r="L34" s="2" t="inlineStr">
        <is>
          <t>Journal of Biobased Materials and Bioenergy</t>
        </is>
      </c>
      <c r="M34" s="2" t="inlineStr">
        <is>
          <t>1556-6560</t>
        </is>
      </c>
      <c r="N34" s="2" t="inlineStr"/>
      <c r="O34" s="2" t="inlineStr">
        <is>
          <t>未取得全文</t>
        </is>
      </c>
      <c r="P34" s="2" t="inlineStr">
        <is>
          <t>否</t>
        </is>
      </c>
      <c r="Q34" s="2" t="inlineStr">
        <is>
          <t>当前无补充材料原件；沿用既有缺失/无附件证据，不据此认定无附件</t>
        </is>
      </c>
      <c r="R34" s="2" t="n">
        <v>2024</v>
      </c>
      <c r="S34" s="2" t="inlineStr">
        <is>
          <t>2025发布版（2024指标年）</t>
        </is>
      </c>
      <c r="T34" s="2" t="inlineStr"/>
      <c r="U34" s="2" t="inlineStr"/>
      <c r="V34" s="2" t="inlineStr">
        <is>
          <t>待核实</t>
        </is>
      </c>
      <c r="W34" s="2" t="inlineStr">
        <is>
          <t>待核实</t>
        </is>
      </c>
      <c r="X34" s="2" t="inlineStr">
        <is>
          <t>否</t>
        </is>
      </c>
      <c r="Y34" s="2" t="inlineStr"/>
      <c r="Z34" s="2" t="inlineStr">
        <is>
          <t>https://api.crossref.org/works/10.1166/jbmb.2019.1823</t>
        </is>
      </c>
      <c r="AA34" s="2" t="inlineStr">
        <is>
          <t>2024指标年JCR分区未核实；空白不能当非Q1。需要2025发布版/2024指标年的JCR全部学科导出。</t>
        </is>
      </c>
      <c r="AB34" s="2" t="inlineStr"/>
      <c r="AC34" s="2" t="inlineStr"/>
      <c r="AD34" s="2" t="inlineStr"/>
    </row>
    <row r="35" ht="48" customHeight="1">
      <c r="A35" s="3" t="inlineStr">
        <is>
          <t>R04899</t>
        </is>
      </c>
      <c r="B35" s="3" t="inlineStr">
        <is>
          <t>Intermittent micro-aeration: New strategy to control volatile fatty acid accumulation in high organic loading anaerobic digestion</t>
        </is>
      </c>
      <c r="C35" s="3" t="inlineStr">
        <is>
          <t>2019</t>
        </is>
      </c>
      <c r="D35" s="3" t="inlineStr">
        <is>
          <t>2019</t>
        </is>
      </c>
      <c r="E35" s="3" t="inlineStr">
        <is>
          <t>10.1016/j.watres.2019.115080</t>
        </is>
      </c>
      <c r="F35" s="3" t="inlineStr">
        <is>
          <t>期刊文章</t>
        </is>
      </c>
      <c r="G35" s="3" t="inlineStr">
        <is>
          <t>1 直接向 AD 反应器或内部循环系统供氧</t>
        </is>
      </c>
      <c r="H35" s="3" t="inlineStr">
        <is>
          <t>是</t>
        </is>
      </c>
      <c r="I35" s="3" t="inlineStr">
        <is>
          <t>研究类</t>
        </is>
      </c>
      <c r="J35" s="3" t="inlineStr">
        <is>
          <t>是</t>
        </is>
      </c>
      <c r="K35" s="3" t="inlineStr">
        <is>
          <t>WATER RESEARCH</t>
        </is>
      </c>
      <c r="L35" s="3" t="inlineStr">
        <is>
          <t>Water Research</t>
        </is>
      </c>
      <c r="M35" s="3" t="inlineStr">
        <is>
          <t>0043-1354</t>
        </is>
      </c>
      <c r="N35" s="3" t="inlineStr"/>
      <c r="O35" s="3" t="inlineStr">
        <is>
          <t>已取得核验全文</t>
        </is>
      </c>
      <c r="P35" s="3" t="inlineStr">
        <is>
          <t>是</t>
        </is>
      </c>
      <c r="Q35" s="3" t="inlineStr">
        <is>
          <t>已取得1件原格式补充材料；其中0件唯一关联待核实；完整性未确认</t>
        </is>
      </c>
      <c r="R35" s="3" t="n">
        <v>2024</v>
      </c>
      <c r="S35" s="3" t="inlineStr">
        <is>
          <t>2025发布版（2024指标年）</t>
        </is>
      </c>
      <c r="T35" s="3" t="inlineStr">
        <is>
          <t>WATER RESOURCES; ENGINEERING, ENVIRONMENTAL; ENVIRONMENTAL SCIENCES</t>
        </is>
      </c>
      <c r="U35" s="3" t="inlineStr">
        <is>
          <t>WATER RESOURCES: Q1; ENGINEERING, ENVIRONMENTAL: Q1; ENVIRONMENTAL SCIENCES: Q1</t>
        </is>
      </c>
      <c r="V35" s="4" t="inlineStr">
        <is>
          <t>是</t>
        </is>
      </c>
      <c r="W35" s="4" t="inlineStr">
        <is>
          <t>是</t>
        </is>
      </c>
      <c r="X35" s="3" t="inlineStr">
        <is>
          <t>是</t>
        </is>
      </c>
      <c r="Y35" s="3" t="inlineStr">
        <is>
          <t>https://topj.lib.whu.edu.cn/show.asp?cat=zk&amp;id=3962</t>
        </is>
      </c>
      <c r="Z35" s="3" t="inlineStr">
        <is>
          <t>https://api.crossref.org/works/10.1016/j.watres.2019.115080</t>
        </is>
      </c>
      <c r="AA3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5" s="3" t="inlineStr">
        <is>
          <t>original_files/R04899/fulltext/fulltext__published__92f0b2f1ad01522c.pdf</t>
        </is>
      </c>
      <c r="AC35" s="3" t="inlineStr">
        <is>
          <t>original_files/R04899/supplementary/supplementary__93e7e6da6f9fc16c.docx</t>
        </is>
      </c>
      <c r="AD35" s="3" t="inlineStr">
        <is>
          <t>https://github.com/Colliam-Vermilion/FirstCodex/blob/results/ad-oxygen-literature-20261006/results/ad-oxygen-literature-20261006/original_files/R04899/fulltext/fulltext__published__92f0b2f1ad01522c.pdf</t>
        </is>
      </c>
    </row>
    <row r="36" ht="48" customHeight="1">
      <c r="A36" s="2" t="inlineStr">
        <is>
          <t>R05173</t>
        </is>
      </c>
      <c r="B36" s="2" t="inlineStr">
        <is>
          <t>Submicron magnetite‐enhanced tribromophenol removal and methanogenesis under microaerobic condition</t>
        </is>
      </c>
      <c r="C36" s="2" t="inlineStr">
        <is>
          <t>2019</t>
        </is>
      </c>
      <c r="D36" s="2" t="inlineStr">
        <is>
          <t>2019</t>
        </is>
      </c>
      <c r="E36" s="2" t="inlineStr">
        <is>
          <t>10.1002/jctb.5817</t>
        </is>
      </c>
      <c r="F36" s="2" t="inlineStr">
        <is>
          <t>期刊文章</t>
        </is>
      </c>
      <c r="G36" s="2" t="inlineStr">
        <is>
          <t>1 直接向 AD 反应器或内部循环系统供氧</t>
        </is>
      </c>
      <c r="H36" s="2" t="inlineStr">
        <is>
          <t>是</t>
        </is>
      </c>
      <c r="I36" s="2" t="inlineStr">
        <is>
          <t>研究类</t>
        </is>
      </c>
      <c r="J36" s="2" t="inlineStr">
        <is>
          <t>是</t>
        </is>
      </c>
      <c r="K36" s="2" t="inlineStr">
        <is>
          <t>JOURNAL OF CHEMICAL TECHNOLOGY AND BIOTECHNOLOGY</t>
        </is>
      </c>
      <c r="L36" s="2" t="inlineStr">
        <is>
          <t>Journal of Chemical Technology &amp;amp; Biotechnology</t>
        </is>
      </c>
      <c r="M36" s="2" t="inlineStr">
        <is>
          <t>0268-2575</t>
        </is>
      </c>
      <c r="N36" s="2" t="inlineStr">
        <is>
          <t>1097-4660</t>
        </is>
      </c>
      <c r="O36" s="2" t="inlineStr">
        <is>
          <t>已取得核验全文</t>
        </is>
      </c>
      <c r="P36" s="2" t="inlineStr">
        <is>
          <t>是</t>
        </is>
      </c>
      <c r="Q36" s="2" t="inlineStr">
        <is>
          <t>已取得1件原格式补充材料；其中1件唯一关联待核实；完整性未确认</t>
        </is>
      </c>
      <c r="R36" s="2" t="n">
        <v>2024</v>
      </c>
      <c r="S36" s="2" t="inlineStr">
        <is>
          <t>2025发布版（2024指标年）</t>
        </is>
      </c>
      <c r="T36" s="2" t="inlineStr">
        <is>
          <t>BIOTECHNOLOGY &amp; APPLIED MICROBIOLOGY; CHEMISTRY, MULTIDISCIPLINARY; ENGINEERING, CHEMICAL; ENGINEERING, ENVIRONMENTAL</t>
        </is>
      </c>
      <c r="U36" s="2" t="inlineStr">
        <is>
          <t>BIOTECHNOLOGY &amp; APPLIED MICROBIOLOGY: Q3; CHEMISTRY, MULTIDISCIPLINARY: Q3; ENGINEERING, CHEMICAL: Q3; ENGINEERING, ENVIRONMENTAL: Q3</t>
        </is>
      </c>
      <c r="V36" s="2" t="inlineStr">
        <is>
          <t>否</t>
        </is>
      </c>
      <c r="W36" s="2" t="inlineStr">
        <is>
          <t>否</t>
        </is>
      </c>
      <c r="X36" s="2" t="inlineStr">
        <is>
          <t>是</t>
        </is>
      </c>
      <c r="Y36" s="2" t="inlineStr">
        <is>
          <t>https://topj.lib.whu.edu.cn/show.asp?cat=zk&amp;id=7182</t>
        </is>
      </c>
      <c r="Z36" s="2" t="inlineStr">
        <is>
          <t>https://api.crossref.org/works/10.1002/jctb.5817</t>
        </is>
      </c>
      <c r="AA3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6" s="2" t="inlineStr">
        <is>
          <t>original_files/R05173/fulltext/fulltext__published__dedf2d646e952ba0.pdf</t>
        </is>
      </c>
      <c r="AC36" s="2" t="inlineStr">
        <is>
          <t>original_files/R05173/supplementary/supplementary__63ce6947f3cf6519.docx</t>
        </is>
      </c>
      <c r="AD36" s="2" t="inlineStr">
        <is>
          <t>https://github.com/Colliam-Vermilion/FirstCodex/blob/results/ad-oxygen-literature-20261006/results/ad-oxygen-literature-20261006/original_files/R05173/fulltext/fulltext__published__dedf2d646e952ba0.pdf</t>
        </is>
      </c>
    </row>
    <row r="37" ht="48" customHeight="1">
      <c r="A37" s="3" t="inlineStr">
        <is>
          <t>R05319</t>
        </is>
      </c>
      <c r="B37" s="3" t="inlineStr">
        <is>
          <t>Air Supplement as a Stimulation Approach for the In Situ Desulfurization and Methanization Enhancement of Anaerobic Digestion of Chicken Manure</t>
        </is>
      </c>
      <c r="C37" s="3" t="inlineStr">
        <is>
          <t>2020</t>
        </is>
      </c>
      <c r="D37" s="3" t="inlineStr">
        <is>
          <t>2020</t>
        </is>
      </c>
      <c r="E37" s="3" t="inlineStr">
        <is>
          <t>10.1021/acs.energyfuels.0c01724</t>
        </is>
      </c>
      <c r="F37" s="3" t="inlineStr">
        <is>
          <t>期刊文章</t>
        </is>
      </c>
      <c r="G37" s="3" t="inlineStr">
        <is>
          <t>1 直接向 AD 反应器或内部循环系统供氧</t>
        </is>
      </c>
      <c r="H37" s="3" t="inlineStr">
        <is>
          <t>是</t>
        </is>
      </c>
      <c r="I37" s="3" t="inlineStr">
        <is>
          <t>研究类</t>
        </is>
      </c>
      <c r="J37" s="3" t="inlineStr">
        <is>
          <t>是</t>
        </is>
      </c>
      <c r="K37" s="3" t="inlineStr">
        <is>
          <t>ENERGY &amp; FUELS</t>
        </is>
      </c>
      <c r="L37" s="3" t="inlineStr">
        <is>
          <t>Energy &amp;amp; Fuels</t>
        </is>
      </c>
      <c r="M37" s="3" t="inlineStr">
        <is>
          <t>0887-0624</t>
        </is>
      </c>
      <c r="N37" s="3" t="inlineStr">
        <is>
          <t>1520-5029</t>
        </is>
      </c>
      <c r="O37" s="3" t="inlineStr">
        <is>
          <t>已取得核验全文</t>
        </is>
      </c>
      <c r="P37" s="3" t="inlineStr">
        <is>
          <t>是</t>
        </is>
      </c>
      <c r="Q37" s="3" t="inlineStr">
        <is>
          <t>当前无补充材料原件；沿用既有缺失/无附件证据，不据此认定无附件</t>
        </is>
      </c>
      <c r="R37" s="3" t="n">
        <v>2024</v>
      </c>
      <c r="S37" s="3" t="inlineStr">
        <is>
          <t>2025发布版（2024指标年）</t>
        </is>
      </c>
      <c r="T37" s="3" t="inlineStr">
        <is>
          <t>ENERGY &amp; FUELS; ENGINEERING, CHEMICAL</t>
        </is>
      </c>
      <c r="U37" s="3" t="inlineStr">
        <is>
          <t>ENERGY &amp; FUELS: Q2; ENGINEERING, CHEMICAL: Q1</t>
        </is>
      </c>
      <c r="V37" s="4" t="inlineStr">
        <is>
          <t>是</t>
        </is>
      </c>
      <c r="W37" s="3" t="inlineStr">
        <is>
          <t>否</t>
        </is>
      </c>
      <c r="X37" s="3" t="inlineStr">
        <is>
          <t>是</t>
        </is>
      </c>
      <c r="Y37" s="3" t="inlineStr">
        <is>
          <t>https://topj.lib.whu.edu.cn/show.asp?cat=zk&amp;id=5342</t>
        </is>
      </c>
      <c r="Z37" s="3" t="inlineStr">
        <is>
          <t>https://api.crossref.org/works/10.1021/acs.energyfuels.0c01724</t>
        </is>
      </c>
      <c r="AA3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7" s="3" t="inlineStr">
        <is>
          <t>original_files/R05319/fulltext/fulltext__published__865dcb7f90757119.pdf</t>
        </is>
      </c>
      <c r="AC37" s="3" t="inlineStr"/>
      <c r="AD37" s="3" t="inlineStr">
        <is>
          <t>https://github.com/Colliam-Vermilion/FirstCodex/blob/results/ad-oxygen-literature-20261006/results/ad-oxygen-literature-20261006/original_files/R05319/fulltext/fulltext__published__865dcb7f90757119.pdf</t>
        </is>
      </c>
    </row>
    <row r="38" ht="48" customHeight="1">
      <c r="A38" s="2" t="inlineStr">
        <is>
          <t>R05472</t>
        </is>
      </c>
      <c r="B38" s="2" t="inlineStr">
        <is>
          <t>Comparing Hydrogen Sulfide Removal Efficiency in a Field-Scale Digester Using Microaeration and Iron Filters</t>
        </is>
      </c>
      <c r="C38" s="2" t="inlineStr">
        <is>
          <t>2020</t>
        </is>
      </c>
      <c r="D38" s="2" t="inlineStr">
        <is>
          <t>2020</t>
        </is>
      </c>
      <c r="E38" s="2" t="inlineStr">
        <is>
          <t>10.3390/en13184793</t>
        </is>
      </c>
      <c r="F38" s="2" t="inlineStr">
        <is>
          <t>期刊文章</t>
        </is>
      </c>
      <c r="G38" s="2" t="inlineStr">
        <is>
          <t>1 直接向 AD 反应器或内部循环系统供氧</t>
        </is>
      </c>
      <c r="H38" s="2" t="inlineStr">
        <is>
          <t>是</t>
        </is>
      </c>
      <c r="I38" s="2" t="inlineStr">
        <is>
          <t>研究类</t>
        </is>
      </c>
      <c r="J38" s="2" t="inlineStr">
        <is>
          <t>是</t>
        </is>
      </c>
      <c r="K38" s="2" t="inlineStr">
        <is>
          <t>Energies</t>
        </is>
      </c>
      <c r="L38" s="2" t="inlineStr">
        <is>
          <t>Energies</t>
        </is>
      </c>
      <c r="M38" s="2" t="inlineStr"/>
      <c r="N38" s="2" t="inlineStr">
        <is>
          <t>1996-1073</t>
        </is>
      </c>
      <c r="O38" s="2" t="inlineStr">
        <is>
          <t>已取得核验全文</t>
        </is>
      </c>
      <c r="P38" s="2" t="inlineStr">
        <is>
          <t>是</t>
        </is>
      </c>
      <c r="Q38" s="2" t="inlineStr">
        <is>
          <t>当前无补充材料原件；沿用既有缺失/无附件证据，不据此认定无附件</t>
        </is>
      </c>
      <c r="R38" s="2" t="n">
        <v>2024</v>
      </c>
      <c r="S38" s="2" t="inlineStr">
        <is>
          <t>2025发布版（2024指标年）</t>
        </is>
      </c>
      <c r="T38" s="2" t="inlineStr"/>
      <c r="U38" s="2" t="inlineStr"/>
      <c r="V38" s="2" t="inlineStr">
        <is>
          <t>待核实</t>
        </is>
      </c>
      <c r="W38" s="2" t="inlineStr">
        <is>
          <t>待核实</t>
        </is>
      </c>
      <c r="X38" s="2" t="inlineStr">
        <is>
          <t>否</t>
        </is>
      </c>
      <c r="Y38" s="2" t="inlineStr"/>
      <c r="Z38" s="2" t="inlineStr">
        <is>
          <t>https://api.crossref.org/works/10.3390/en13184793</t>
        </is>
      </c>
      <c r="AA38" s="2" t="inlineStr">
        <is>
          <t>2024指标年JCR分区未核实；空白不能当非Q1。需要2025发布版/2024指标年的JCR全部学科导出。</t>
        </is>
      </c>
      <c r="AB38" s="2" t="inlineStr">
        <is>
          <t>original_files/R05472/fulltext/fulltext__published__a81227cda8f65dc0.pdf</t>
        </is>
      </c>
      <c r="AC38" s="2" t="inlineStr"/>
      <c r="AD38" s="2" t="inlineStr">
        <is>
          <t>https://github.com/Colliam-Vermilion/FirstCodex/blob/results/ad-oxygen-literature-20261006/results/ad-oxygen-literature-20261006/original_files/R05472/fulltext/fulltext__published__a81227cda8f65dc0.pdf</t>
        </is>
      </c>
    </row>
    <row r="39" ht="48" customHeight="1">
      <c r="A39" s="3" t="inlineStr">
        <is>
          <t>R05511</t>
        </is>
      </c>
      <c r="B39" s="3" t="inlineStr">
        <is>
          <t>Different micro-aeration rates facilitate production of different end-products from source-diverted blackwater</t>
        </is>
      </c>
      <c r="C39" s="3" t="inlineStr">
        <is>
          <t>2020</t>
        </is>
      </c>
      <c r="D39" s="3" t="inlineStr">
        <is>
          <t>2020</t>
        </is>
      </c>
      <c r="E39" s="3" t="inlineStr">
        <is>
          <t>10.1016/j.watres.2020.115783</t>
        </is>
      </c>
      <c r="F39" s="3" t="inlineStr">
        <is>
          <t>期刊文章</t>
        </is>
      </c>
      <c r="G39" s="3" t="inlineStr">
        <is>
          <t>1 直接向 AD 反应器或内部循环系统供氧</t>
        </is>
      </c>
      <c r="H39" s="3" t="inlineStr">
        <is>
          <t>是</t>
        </is>
      </c>
      <c r="I39" s="3" t="inlineStr">
        <is>
          <t>研究类</t>
        </is>
      </c>
      <c r="J39" s="3" t="inlineStr">
        <is>
          <t>是</t>
        </is>
      </c>
      <c r="K39" s="3" t="inlineStr">
        <is>
          <t>WATER RESEARCH</t>
        </is>
      </c>
      <c r="L39" s="3" t="inlineStr">
        <is>
          <t>Water Research</t>
        </is>
      </c>
      <c r="M39" s="3" t="inlineStr">
        <is>
          <t>0043-1354</t>
        </is>
      </c>
      <c r="N39" s="3" t="inlineStr"/>
      <c r="O39" s="3" t="inlineStr">
        <is>
          <t>已取得核验全文</t>
        </is>
      </c>
      <c r="P39" s="3" t="inlineStr">
        <is>
          <t>是</t>
        </is>
      </c>
      <c r="Q39" s="3" t="inlineStr">
        <is>
          <t>已取得1件原格式补充材料；其中0件唯一关联待核实；完整性未确认</t>
        </is>
      </c>
      <c r="R39" s="3" t="n">
        <v>2024</v>
      </c>
      <c r="S39" s="3" t="inlineStr">
        <is>
          <t>2025发布版（2024指标年）</t>
        </is>
      </c>
      <c r="T39" s="3" t="inlineStr">
        <is>
          <t>WATER RESOURCES; ENGINEERING, ENVIRONMENTAL; ENVIRONMENTAL SCIENCES</t>
        </is>
      </c>
      <c r="U39" s="3" t="inlineStr">
        <is>
          <t>WATER RESOURCES: Q1; ENGINEERING, ENVIRONMENTAL: Q1; ENVIRONMENTAL SCIENCES: Q1</t>
        </is>
      </c>
      <c r="V39" s="4" t="inlineStr">
        <is>
          <t>是</t>
        </is>
      </c>
      <c r="W39" s="4" t="inlineStr">
        <is>
          <t>是</t>
        </is>
      </c>
      <c r="X39" s="3" t="inlineStr">
        <is>
          <t>是</t>
        </is>
      </c>
      <c r="Y39" s="3" t="inlineStr">
        <is>
          <t>https://topj.lib.whu.edu.cn/show.asp?cat=zk&amp;id=3962</t>
        </is>
      </c>
      <c r="Z39" s="3" t="inlineStr">
        <is>
          <t>https://api.crossref.org/works/10.1016/j.watres.2020.115783</t>
        </is>
      </c>
      <c r="AA3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9" s="3" t="inlineStr">
        <is>
          <t>original_files/R05511/fulltext/fulltext__published__f020eb6189063184.pdf</t>
        </is>
      </c>
      <c r="AC39" s="3" t="inlineStr">
        <is>
          <t>original_files/R05511/supplementary/supplementary__b434b7fc5acd7ee0.docx</t>
        </is>
      </c>
      <c r="AD39" s="3" t="inlineStr">
        <is>
          <t>https://github.com/Colliam-Vermilion/FirstCodex/blob/results/ad-oxygen-literature-20261006/results/ad-oxygen-literature-20261006/original_files/R05511/fulltext/fulltext__published__f020eb6189063184.pdf</t>
        </is>
      </c>
    </row>
    <row r="40" ht="48" customHeight="1">
      <c r="A40" s="2" t="inlineStr">
        <is>
          <t>R05638</t>
        </is>
      </c>
      <c r="B40" s="2" t="inlineStr">
        <is>
          <t>Evaluation of Microaeration and Sound to Increase Biogas Production from Poultry Litter</t>
        </is>
      </c>
      <c r="C40" s="2" t="inlineStr">
        <is>
          <t>2020</t>
        </is>
      </c>
      <c r="D40" s="2" t="inlineStr">
        <is>
          <t>2020</t>
        </is>
      </c>
      <c r="E40" s="2" t="inlineStr">
        <is>
          <t>10.3390/environments7080062</t>
        </is>
      </c>
      <c r="F40" s="2" t="inlineStr">
        <is>
          <t>期刊文章</t>
        </is>
      </c>
      <c r="G40" s="2" t="inlineStr">
        <is>
          <t>1 直接向 AD 反应器或内部循环系统供氧</t>
        </is>
      </c>
      <c r="H40" s="2" t="inlineStr">
        <is>
          <t>是</t>
        </is>
      </c>
      <c r="I40" s="2" t="inlineStr">
        <is>
          <t>研究类</t>
        </is>
      </c>
      <c r="J40" s="2" t="inlineStr">
        <is>
          <t>是</t>
        </is>
      </c>
      <c r="K40" s="2" t="inlineStr">
        <is>
          <t>Environments</t>
        </is>
      </c>
      <c r="L40" s="2" t="inlineStr">
        <is>
          <t>Environments</t>
        </is>
      </c>
      <c r="M40" s="2" t="inlineStr"/>
      <c r="N40" s="2" t="inlineStr">
        <is>
          <t>2076-3298</t>
        </is>
      </c>
      <c r="O40" s="2" t="inlineStr">
        <is>
          <t>已取得核验全文</t>
        </is>
      </c>
      <c r="P40" s="2" t="inlineStr">
        <is>
          <t>是</t>
        </is>
      </c>
      <c r="Q40" s="2" t="inlineStr">
        <is>
          <t>当前无补充材料原件；沿用既有缺失/无附件证据，不据此认定无附件</t>
        </is>
      </c>
      <c r="R40" s="2" t="n">
        <v>2024</v>
      </c>
      <c r="S40" s="2" t="inlineStr">
        <is>
          <t>2025发布版（2024指标年）</t>
        </is>
      </c>
      <c r="T40" s="2" t="inlineStr"/>
      <c r="U40" s="2" t="inlineStr"/>
      <c r="V40" s="2" t="inlineStr">
        <is>
          <t>待核实</t>
        </is>
      </c>
      <c r="W40" s="2" t="inlineStr">
        <is>
          <t>待核实</t>
        </is>
      </c>
      <c r="X40" s="2" t="inlineStr">
        <is>
          <t>否</t>
        </is>
      </c>
      <c r="Y40" s="2" t="inlineStr"/>
      <c r="Z40" s="2" t="inlineStr">
        <is>
          <t>https://api.crossref.org/works/10.3390/environments7080062</t>
        </is>
      </c>
      <c r="AA40" s="2" t="inlineStr">
        <is>
          <t>2024指标年JCR分区未核实；空白不能当非Q1。需要2025发布版/2024指标年的JCR全部学科导出。</t>
        </is>
      </c>
      <c r="AB40" s="2" t="inlineStr">
        <is>
          <t>original_files/R05638/fulltext/fulltext__published__2e07cb1c3931c0d4.pdf</t>
        </is>
      </c>
      <c r="AC40" s="2" t="inlineStr"/>
      <c r="AD40" s="2" t="inlineStr">
        <is>
          <t>https://github.com/Colliam-Vermilion/FirstCodex/blob/results/ad-oxygen-literature-20261006/results/ad-oxygen-literature-20261006/original_files/R05638/fulltext/fulltext__published__2e07cb1c3931c0d4.pdf</t>
        </is>
      </c>
    </row>
    <row r="41" ht="48" customHeight="1">
      <c r="A41" s="3" t="inlineStr">
        <is>
          <t>R05823</t>
        </is>
      </c>
      <c r="B41" s="3" t="inlineStr">
        <is>
          <t>Metagenome metabolic analysis revealing the mechanism of simultaneous methanogenesis, aerobic methane oxidation and denitrification ( SMAMOD ) in a microaerobic up‐flow sludge bed biofilm reactor</t>
        </is>
      </c>
      <c r="C41" s="3" t="inlineStr">
        <is>
          <t>2020</t>
        </is>
      </c>
      <c r="D41" s="3" t="inlineStr">
        <is>
          <t>2020</t>
        </is>
      </c>
      <c r="E41" s="3" t="inlineStr">
        <is>
          <t>10.1002/jctb.6410</t>
        </is>
      </c>
      <c r="F41" s="3" t="inlineStr">
        <is>
          <t>期刊文章</t>
        </is>
      </c>
      <c r="G41" s="3" t="inlineStr">
        <is>
          <t>1 直接向 AD 反应器或内部循环系统供氧</t>
        </is>
      </c>
      <c r="H41" s="3" t="inlineStr">
        <is>
          <t>是</t>
        </is>
      </c>
      <c r="I41" s="3" t="inlineStr">
        <is>
          <t>研究类</t>
        </is>
      </c>
      <c r="J41" s="3" t="inlineStr">
        <is>
          <t>是</t>
        </is>
      </c>
      <c r="K41" s="3" t="inlineStr">
        <is>
          <t>JOURNAL OF CHEMICAL TECHNOLOGY AND BIOTECHNOLOGY</t>
        </is>
      </c>
      <c r="L41" s="3" t="inlineStr">
        <is>
          <t>Journal of Chemical Technology &amp;amp; Biotechnology</t>
        </is>
      </c>
      <c r="M41" s="3" t="inlineStr">
        <is>
          <t>0268-2575</t>
        </is>
      </c>
      <c r="N41" s="3" t="inlineStr">
        <is>
          <t>1097-4660</t>
        </is>
      </c>
      <c r="O41" s="3" t="inlineStr">
        <is>
          <t>已取得核验全文</t>
        </is>
      </c>
      <c r="P41" s="3" t="inlineStr">
        <is>
          <t>是</t>
        </is>
      </c>
      <c r="Q41" s="3" t="inlineStr">
        <is>
          <t>当前无补充材料原件；沿用既有缺失/无附件证据，不据此认定无附件</t>
        </is>
      </c>
      <c r="R41" s="3" t="n">
        <v>2024</v>
      </c>
      <c r="S41" s="3" t="inlineStr">
        <is>
          <t>2025发布版（2024指标年）</t>
        </is>
      </c>
      <c r="T41" s="3" t="inlineStr">
        <is>
          <t>BIOTECHNOLOGY &amp; APPLIED MICROBIOLOGY; CHEMISTRY, MULTIDISCIPLINARY; ENGINEERING, CHEMICAL; ENGINEERING, ENVIRONMENTAL</t>
        </is>
      </c>
      <c r="U41" s="3" t="inlineStr">
        <is>
          <t>BIOTECHNOLOGY &amp; APPLIED MICROBIOLOGY: Q3; CHEMISTRY, MULTIDISCIPLINARY: Q3; ENGINEERING, CHEMICAL: Q3; ENGINEERING, ENVIRONMENTAL: Q3</t>
        </is>
      </c>
      <c r="V41" s="3" t="inlineStr">
        <is>
          <t>否</t>
        </is>
      </c>
      <c r="W41" s="3" t="inlineStr">
        <is>
          <t>否</t>
        </is>
      </c>
      <c r="X41" s="3" t="inlineStr">
        <is>
          <t>是</t>
        </is>
      </c>
      <c r="Y41" s="3" t="inlineStr">
        <is>
          <t>https://topj.lib.whu.edu.cn/show.asp?cat=zk&amp;id=7182</t>
        </is>
      </c>
      <c r="Z41" s="3" t="inlineStr">
        <is>
          <t>https://api.crossref.org/works/10.1002/jctb.6410</t>
        </is>
      </c>
      <c r="AA4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1" s="3" t="inlineStr">
        <is>
          <t>original_files/R05823/fulltext/fulltext__published__c6fa55a563376199.pdf</t>
        </is>
      </c>
      <c r="AC41" s="3" t="inlineStr"/>
      <c r="AD41" s="3" t="inlineStr">
        <is>
          <t>https://github.com/Colliam-Vermilion/FirstCodex/blob/results/ad-oxygen-literature-20261006/results/ad-oxygen-literature-20261006/original_files/R05823/fulltext/fulltext__published__c6fa55a563376199.pdf</t>
        </is>
      </c>
    </row>
    <row r="42" ht="48" customHeight="1">
      <c r="A42" s="2" t="inlineStr">
        <is>
          <t>R05839</t>
        </is>
      </c>
      <c r="B42" s="2" t="inlineStr">
        <is>
          <t>Micro-Oxygenation in Upflow Anaerobic Sludge Bed (UASB) Reactors Using a Silicon Membrane for Sulfide Oxidation</t>
        </is>
      </c>
      <c r="C42" s="2" t="inlineStr">
        <is>
          <t>2020</t>
        </is>
      </c>
      <c r="D42" s="2" t="inlineStr">
        <is>
          <t>2020</t>
        </is>
      </c>
      <c r="E42" s="2" t="inlineStr">
        <is>
          <t>10.3390/polym12091990</t>
        </is>
      </c>
      <c r="F42" s="2" t="inlineStr">
        <is>
          <t>期刊文章</t>
        </is>
      </c>
      <c r="G42" s="2" t="inlineStr">
        <is>
          <t>1 直接向 AD 反应器或内部循环系统供氧</t>
        </is>
      </c>
      <c r="H42" s="2" t="inlineStr">
        <is>
          <t>是</t>
        </is>
      </c>
      <c r="I42" s="2" t="inlineStr">
        <is>
          <t>研究类</t>
        </is>
      </c>
      <c r="J42" s="2" t="inlineStr">
        <is>
          <t>是</t>
        </is>
      </c>
      <c r="K42" s="2" t="inlineStr">
        <is>
          <t>Polymers</t>
        </is>
      </c>
      <c r="L42" s="2" t="inlineStr">
        <is>
          <t>Polymers</t>
        </is>
      </c>
      <c r="M42" s="2" t="inlineStr"/>
      <c r="N42" s="2" t="inlineStr">
        <is>
          <t>2073-4360</t>
        </is>
      </c>
      <c r="O42" s="2" t="inlineStr">
        <is>
          <t>已取得核验全文</t>
        </is>
      </c>
      <c r="P42" s="2" t="inlineStr">
        <is>
          <t>是</t>
        </is>
      </c>
      <c r="Q42" s="2" t="inlineStr">
        <is>
          <t>当前无补充材料原件；沿用既有缺失/无附件证据，不据此认定无附件</t>
        </is>
      </c>
      <c r="R42" s="2" t="n">
        <v>2024</v>
      </c>
      <c r="S42" s="2" t="inlineStr">
        <is>
          <t>2025发布版（2024指标年）</t>
        </is>
      </c>
      <c r="T42" s="2" t="inlineStr"/>
      <c r="U42" s="2" t="inlineStr"/>
      <c r="V42" s="2" t="inlineStr">
        <is>
          <t>待核实</t>
        </is>
      </c>
      <c r="W42" s="2" t="inlineStr">
        <is>
          <t>待核实</t>
        </is>
      </c>
      <c r="X42" s="2" t="inlineStr">
        <is>
          <t>否</t>
        </is>
      </c>
      <c r="Y42" s="2" t="inlineStr"/>
      <c r="Z42" s="2" t="inlineStr">
        <is>
          <t>https://api.crossref.org/works/10.3390/polym12091990</t>
        </is>
      </c>
      <c r="AA42" s="2" t="inlineStr">
        <is>
          <t>2024指标年JCR分区未核实；空白不能当非Q1。需要2025发布版/2024指标年的JCR全部学科导出。</t>
        </is>
      </c>
      <c r="AB42" s="2" t="inlineStr">
        <is>
          <t>original_files/R05839/fulltext/fulltext__published__c5e85aec12eac240.pdf</t>
        </is>
      </c>
      <c r="AC42" s="2" t="inlineStr"/>
      <c r="AD42" s="2" t="inlineStr">
        <is>
          <t>https://github.com/Colliam-Vermilion/FirstCodex/blob/results/ad-oxygen-literature-20261006/results/ad-oxygen-literature-20261006/original_files/R05839/fulltext/fulltext__published__c5e85aec12eac240.pdf</t>
        </is>
      </c>
    </row>
    <row r="43" ht="48" customHeight="1">
      <c r="A43" s="3" t="inlineStr">
        <is>
          <t>R06092</t>
        </is>
      </c>
      <c r="B43" s="3" t="inlineStr">
        <is>
          <t>Simultaneous H2S mitigation and methanization enhancement of chicken manure through the introduction of the micro-aeration approach</t>
        </is>
      </c>
      <c r="C43" s="3" t="inlineStr">
        <is>
          <t>2020</t>
        </is>
      </c>
      <c r="D43" s="3" t="inlineStr">
        <is>
          <t>2020</t>
        </is>
      </c>
      <c r="E43" s="3" t="inlineStr">
        <is>
          <t>10.1016/j.chemosphere.2020.126687</t>
        </is>
      </c>
      <c r="F43" s="3" t="inlineStr">
        <is>
          <t>期刊文章</t>
        </is>
      </c>
      <c r="G43" s="3" t="inlineStr">
        <is>
          <t>1 直接向 AD 反应器或内部循环系统供氧</t>
        </is>
      </c>
      <c r="H43" s="3" t="inlineStr">
        <is>
          <t>是</t>
        </is>
      </c>
      <c r="I43" s="3" t="inlineStr">
        <is>
          <t>研究类</t>
        </is>
      </c>
      <c r="J43" s="3" t="inlineStr">
        <is>
          <t>是</t>
        </is>
      </c>
      <c r="K43" s="3" t="inlineStr">
        <is>
          <t>Chemosphere</t>
        </is>
      </c>
      <c r="L43" s="3" t="inlineStr">
        <is>
          <t>Chemosphere</t>
        </is>
      </c>
      <c r="M43" s="3" t="inlineStr">
        <is>
          <t>0045-6535</t>
        </is>
      </c>
      <c r="N43" s="3" t="inlineStr"/>
      <c r="O43" s="3" t="inlineStr">
        <is>
          <t>已取得核验全文</t>
        </is>
      </c>
      <c r="P43" s="3" t="inlineStr">
        <is>
          <t>是</t>
        </is>
      </c>
      <c r="Q43" s="3" t="inlineStr">
        <is>
          <t>已取得1件原格式补充材料；其中1件唯一关联待核实；完整性未确认</t>
        </is>
      </c>
      <c r="R43" s="3" t="n">
        <v>2024</v>
      </c>
      <c r="S43" s="3" t="inlineStr">
        <is>
          <t>2025发布版（2024指标年）</t>
        </is>
      </c>
      <c r="T43" s="3" t="inlineStr"/>
      <c r="U43" s="3" t="inlineStr"/>
      <c r="V43" s="3" t="inlineStr">
        <is>
          <t>待核实</t>
        </is>
      </c>
      <c r="W43" s="3" t="inlineStr">
        <is>
          <t>待核实</t>
        </is>
      </c>
      <c r="X43" s="3" t="inlineStr">
        <is>
          <t>否</t>
        </is>
      </c>
      <c r="Y43" s="3" t="inlineStr"/>
      <c r="Z43" s="3" t="inlineStr">
        <is>
          <t>https://api.crossref.org/works/10.1016/j.chemosphere.2020.126687</t>
        </is>
      </c>
      <c r="AA43" s="3" t="inlineStr">
        <is>
          <t>2024指标年JCR分区未核实；空白不能当非Q1。需要2025发布版/2024指标年的JCR全部学科导出。</t>
        </is>
      </c>
      <c r="AB43" s="3" t="inlineStr">
        <is>
          <t>original_files/R06092/fulltext/fulltext__published__5716062113242d9a.pdf</t>
        </is>
      </c>
      <c r="AC43" s="3" t="inlineStr">
        <is>
          <t>original_files/R06092/supplementary/supplementary__c368ee1db41c7a5d.docx</t>
        </is>
      </c>
      <c r="AD43" s="3" t="inlineStr">
        <is>
          <t>https://github.com/Colliam-Vermilion/FirstCodex/blob/results/ad-oxygen-literature-20261006/results/ad-oxygen-literature-20261006/original_files/R06092/fulltext/fulltext__published__5716062113242d9a.pdf</t>
        </is>
      </c>
    </row>
    <row r="44" ht="48" customHeight="1">
      <c r="A44" s="2" t="inlineStr">
        <is>
          <t>R06117</t>
        </is>
      </c>
      <c r="B44" s="2" t="inlineStr">
        <is>
          <t>Study of Gas Production by Anaerobic Fermentation and Microbial Community Changes by In-Situ Microaerobic Desulphurization</t>
        </is>
      </c>
      <c r="C44" s="2" t="inlineStr">
        <is>
          <t>2020</t>
        </is>
      </c>
      <c r="D44" s="2" t="inlineStr">
        <is>
          <t>2020</t>
        </is>
      </c>
      <c r="E44" s="2" t="inlineStr">
        <is>
          <t>10.1166/jbmb.2020.1992517</t>
        </is>
      </c>
      <c r="F44" s="2" t="inlineStr">
        <is>
          <t>期刊文章</t>
        </is>
      </c>
      <c r="G44" s="2" t="inlineStr">
        <is>
          <t>1 直接向 AD 反应器或内部循环系统供氧</t>
        </is>
      </c>
      <c r="H44" s="2" t="inlineStr">
        <is>
          <t>是</t>
        </is>
      </c>
      <c r="I44" s="2" t="inlineStr">
        <is>
          <t>研究类</t>
        </is>
      </c>
      <c r="J44" s="2" t="inlineStr">
        <is>
          <t>是</t>
        </is>
      </c>
      <c r="K44" s="2" t="inlineStr">
        <is>
          <t>Journal of Biobased Materials and Bioenergy</t>
        </is>
      </c>
      <c r="L44" s="2" t="inlineStr">
        <is>
          <t>Journal of Biobased Materials and Bioenergy</t>
        </is>
      </c>
      <c r="M44" s="2" t="inlineStr">
        <is>
          <t>1556-6560</t>
        </is>
      </c>
      <c r="N44" s="2" t="inlineStr"/>
      <c r="O44" s="2" t="inlineStr">
        <is>
          <t>未取得全文</t>
        </is>
      </c>
      <c r="P44" s="2" t="inlineStr">
        <is>
          <t>否</t>
        </is>
      </c>
      <c r="Q44" s="2" t="inlineStr">
        <is>
          <t>当前无补充材料原件；沿用既有缺失/无附件证据，不据此认定无附件</t>
        </is>
      </c>
      <c r="R44" s="2" t="n">
        <v>2024</v>
      </c>
      <c r="S44" s="2" t="inlineStr">
        <is>
          <t>2025发布版（2024指标年）</t>
        </is>
      </c>
      <c r="T44" s="2" t="inlineStr"/>
      <c r="U44" s="2" t="inlineStr"/>
      <c r="V44" s="2" t="inlineStr">
        <is>
          <t>待核实</t>
        </is>
      </c>
      <c r="W44" s="2" t="inlineStr">
        <is>
          <t>待核实</t>
        </is>
      </c>
      <c r="X44" s="2" t="inlineStr">
        <is>
          <t>否</t>
        </is>
      </c>
      <c r="Y44" s="2" t="inlineStr"/>
      <c r="Z44" s="2" t="inlineStr">
        <is>
          <t>https://api.crossref.org/works/10.1166/jbmb.2020.1992517</t>
        </is>
      </c>
      <c r="AA44" s="2" t="inlineStr">
        <is>
          <t>2024指标年JCR分区未核实；空白不能当非Q1。需要2025发布版/2024指标年的JCR全部学科导出。</t>
        </is>
      </c>
      <c r="AB44" s="2" t="inlineStr"/>
      <c r="AC44" s="2" t="inlineStr"/>
      <c r="AD44" s="2" t="inlineStr"/>
    </row>
    <row r="45" ht="48" customHeight="1">
      <c r="A45" s="3" t="inlineStr">
        <is>
          <t>R06152</t>
        </is>
      </c>
      <c r="B45" s="3" t="inlineStr">
        <is>
          <t>The Influence of Zeolite Addition into Anaerobic Vinasse Treatment Process in Microaerated Batch Reactor</t>
        </is>
      </c>
      <c r="C45" s="3" t="inlineStr">
        <is>
          <t>2020</t>
        </is>
      </c>
      <c r="D45" s="3" t="inlineStr">
        <is>
          <t>2020</t>
        </is>
      </c>
      <c r="E45" s="3" t="inlineStr">
        <is>
          <t>10.31001/jkireka.v1i1.10</t>
        </is>
      </c>
      <c r="F45" s="3" t="inlineStr">
        <is>
          <t>期刊文章</t>
        </is>
      </c>
      <c r="G45" s="3" t="inlineStr">
        <is>
          <t>1 直接向 AD 反应器或内部循环系统供氧</t>
        </is>
      </c>
      <c r="H45" s="3" t="inlineStr">
        <is>
          <t>是</t>
        </is>
      </c>
      <c r="I45" s="3" t="inlineStr">
        <is>
          <t>研究类</t>
        </is>
      </c>
      <c r="J45" s="3" t="inlineStr">
        <is>
          <t>是</t>
        </is>
      </c>
      <c r="K45" s="3" t="inlineStr">
        <is>
          <t>Jurnal Kimia dan Rekayasa</t>
        </is>
      </c>
      <c r="L45" s="3" t="inlineStr">
        <is>
          <t>Jurnal Kimia dan Rekayasa</t>
        </is>
      </c>
      <c r="M45" s="3" t="inlineStr">
        <is>
          <t>2747-2841</t>
        </is>
      </c>
      <c r="N45" s="3" t="inlineStr">
        <is>
          <t>2746-0886</t>
        </is>
      </c>
      <c r="O45" s="3" t="inlineStr">
        <is>
          <t>已取得核验全文</t>
        </is>
      </c>
      <c r="P45" s="3" t="inlineStr">
        <is>
          <t>是</t>
        </is>
      </c>
      <c r="Q45" s="3" t="inlineStr">
        <is>
          <t>当前无补充材料原件；沿用既有缺失/无附件证据，不据此认定无附件</t>
        </is>
      </c>
      <c r="R45" s="3" t="n">
        <v>2024</v>
      </c>
      <c r="S45" s="3" t="inlineStr">
        <is>
          <t>2025发布版（2024指标年）</t>
        </is>
      </c>
      <c r="T45" s="3" t="inlineStr"/>
      <c r="U45" s="3" t="inlineStr"/>
      <c r="V45" s="3" t="inlineStr">
        <is>
          <t>待核实</t>
        </is>
      </c>
      <c r="W45" s="3" t="inlineStr">
        <is>
          <t>待核实</t>
        </is>
      </c>
      <c r="X45" s="3" t="inlineStr">
        <is>
          <t>否</t>
        </is>
      </c>
      <c r="Y45" s="3" t="inlineStr"/>
      <c r="Z45" s="3" t="inlineStr">
        <is>
          <t>https://api.crossref.org/works/10.31001/jkireka.v1i1.10</t>
        </is>
      </c>
      <c r="AA45" s="3" t="inlineStr">
        <is>
          <t>2024指标年JCR分区未核实；空白不能当非Q1。需要2025发布版/2024指标年的JCR全部学科导出。</t>
        </is>
      </c>
      <c r="AB45" s="3" t="inlineStr">
        <is>
          <t>original_files/R06152/fulltext/fulltext__published__f0955d9cdc458c31.pdf</t>
        </is>
      </c>
      <c r="AC45" s="3" t="inlineStr"/>
      <c r="AD45" s="3" t="inlineStr">
        <is>
          <t>https://github.com/Colliam-Vermilion/FirstCodex/blob/results/ad-oxygen-literature-20261006/results/ad-oxygen-literature-20261006/original_files/R06152/fulltext/fulltext__published__f0955d9cdc458c31.pdf</t>
        </is>
      </c>
    </row>
    <row r="46" ht="48" customHeight="1">
      <c r="A46" s="2" t="inlineStr">
        <is>
          <t>R06227</t>
        </is>
      </c>
      <c r="B46" s="2" t="inlineStr">
        <is>
          <t>Using air instead of biogas for mixing and its effect on anaerobic digestion of animal wastewater with high suspended solids</t>
        </is>
      </c>
      <c r="C46" s="2" t="inlineStr">
        <is>
          <t>2020</t>
        </is>
      </c>
      <c r="D46" s="2" t="inlineStr">
        <is>
          <t>2020</t>
        </is>
      </c>
      <c r="E46" s="2" t="inlineStr">
        <is>
          <t>10.1016/j.biortech.2020.124047</t>
        </is>
      </c>
      <c r="F46" s="2" t="inlineStr">
        <is>
          <t>期刊文章</t>
        </is>
      </c>
      <c r="G46" s="2" t="inlineStr">
        <is>
          <t>1 直接向 AD 反应器或内部循环系统供氧</t>
        </is>
      </c>
      <c r="H46" s="2" t="inlineStr">
        <is>
          <t>是</t>
        </is>
      </c>
      <c r="I46" s="2" t="inlineStr">
        <is>
          <t>研究类</t>
        </is>
      </c>
      <c r="J46" s="2" t="inlineStr">
        <is>
          <t>是</t>
        </is>
      </c>
      <c r="K46" s="2" t="inlineStr">
        <is>
          <t>BIORESOURCE TECHNOLOGY</t>
        </is>
      </c>
      <c r="L46" s="2" t="inlineStr">
        <is>
          <t>Bioresource Technology</t>
        </is>
      </c>
      <c r="M46" s="2" t="inlineStr">
        <is>
          <t>0960-8524</t>
        </is>
      </c>
      <c r="N46" s="2" t="inlineStr"/>
      <c r="O46" s="2" t="inlineStr">
        <is>
          <t>已取得核验全文</t>
        </is>
      </c>
      <c r="P46" s="2" t="inlineStr">
        <is>
          <t>是</t>
        </is>
      </c>
      <c r="Q46" s="2" t="inlineStr">
        <is>
          <t>已取得1件原格式补充材料；其中0件唯一关联待核实；完整性未确认</t>
        </is>
      </c>
      <c r="R46" s="2" t="n">
        <v>2024</v>
      </c>
      <c r="S46" s="2" t="inlineStr">
        <is>
          <t>2025发布版（2024指标年）</t>
        </is>
      </c>
      <c r="T46" s="2" t="inlineStr">
        <is>
          <t>AGRICULTURAL ENGINEERING; BIOTECHNOLOGY &amp; APPLIED MICROBIOLOGY; ENERGY &amp; FUELS</t>
        </is>
      </c>
      <c r="U46" s="2" t="inlineStr">
        <is>
          <t>AGRICULTURAL ENGINEERING: Q1; BIOTECHNOLOGY &amp; APPLIED MICROBIOLOGY: Q1; ENERGY &amp; FUELS: Q1</t>
        </is>
      </c>
      <c r="V46" s="4" t="inlineStr">
        <is>
          <t>是</t>
        </is>
      </c>
      <c r="W46" s="4" t="inlineStr">
        <is>
          <t>是</t>
        </is>
      </c>
      <c r="X46" s="2" t="inlineStr">
        <is>
          <t>是</t>
        </is>
      </c>
      <c r="Y46" s="2" t="inlineStr">
        <is>
          <t>https://topj.lib.whu.edu.cn/show.asp?cat=zk&amp;id=3976</t>
        </is>
      </c>
      <c r="Z46" s="2" t="inlineStr">
        <is>
          <t>https://api.crossref.org/works/10.1016/j.biortech.2020.124047</t>
        </is>
      </c>
      <c r="AA4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" s="2" t="inlineStr">
        <is>
          <t>original_files/R06227/fulltext/fulltext__published__d44e962b4032daef.pdf</t>
        </is>
      </c>
      <c r="AC46" s="2" t="inlineStr">
        <is>
          <t>original_files/R06227/supplementary/supplementary__f443ac43d63f83b2.docx</t>
        </is>
      </c>
      <c r="AD46" s="2" t="inlineStr">
        <is>
          <t>https://github.com/Colliam-Vermilion/FirstCodex/blob/results/ad-oxygen-literature-20261006/results/ad-oxygen-literature-20261006/original_files/R06227/fulltext/fulltext__published__d44e962b4032daef.pdf</t>
        </is>
      </c>
    </row>
    <row r="47" ht="48" customHeight="1">
      <c r="A47" s="3" t="inlineStr">
        <is>
          <t>R06587</t>
        </is>
      </c>
      <c r="B47" s="3" t="inlineStr">
        <is>
          <t>Effect of Propane Addition and Oxygen Enrichment on the Flame Characteristics of Biogas</t>
        </is>
      </c>
      <c r="C47" s="3" t="inlineStr">
        <is>
          <t>2021</t>
        </is>
      </c>
      <c r="D47" s="3" t="inlineStr">
        <is>
          <t>2021</t>
        </is>
      </c>
      <c r="E47" s="3" t="inlineStr">
        <is>
          <t>10.1021/acs.energyfuels.1c00113</t>
        </is>
      </c>
      <c r="F47" s="3" t="inlineStr">
        <is>
          <t>期刊文章</t>
        </is>
      </c>
      <c r="G47" s="3" t="inlineStr">
        <is>
          <t>1 直接向 AD 反应器或内部循环系统供氧</t>
        </is>
      </c>
      <c r="H47" s="3" t="inlineStr">
        <is>
          <t>是</t>
        </is>
      </c>
      <c r="I47" s="3" t="inlineStr">
        <is>
          <t>研究类</t>
        </is>
      </c>
      <c r="J47" s="3" t="inlineStr">
        <is>
          <t>是</t>
        </is>
      </c>
      <c r="K47" s="3" t="inlineStr">
        <is>
          <t>ENERGY &amp; FUELS</t>
        </is>
      </c>
      <c r="L47" s="3" t="inlineStr">
        <is>
          <t>Energy &amp;amp; Fuels</t>
        </is>
      </c>
      <c r="M47" s="3" t="inlineStr">
        <is>
          <t>0887-0624</t>
        </is>
      </c>
      <c r="N47" s="3" t="inlineStr">
        <is>
          <t>1520-5029</t>
        </is>
      </c>
      <c r="O47" s="3" t="inlineStr">
        <is>
          <t>已取得核验全文</t>
        </is>
      </c>
      <c r="P47" s="3" t="inlineStr">
        <is>
          <t>是</t>
        </is>
      </c>
      <c r="Q47" s="3" t="inlineStr">
        <is>
          <t>已取得1件原格式补充材料；其中0件唯一关联待核实；完整性未确认</t>
        </is>
      </c>
      <c r="R47" s="3" t="n">
        <v>2024</v>
      </c>
      <c r="S47" s="3" t="inlineStr">
        <is>
          <t>2025发布版（2024指标年）</t>
        </is>
      </c>
      <c r="T47" s="3" t="inlineStr">
        <is>
          <t>ENERGY &amp; FUELS; ENGINEERING, CHEMICAL</t>
        </is>
      </c>
      <c r="U47" s="3" t="inlineStr">
        <is>
          <t>ENERGY &amp; FUELS: Q2; ENGINEERING, CHEMICAL: Q1</t>
        </is>
      </c>
      <c r="V47" s="4" t="inlineStr">
        <is>
          <t>是</t>
        </is>
      </c>
      <c r="W47" s="3" t="inlineStr">
        <is>
          <t>否</t>
        </is>
      </c>
      <c r="X47" s="3" t="inlineStr">
        <is>
          <t>是</t>
        </is>
      </c>
      <c r="Y47" s="3" t="inlineStr">
        <is>
          <t>https://topj.lib.whu.edu.cn/show.asp?cat=zk&amp;id=5342</t>
        </is>
      </c>
      <c r="Z47" s="3" t="inlineStr">
        <is>
          <t>https://api.crossref.org/works/10.1021/acs.energyfuels.1c00113</t>
        </is>
      </c>
      <c r="AA4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7" s="3" t="inlineStr">
        <is>
          <t>original_files/R06587/fulltext/fulltext__published__0fae8acee7bf4f46.pdf</t>
        </is>
      </c>
      <c r="AC47" s="3" t="inlineStr">
        <is>
          <t>original_files/R06587/supplementary/supplementary__9f958573a8dc365c.pdf</t>
        </is>
      </c>
      <c r="AD47" s="3" t="inlineStr">
        <is>
          <t>https://github.com/Colliam-Vermilion/FirstCodex/blob/results/ad-oxygen-literature-20261006/results/ad-oxygen-literature-20261006/original_files/R06587/fulltext/fulltext__published__0fae8acee7bf4f46.pdf</t>
        </is>
      </c>
    </row>
    <row r="48" ht="48" customHeight="1">
      <c r="A48" s="2" t="inlineStr">
        <is>
          <t>R06588</t>
        </is>
      </c>
      <c r="B48" s="2" t="inlineStr">
        <is>
          <t>Effect of Rotten Butter Shock Load on Anaerobic Digestion of Chicken Manure</t>
        </is>
      </c>
      <c r="C48" s="2" t="inlineStr">
        <is>
          <t>2021</t>
        </is>
      </c>
      <c r="D48" s="2" t="inlineStr">
        <is>
          <t>2021</t>
        </is>
      </c>
      <c r="E48" s="2" t="inlineStr">
        <is>
          <t>10.22146/agritech.56792</t>
        </is>
      </c>
      <c r="F48" s="2" t="inlineStr">
        <is>
          <t>期刊文章</t>
        </is>
      </c>
      <c r="G48" s="2" t="inlineStr">
        <is>
          <t>1 直接向 AD 反应器或内部循环系统供氧</t>
        </is>
      </c>
      <c r="H48" s="2" t="inlineStr">
        <is>
          <t>是</t>
        </is>
      </c>
      <c r="I48" s="2" t="inlineStr">
        <is>
          <t>研究类</t>
        </is>
      </c>
      <c r="J48" s="2" t="inlineStr">
        <is>
          <t>是</t>
        </is>
      </c>
      <c r="K48" s="2" t="inlineStr">
        <is>
          <t>agriTECH</t>
        </is>
      </c>
      <c r="L48" s="2" t="inlineStr">
        <is>
          <t>agriTECH</t>
        </is>
      </c>
      <c r="M48" s="2" t="inlineStr">
        <is>
          <t>0216-0455</t>
        </is>
      </c>
      <c r="N48" s="2" t="inlineStr">
        <is>
          <t>2527-3825</t>
        </is>
      </c>
      <c r="O48" s="2" t="inlineStr">
        <is>
          <t>已取得核验全文</t>
        </is>
      </c>
      <c r="P48" s="2" t="inlineStr">
        <is>
          <t>是</t>
        </is>
      </c>
      <c r="Q48" s="2" t="inlineStr">
        <is>
          <t>当前无补充材料原件；沿用既有缺失/无附件证据，不据此认定无附件</t>
        </is>
      </c>
      <c r="R48" s="2" t="n">
        <v>2024</v>
      </c>
      <c r="S48" s="2" t="inlineStr">
        <is>
          <t>2025发布版（2024指标年）</t>
        </is>
      </c>
      <c r="T48" s="2" t="inlineStr"/>
      <c r="U48" s="2" t="inlineStr"/>
      <c r="V48" s="2" t="inlineStr">
        <is>
          <t>待核实</t>
        </is>
      </c>
      <c r="W48" s="2" t="inlineStr">
        <is>
          <t>待核实</t>
        </is>
      </c>
      <c r="X48" s="2" t="inlineStr">
        <is>
          <t>否</t>
        </is>
      </c>
      <c r="Y48" s="2" t="inlineStr"/>
      <c r="Z48" s="2" t="inlineStr">
        <is>
          <t>https://api.crossref.org/works/10.22146/agritech.56792</t>
        </is>
      </c>
      <c r="AA48" s="2" t="inlineStr">
        <is>
          <t>2024指标年JCR分区未核实；空白不能当非Q1。需要2025发布版/2024指标年的JCR全部学科导出。</t>
        </is>
      </c>
      <c r="AB48" s="2" t="inlineStr">
        <is>
          <t>original_files/R06588/fulltext/fulltext__published__a69e903d7886bcd0.pdf</t>
        </is>
      </c>
      <c r="AC48" s="2" t="inlineStr"/>
      <c r="AD48" s="2" t="inlineStr">
        <is>
          <t>https://github.com/Colliam-Vermilion/FirstCodex/blob/results/ad-oxygen-literature-20261006/results/ad-oxygen-literature-20261006/original_files/R06588/fulltext/fulltext__published__a69e903d7886bcd0.pdf</t>
        </is>
      </c>
    </row>
    <row r="49" ht="48" customHeight="1">
      <c r="A49" s="3" t="inlineStr">
        <is>
          <t>R06626</t>
        </is>
      </c>
      <c r="B49" s="3" t="inlineStr">
        <is>
          <t>Effects of micro-aeration on microbial niches and antimicrobial resistances in blackwater anaerobic digesters</t>
        </is>
      </c>
      <c r="C49" s="3" t="inlineStr">
        <is>
          <t>2021</t>
        </is>
      </c>
      <c r="D49" s="3" t="inlineStr">
        <is>
          <t>2021</t>
        </is>
      </c>
      <c r="E49" s="3" t="inlineStr">
        <is>
          <t>10.1016/j.watres.2021.117035</t>
        </is>
      </c>
      <c r="F49" s="3" t="inlineStr">
        <is>
          <t>期刊文章</t>
        </is>
      </c>
      <c r="G49" s="3" t="inlineStr">
        <is>
          <t>1 直接向 AD 反应器或内部循环系统供氧</t>
        </is>
      </c>
      <c r="H49" s="3" t="inlineStr">
        <is>
          <t>是</t>
        </is>
      </c>
      <c r="I49" s="3" t="inlineStr">
        <is>
          <t>研究类</t>
        </is>
      </c>
      <c r="J49" s="3" t="inlineStr">
        <is>
          <t>是</t>
        </is>
      </c>
      <c r="K49" s="3" t="inlineStr">
        <is>
          <t>WATER RESEARCH</t>
        </is>
      </c>
      <c r="L49" s="3" t="inlineStr">
        <is>
          <t>Water Research</t>
        </is>
      </c>
      <c r="M49" s="3" t="inlineStr">
        <is>
          <t>0043-1354</t>
        </is>
      </c>
      <c r="N49" s="3" t="inlineStr"/>
      <c r="O49" s="3" t="inlineStr">
        <is>
          <t>已取得核验全文</t>
        </is>
      </c>
      <c r="P49" s="3" t="inlineStr">
        <is>
          <t>是</t>
        </is>
      </c>
      <c r="Q49" s="3" t="inlineStr">
        <is>
          <t>已取得1件原格式补充材料；其中0件唯一关联待核实；完整性未确认</t>
        </is>
      </c>
      <c r="R49" s="3" t="n">
        <v>2024</v>
      </c>
      <c r="S49" s="3" t="inlineStr">
        <is>
          <t>2025发布版（2024指标年）</t>
        </is>
      </c>
      <c r="T49" s="3" t="inlineStr">
        <is>
          <t>WATER RESOURCES; ENGINEERING, ENVIRONMENTAL; ENVIRONMENTAL SCIENCES</t>
        </is>
      </c>
      <c r="U49" s="3" t="inlineStr">
        <is>
          <t>WATER RESOURCES: Q1; ENGINEERING, ENVIRONMENTAL: Q1; ENVIRONMENTAL SCIENCES: Q1</t>
        </is>
      </c>
      <c r="V49" s="4" t="inlineStr">
        <is>
          <t>是</t>
        </is>
      </c>
      <c r="W49" s="4" t="inlineStr">
        <is>
          <t>是</t>
        </is>
      </c>
      <c r="X49" s="3" t="inlineStr">
        <is>
          <t>是</t>
        </is>
      </c>
      <c r="Y49" s="3" t="inlineStr">
        <is>
          <t>https://topj.lib.whu.edu.cn/show.asp?cat=zk&amp;id=3962</t>
        </is>
      </c>
      <c r="Z49" s="3" t="inlineStr">
        <is>
          <t>https://api.crossref.org/works/10.1016/j.watres.2021.117035</t>
        </is>
      </c>
      <c r="AA4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9" s="3" t="inlineStr">
        <is>
          <t>original_files/R06626/fulltext/fulltext__published__3cbb8b7c1720fcfa.pdf</t>
        </is>
      </c>
      <c r="AC49" s="3" t="inlineStr">
        <is>
          <t>original_files/R06626/supplementary/supplementary__ca0646d8057c0581.docx</t>
        </is>
      </c>
      <c r="AD49" s="3" t="inlineStr">
        <is>
          <t>https://github.com/Colliam-Vermilion/FirstCodex/blob/results/ad-oxygen-literature-20261006/results/ad-oxygen-literature-20261006/original_files/R06626/fulltext/fulltext__published__3cbb8b7c1720fcfa.pdf</t>
        </is>
      </c>
    </row>
    <row r="50" ht="48" customHeight="1">
      <c r="A50" s="2" t="inlineStr">
        <is>
          <t>R06665</t>
        </is>
      </c>
      <c r="B50" s="2" t="inlineStr">
        <is>
          <t>Enhanced energy recovery via separate hydrogen and methane production from two-stage anaerobic digestion of food waste with nanobubble water supplementation</t>
        </is>
      </c>
      <c r="C50" s="2" t="inlineStr">
        <is>
          <t>2021</t>
        </is>
      </c>
      <c r="D50" s="2" t="inlineStr">
        <is>
          <t>2021</t>
        </is>
      </c>
      <c r="E50" s="2" t="inlineStr">
        <is>
          <t>10.1016/j.scitotenv.2020.143234</t>
        </is>
      </c>
      <c r="F50" s="2" t="inlineStr">
        <is>
          <t>期刊文章</t>
        </is>
      </c>
      <c r="G50" s="2" t="inlineStr">
        <is>
          <t>1 直接向 AD 反应器或内部循环系统供氧</t>
        </is>
      </c>
      <c r="H50" s="2" t="inlineStr">
        <is>
          <t>是</t>
        </is>
      </c>
      <c r="I50" s="2" t="inlineStr">
        <is>
          <t>研究类</t>
        </is>
      </c>
      <c r="J50" s="2" t="inlineStr">
        <is>
          <t>是</t>
        </is>
      </c>
      <c r="K50" s="2" t="inlineStr">
        <is>
          <t>Science of The Total Environment</t>
        </is>
      </c>
      <c r="L50" s="2" t="inlineStr">
        <is>
          <t>Science of The Total Environment</t>
        </is>
      </c>
      <c r="M50" s="2" t="inlineStr">
        <is>
          <t>0048-9697</t>
        </is>
      </c>
      <c r="N50" s="2" t="inlineStr"/>
      <c r="O50" s="2" t="inlineStr">
        <is>
          <t>已取得核验全文</t>
        </is>
      </c>
      <c r="P50" s="2" t="inlineStr">
        <is>
          <t>是</t>
        </is>
      </c>
      <c r="Q50" s="2" t="inlineStr">
        <is>
          <t>当前无补充材料原件；沿用既有缺失/无附件证据，不据此认定无附件</t>
        </is>
      </c>
      <c r="R50" s="2" t="n">
        <v>2024</v>
      </c>
      <c r="S50" s="2" t="inlineStr">
        <is>
          <t>2025发布版（2024指标年）</t>
        </is>
      </c>
      <c r="T50" s="2" t="inlineStr">
        <is>
          <t>ENVIRONMENTAL SCIENCES</t>
        </is>
      </c>
      <c r="U50" s="2" t="inlineStr">
        <is>
          <t>ENVIRONMENTAL SCIENCES: Q1</t>
        </is>
      </c>
      <c r="V50" s="4" t="inlineStr">
        <is>
          <t>是</t>
        </is>
      </c>
      <c r="W50" s="4" t="inlineStr">
        <is>
          <t>是</t>
        </is>
      </c>
      <c r="X50" s="2" t="inlineStr">
        <is>
          <t>是</t>
        </is>
      </c>
      <c r="Y50" s="2" t="inlineStr">
        <is>
          <t>https://topj.lib.whu.edu.cn/show.asp?cat=zk&amp;id=4001</t>
        </is>
      </c>
      <c r="Z50" s="2" t="inlineStr">
        <is>
          <t>https://api.crossref.org/works/10.1016/j.scitotenv.2020.143234</t>
        </is>
      </c>
      <c r="AA5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0" s="2" t="inlineStr">
        <is>
          <t>original_files/R06665/fulltext/fulltext__published__cbeea238c1a5bcb3.pdf</t>
        </is>
      </c>
      <c r="AC50" s="2" t="inlineStr"/>
      <c r="AD50" s="2" t="inlineStr">
        <is>
          <t>https://github.com/Colliam-Vermilion/FirstCodex/blob/results/ad-oxygen-literature-20261006/results/ad-oxygen-literature-20261006/original_files/R06665/fulltext/fulltext__published__cbeea238c1a5bcb3.pdf</t>
        </is>
      </c>
    </row>
    <row r="51" ht="48" customHeight="1">
      <c r="A51" s="3" t="inlineStr">
        <is>
          <t>R06833</t>
        </is>
      </c>
      <c r="B51" s="3" t="inlineStr">
        <is>
          <t>Intermittent air mixing system for anaerobic digestion of animal wastewater: Operating conditions and full-scale validation</t>
        </is>
      </c>
      <c r="C51" s="3" t="inlineStr">
        <is>
          <t>2021</t>
        </is>
      </c>
      <c r="D51" s="3" t="inlineStr">
        <is>
          <t>2021</t>
        </is>
      </c>
      <c r="E51" s="3" t="inlineStr">
        <is>
          <t>10.1016/j.biortech.2021.125304</t>
        </is>
      </c>
      <c r="F51" s="3" t="inlineStr">
        <is>
          <t>期刊文章</t>
        </is>
      </c>
      <c r="G51" s="3" t="inlineStr">
        <is>
          <t>1 直接向 AD 反应器或内部循环系统供氧</t>
        </is>
      </c>
      <c r="H51" s="3" t="inlineStr">
        <is>
          <t>是</t>
        </is>
      </c>
      <c r="I51" s="3" t="inlineStr">
        <is>
          <t>研究类</t>
        </is>
      </c>
      <c r="J51" s="3" t="inlineStr">
        <is>
          <t>是</t>
        </is>
      </c>
      <c r="K51" s="3" t="inlineStr">
        <is>
          <t>BIORESOURCE TECHNOLOGY</t>
        </is>
      </c>
      <c r="L51" s="3" t="inlineStr">
        <is>
          <t>Bioresource Technology</t>
        </is>
      </c>
      <c r="M51" s="3" t="inlineStr">
        <is>
          <t>0960-8524</t>
        </is>
      </c>
      <c r="N51" s="3" t="inlineStr"/>
      <c r="O51" s="3" t="inlineStr">
        <is>
          <t>已取得核验全文</t>
        </is>
      </c>
      <c r="P51" s="3" t="inlineStr">
        <is>
          <t>是</t>
        </is>
      </c>
      <c r="Q51" s="3" t="inlineStr">
        <is>
          <t>已取得1件原格式补充材料；其中0件唯一关联待核实；完整性未确认</t>
        </is>
      </c>
      <c r="R51" s="3" t="n">
        <v>2024</v>
      </c>
      <c r="S51" s="3" t="inlineStr">
        <is>
          <t>2025发布版（2024指标年）</t>
        </is>
      </c>
      <c r="T51" s="3" t="inlineStr">
        <is>
          <t>AGRICULTURAL ENGINEERING; BIOTECHNOLOGY &amp; APPLIED MICROBIOLOGY; ENERGY &amp; FUELS</t>
        </is>
      </c>
      <c r="U51" s="3" t="inlineStr">
        <is>
          <t>AGRICULTURAL ENGINEERING: Q1; BIOTECHNOLOGY &amp; APPLIED MICROBIOLOGY: Q1; ENERGY &amp; FUELS: Q1</t>
        </is>
      </c>
      <c r="V51" s="4" t="inlineStr">
        <is>
          <t>是</t>
        </is>
      </c>
      <c r="W51" s="4" t="inlineStr">
        <is>
          <t>是</t>
        </is>
      </c>
      <c r="X51" s="3" t="inlineStr">
        <is>
          <t>是</t>
        </is>
      </c>
      <c r="Y51" s="3" t="inlineStr">
        <is>
          <t>https://topj.lib.whu.edu.cn/show.asp?cat=zk&amp;id=3976</t>
        </is>
      </c>
      <c r="Z51" s="3" t="inlineStr">
        <is>
          <t>https://api.crossref.org/works/10.1016/j.biortech.2021.125304</t>
        </is>
      </c>
      <c r="AA5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1" s="3" t="inlineStr">
        <is>
          <t>original_files/R06833/fulltext/fulltext__published__53f509fabb5e17de.pdf</t>
        </is>
      </c>
      <c r="AC51" s="3" t="inlineStr">
        <is>
          <t>original_files/R06833/supplementary/supplementary__13620025dabbc90b.docx</t>
        </is>
      </c>
      <c r="AD51" s="3" t="inlineStr">
        <is>
          <t>https://github.com/Colliam-Vermilion/FirstCodex/blob/results/ad-oxygen-literature-20261006/results/ad-oxygen-literature-20261006/original_files/R06833/fulltext/fulltext__published__53f509fabb5e17de.pdf</t>
        </is>
      </c>
    </row>
    <row r="52" ht="48" customHeight="1">
      <c r="A52" s="2" t="inlineStr">
        <is>
          <t>R06895</t>
        </is>
      </c>
      <c r="B52" s="2" t="inlineStr">
        <is>
          <t>Microaerobic Digestion of Low-Biodegradable Sewage Sludge: Effect of Air Dosing in Batch Reactors</t>
        </is>
      </c>
      <c r="C52" s="2" t="inlineStr">
        <is>
          <t>2021</t>
        </is>
      </c>
      <c r="D52" s="2" t="inlineStr">
        <is>
          <t>2021</t>
        </is>
      </c>
      <c r="E52" s="2" t="inlineStr">
        <is>
          <t>10.3390/su13179869</t>
        </is>
      </c>
      <c r="F52" s="2" t="inlineStr">
        <is>
          <t>期刊文章</t>
        </is>
      </c>
      <c r="G52" s="2" t="inlineStr">
        <is>
          <t>1 直接向 AD 反应器或内部循环系统供氧</t>
        </is>
      </c>
      <c r="H52" s="2" t="inlineStr">
        <is>
          <t>是</t>
        </is>
      </c>
      <c r="I52" s="2" t="inlineStr">
        <is>
          <t>研究类</t>
        </is>
      </c>
      <c r="J52" s="2" t="inlineStr">
        <is>
          <t>是</t>
        </is>
      </c>
      <c r="K52" s="2" t="inlineStr">
        <is>
          <t>Sustainability</t>
        </is>
      </c>
      <c r="L52" s="2" t="inlineStr">
        <is>
          <t>Sustainability</t>
        </is>
      </c>
      <c r="M52" s="2" t="inlineStr"/>
      <c r="N52" s="2" t="inlineStr">
        <is>
          <t>2071-1050</t>
        </is>
      </c>
      <c r="O52" s="2" t="inlineStr">
        <is>
          <t>已取得核验全文</t>
        </is>
      </c>
      <c r="P52" s="2" t="inlineStr">
        <is>
          <t>是</t>
        </is>
      </c>
      <c r="Q52" s="2" t="inlineStr">
        <is>
          <t>当前无补充材料原件；沿用既有缺失/无附件证据，不据此认定无附件</t>
        </is>
      </c>
      <c r="R52" s="2" t="n">
        <v>2024</v>
      </c>
      <c r="S52" s="2" t="inlineStr">
        <is>
          <t>2025发布版（2024指标年）</t>
        </is>
      </c>
      <c r="T52" s="2" t="inlineStr"/>
      <c r="U52" s="2" t="inlineStr"/>
      <c r="V52" s="2" t="inlineStr">
        <is>
          <t>待核实</t>
        </is>
      </c>
      <c r="W52" s="2" t="inlineStr">
        <is>
          <t>待核实</t>
        </is>
      </c>
      <c r="X52" s="2" t="inlineStr">
        <is>
          <t>否</t>
        </is>
      </c>
      <c r="Y52" s="2" t="inlineStr"/>
      <c r="Z52" s="2" t="inlineStr">
        <is>
          <t>https://api.crossref.org/works/10.3390/su13179869</t>
        </is>
      </c>
      <c r="AA52" s="2" t="inlineStr">
        <is>
          <t>2024指标年JCR分区未核实；空白不能当非Q1。需要2025发布版/2024指标年的JCR全部学科导出。</t>
        </is>
      </c>
      <c r="AB52" s="2" t="inlineStr">
        <is>
          <t>original_files/R06895/fulltext/fulltext__published__cb9c36d70f316c5f.pdf</t>
        </is>
      </c>
      <c r="AC52" s="2" t="inlineStr"/>
      <c r="AD52" s="2" t="inlineStr">
        <is>
          <t>https://github.com/Colliam-Vermilion/FirstCodex/blob/results/ad-oxygen-literature-20261006/results/ad-oxygen-literature-20261006/original_files/R06895/fulltext/fulltext__published__cb9c36d70f316c5f.pdf</t>
        </is>
      </c>
    </row>
    <row r="53" ht="48" customHeight="1">
      <c r="A53" s="3" t="inlineStr">
        <is>
          <t>R06897</t>
        </is>
      </c>
      <c r="B53" s="3" t="inlineStr">
        <is>
          <t>Microaerobic conditions in anaerobic sludge promote changes in bacterial composition favouring biodegradation of polymeric siloxanes</t>
        </is>
      </c>
      <c r="C53" s="3" t="inlineStr">
        <is>
          <t>2021</t>
        </is>
      </c>
      <c r="D53" s="3" t="inlineStr">
        <is>
          <t>2021</t>
        </is>
      </c>
      <c r="E53" s="3" t="inlineStr">
        <is>
          <t>10.1039/d1em00143d</t>
        </is>
      </c>
      <c r="F53" s="3" t="inlineStr">
        <is>
          <t>期刊文章</t>
        </is>
      </c>
      <c r="G53" s="3" t="inlineStr">
        <is>
          <t>1 直接向 AD 反应器或内部循环系统供氧</t>
        </is>
      </c>
      <c r="H53" s="3" t="inlineStr">
        <is>
          <t>是</t>
        </is>
      </c>
      <c r="I53" s="3" t="inlineStr">
        <is>
          <t>研究类</t>
        </is>
      </c>
      <c r="J53" s="3" t="inlineStr">
        <is>
          <t>是</t>
        </is>
      </c>
      <c r="K53" s="3" t="inlineStr">
        <is>
          <t>Environmental Science-Processes &amp; Impacts</t>
        </is>
      </c>
      <c r="L53" s="3" t="inlineStr">
        <is>
          <t>Environmental Science: Processes &amp;amp; Impacts</t>
        </is>
      </c>
      <c r="M53" s="3" t="inlineStr">
        <is>
          <t>2050-7887</t>
        </is>
      </c>
      <c r="N53" s="3" t="inlineStr">
        <is>
          <t>2050-7895</t>
        </is>
      </c>
      <c r="O53" s="3" t="inlineStr">
        <is>
          <t>已取得核验全文</t>
        </is>
      </c>
      <c r="P53" s="3" t="inlineStr">
        <is>
          <t>是</t>
        </is>
      </c>
      <c r="Q53" s="3" t="inlineStr">
        <is>
          <t>当前无补充材料原件；沿用既有缺失/无附件证据，不据此认定无附件</t>
        </is>
      </c>
      <c r="R53" s="3" t="n">
        <v>2024</v>
      </c>
      <c r="S53" s="3" t="inlineStr">
        <is>
          <t>2025发布版（2024指标年）</t>
        </is>
      </c>
      <c r="T53" s="3" t="inlineStr">
        <is>
          <t>CHEMISTRY, ANALYTICAL; ENVIRONMENTAL SCIENCES</t>
        </is>
      </c>
      <c r="U53" s="3" t="inlineStr">
        <is>
          <t>CHEMISTRY, ANALYTICAL: Q2; ENVIRONMENTAL SCIENCES: Q2</t>
        </is>
      </c>
      <c r="V53" s="3" t="inlineStr">
        <is>
          <t>否</t>
        </is>
      </c>
      <c r="W53" s="3" t="inlineStr">
        <is>
          <t>否</t>
        </is>
      </c>
      <c r="X53" s="3" t="inlineStr">
        <is>
          <t>是</t>
        </is>
      </c>
      <c r="Y53" s="3" t="inlineStr">
        <is>
          <t>https://topj.lib.whu.edu.cn/searchxk1.asp?ordertype=&amp;page=6&amp;q=&amp;xk=488</t>
        </is>
      </c>
      <c r="Z53" s="3" t="inlineStr">
        <is>
          <t>https://api.crossref.org/works/10.1039/d1em00143d</t>
        </is>
      </c>
      <c r="AA5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53" s="3" t="inlineStr">
        <is>
          <t>original_files/R06897/fulltext/fulltext__published__676de58881645f6f.pdf</t>
        </is>
      </c>
      <c r="AC53" s="3" t="inlineStr"/>
      <c r="AD53" s="3" t="inlineStr">
        <is>
          <t>https://github.com/Colliam-Vermilion/FirstCodex/blob/results/ad-oxygen-literature-20261006/results/ad-oxygen-literature-20261006/original_files/R06897/fulltext/fulltext__published__676de58881645f6f.pdf</t>
        </is>
      </c>
    </row>
    <row r="54" ht="48" customHeight="1">
      <c r="A54" s="2" t="inlineStr">
        <is>
          <t>R07202</t>
        </is>
      </c>
      <c r="B54" s="2" t="inlineStr">
        <is>
          <t>Synergistic association between cytochrome bd-encoded Proteiniphilum and reactive oxygen species (ROS)-scavenging methanogens in microaerobic-anaerobic digestion of lignocellulosic biomass</t>
        </is>
      </c>
      <c r="C54" s="2" t="inlineStr">
        <is>
          <t>2021</t>
        </is>
      </c>
      <c r="D54" s="2" t="inlineStr">
        <is>
          <t>2021</t>
        </is>
      </c>
      <c r="E54" s="2" t="inlineStr">
        <is>
          <t>10.1016/j.watres.2020.116721</t>
        </is>
      </c>
      <c r="F54" s="2" t="inlineStr">
        <is>
          <t>期刊文章</t>
        </is>
      </c>
      <c r="G54" s="2" t="inlineStr">
        <is>
          <t>1 直接向 AD 反应器或内部循环系统供氧</t>
        </is>
      </c>
      <c r="H54" s="2" t="inlineStr">
        <is>
          <t>是</t>
        </is>
      </c>
      <c r="I54" s="2" t="inlineStr">
        <is>
          <t>研究类</t>
        </is>
      </c>
      <c r="J54" s="2" t="inlineStr">
        <is>
          <t>是</t>
        </is>
      </c>
      <c r="K54" s="2" t="inlineStr">
        <is>
          <t>WATER RESEARCH</t>
        </is>
      </c>
      <c r="L54" s="2" t="inlineStr">
        <is>
          <t>Water Research</t>
        </is>
      </c>
      <c r="M54" s="2" t="inlineStr">
        <is>
          <t>0043-1354</t>
        </is>
      </c>
      <c r="N54" s="2" t="inlineStr"/>
      <c r="O54" s="2" t="inlineStr">
        <is>
          <t>已取得核验全文</t>
        </is>
      </c>
      <c r="P54" s="2" t="inlineStr">
        <is>
          <t>是</t>
        </is>
      </c>
      <c r="Q54" s="2" t="inlineStr">
        <is>
          <t>已取得2件原格式补充材料；其中2件唯一关联待核实；完整性未确认</t>
        </is>
      </c>
      <c r="R54" s="2" t="n">
        <v>2024</v>
      </c>
      <c r="S54" s="2" t="inlineStr">
        <is>
          <t>2025发布版（2024指标年）</t>
        </is>
      </c>
      <c r="T54" s="2" t="inlineStr">
        <is>
          <t>WATER RESOURCES; ENGINEERING, ENVIRONMENTAL; ENVIRONMENTAL SCIENCES</t>
        </is>
      </c>
      <c r="U54" s="2" t="inlineStr">
        <is>
          <t>WATER RESOURCES: Q1; ENGINEERING, ENVIRONMENTAL: Q1; ENVIRONMENTAL SCIENCES: Q1</t>
        </is>
      </c>
      <c r="V54" s="4" t="inlineStr">
        <is>
          <t>是</t>
        </is>
      </c>
      <c r="W54" s="4" t="inlineStr">
        <is>
          <t>是</t>
        </is>
      </c>
      <c r="X54" s="2" t="inlineStr">
        <is>
          <t>是</t>
        </is>
      </c>
      <c r="Y54" s="2" t="inlineStr">
        <is>
          <t>https://topj.lib.whu.edu.cn/show.asp?cat=zk&amp;id=3962</t>
        </is>
      </c>
      <c r="Z54" s="2" t="inlineStr">
        <is>
          <t>https://api.crossref.org/works/10.1016/j.watres.2020.116721</t>
        </is>
      </c>
      <c r="AA5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4" s="2" t="inlineStr">
        <is>
          <t>original_files/R07202/fulltext/fulltext__published__7663ffc3d7b30f70.pdf</t>
        </is>
      </c>
      <c r="AC54" s="2" t="inlineStr">
        <is>
          <t>original_files/R07202/supplementary/supplementary__0fe7ac23fd51cc3e.xlsx; original_files/R07202/supplementary/supplementary__3e34694c8a7c6ad9.docx</t>
        </is>
      </c>
      <c r="AD54" s="2" t="inlineStr">
        <is>
          <t>https://github.com/Colliam-Vermilion/FirstCodex/blob/results/ad-oxygen-literature-20261006/results/ad-oxygen-literature-20261006/original_files/R07202/fulltext/fulltext__published__7663ffc3d7b30f70.pdf</t>
        </is>
      </c>
    </row>
    <row r="55" ht="48" customHeight="1">
      <c r="A55" s="3" t="inlineStr">
        <is>
          <t>R07455</t>
        </is>
      </c>
      <c r="B55" s="3" t="inlineStr">
        <is>
          <t>Analysis of Biogas Component Production during Anaerobic Digestion of Sour Cabbage in Microaeration Conditions under Different pH Conditions</t>
        </is>
      </c>
      <c r="C55" s="3" t="inlineStr">
        <is>
          <t>2022</t>
        </is>
      </c>
      <c r="D55" s="3" t="inlineStr">
        <is>
          <t>2022</t>
        </is>
      </c>
      <c r="E55" s="3" t="inlineStr">
        <is>
          <t>10.3390/biomass2010002</t>
        </is>
      </c>
      <c r="F55" s="3" t="inlineStr">
        <is>
          <t>期刊文章</t>
        </is>
      </c>
      <c r="G55" s="3" t="inlineStr">
        <is>
          <t>1 直接向 AD 反应器或内部循环系统供氧</t>
        </is>
      </c>
      <c r="H55" s="3" t="inlineStr">
        <is>
          <t>是</t>
        </is>
      </c>
      <c r="I55" s="3" t="inlineStr">
        <is>
          <t>研究类</t>
        </is>
      </c>
      <c r="J55" s="3" t="inlineStr">
        <is>
          <t>是</t>
        </is>
      </c>
      <c r="K55" s="3" t="inlineStr">
        <is>
          <t>Biomass</t>
        </is>
      </c>
      <c r="L55" s="3" t="inlineStr">
        <is>
          <t>Biomass</t>
        </is>
      </c>
      <c r="M55" s="3" t="inlineStr"/>
      <c r="N55" s="3" t="inlineStr">
        <is>
          <t>2673-8783</t>
        </is>
      </c>
      <c r="O55" s="3" t="inlineStr">
        <is>
          <t>已取得核验全文</t>
        </is>
      </c>
      <c r="P55" s="3" t="inlineStr">
        <is>
          <t>是</t>
        </is>
      </c>
      <c r="Q55" s="3" t="inlineStr">
        <is>
          <t>当前无补充材料原件；沿用既有缺失/无附件证据，不据此认定无附件</t>
        </is>
      </c>
      <c r="R55" s="3" t="n">
        <v>2024</v>
      </c>
      <c r="S55" s="3" t="inlineStr">
        <is>
          <t>2025发布版（2024指标年）</t>
        </is>
      </c>
      <c r="T55" s="3" t="inlineStr"/>
      <c r="U55" s="3" t="inlineStr"/>
      <c r="V55" s="3" t="inlineStr">
        <is>
          <t>待核实</t>
        </is>
      </c>
      <c r="W55" s="3" t="inlineStr">
        <is>
          <t>待核实</t>
        </is>
      </c>
      <c r="X55" s="3" t="inlineStr">
        <is>
          <t>否</t>
        </is>
      </c>
      <c r="Y55" s="3" t="inlineStr"/>
      <c r="Z55" s="3" t="inlineStr">
        <is>
          <t>https://api.crossref.org/works/10.3390/biomass2010002</t>
        </is>
      </c>
      <c r="AA55" s="3" t="inlineStr">
        <is>
          <t>2024指标年JCR分区未核实；空白不能当非Q1。需要2025发布版/2024指标年的JCR全部学科导出。</t>
        </is>
      </c>
      <c r="AB55" s="3" t="inlineStr">
        <is>
          <t>original_files/R07455/fulltext/fulltext__published__789dcf37303b566b.pdf</t>
        </is>
      </c>
      <c r="AC55" s="3" t="inlineStr"/>
      <c r="AD55" s="3" t="inlineStr">
        <is>
          <t>https://github.com/Colliam-Vermilion/FirstCodex/blob/results/ad-oxygen-literature-20261006/results/ad-oxygen-literature-20261006/original_files/R07455/fulltext/fulltext__published__789dcf37303b566b.pdf</t>
        </is>
      </c>
    </row>
    <row r="56" ht="48" customHeight="1">
      <c r="A56" s="2" t="inlineStr">
        <is>
          <t>R07903</t>
        </is>
      </c>
      <c r="B56" s="2" t="inlineStr">
        <is>
          <t>Improved valorization of sewage sludge in the circular economy by anaerobic digestion: Impact of an innovative pretreatment technology</t>
        </is>
      </c>
      <c r="C56" s="2" t="inlineStr">
        <is>
          <t>2022</t>
        </is>
      </c>
      <c r="D56" s="2" t="inlineStr">
        <is>
          <t>2022</t>
        </is>
      </c>
      <c r="E56" s="2" t="inlineStr">
        <is>
          <t>10.1016/j.wasman.2022.09.035</t>
        </is>
      </c>
      <c r="F56" s="2" t="inlineStr">
        <is>
          <t>期刊文章</t>
        </is>
      </c>
      <c r="G56" s="2" t="inlineStr">
        <is>
          <t>1 直接向 AD 反应器或内部循环系统供氧</t>
        </is>
      </c>
      <c r="H56" s="2" t="inlineStr">
        <is>
          <t>是</t>
        </is>
      </c>
      <c r="I56" s="2" t="inlineStr">
        <is>
          <t>研究类</t>
        </is>
      </c>
      <c r="J56" s="2" t="inlineStr">
        <is>
          <t>是</t>
        </is>
      </c>
      <c r="K56" s="2" t="inlineStr">
        <is>
          <t>Waste Management</t>
        </is>
      </c>
      <c r="L56" s="2" t="inlineStr">
        <is>
          <t>Waste Management</t>
        </is>
      </c>
      <c r="M56" s="2" t="inlineStr">
        <is>
          <t>0956-053X</t>
        </is>
      </c>
      <c r="N56" s="2" t="inlineStr"/>
      <c r="O56" s="2" t="inlineStr">
        <is>
          <t>已取得核验全文</t>
        </is>
      </c>
      <c r="P56" s="2" t="inlineStr">
        <is>
          <t>是</t>
        </is>
      </c>
      <c r="Q56" s="2" t="inlineStr">
        <is>
          <t>当前无补充材料原件；沿用既有缺失/无附件证据，不据此认定无附件</t>
        </is>
      </c>
      <c r="R56" s="2" t="n">
        <v>2024</v>
      </c>
      <c r="S56" s="2" t="inlineStr">
        <is>
          <t>2025发布版（2024指标年）</t>
        </is>
      </c>
      <c r="T56" s="2" t="inlineStr">
        <is>
          <t>ENGINEERING, ENVIRONMENTAL; ENVIRONMENTAL SCIENCES</t>
        </is>
      </c>
      <c r="U56" s="2" t="inlineStr">
        <is>
          <t>ENGINEERING, ENVIRONMENTAL: Q1; ENVIRONMENTAL SCIENCES: Q1</t>
        </is>
      </c>
      <c r="V56" s="4" t="inlineStr">
        <is>
          <t>是</t>
        </is>
      </c>
      <c r="W56" s="4" t="inlineStr">
        <is>
          <t>是</t>
        </is>
      </c>
      <c r="X56" s="2" t="inlineStr">
        <is>
          <t>是</t>
        </is>
      </c>
      <c r="Y56" s="2" t="inlineStr">
        <is>
          <t>https://topj.lib.whu.edu.cn/show.asp?cat=zk&amp;id=4000</t>
        </is>
      </c>
      <c r="Z56" s="2" t="inlineStr">
        <is>
          <t>https://api.crossref.org/works/10.1016/j.wasman.2022.09.035</t>
        </is>
      </c>
      <c r="AA5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6" s="2" t="inlineStr">
        <is>
          <t>original_files/R07903/fulltext/fulltext__published__840af1bcba2461da.pdf</t>
        </is>
      </c>
      <c r="AC56" s="2" t="inlineStr"/>
      <c r="AD56" s="2" t="inlineStr">
        <is>
          <t>https://github.com/Colliam-Vermilion/FirstCodex/blob/results/ad-oxygen-literature-20261006/results/ad-oxygen-literature-20261006/original_files/R07903/fulltext/fulltext__published__840af1bcba2461da.pdf</t>
        </is>
      </c>
    </row>
    <row r="57" ht="48" customHeight="1">
      <c r="A57" s="3" t="inlineStr">
        <is>
          <t>R07908</t>
        </is>
      </c>
      <c r="B57" s="3" t="inlineStr">
        <is>
          <t>Improving Anaerobic Digestion of Brewery and Distillery Spent Grains through Aeration across a Silicone Membrane</t>
        </is>
      </c>
      <c r="C57" s="3" t="inlineStr">
        <is>
          <t>2022</t>
        </is>
      </c>
      <c r="D57" s="3" t="inlineStr">
        <is>
          <t>2022</t>
        </is>
      </c>
      <c r="E57" s="3" t="inlineStr">
        <is>
          <t>10.3390/su14052755</t>
        </is>
      </c>
      <c r="F57" s="3" t="inlineStr">
        <is>
          <t>期刊文章</t>
        </is>
      </c>
      <c r="G57" s="3" t="inlineStr">
        <is>
          <t>1 直接向 AD 反应器或内部循环系统供氧</t>
        </is>
      </c>
      <c r="H57" s="3" t="inlineStr">
        <is>
          <t>是</t>
        </is>
      </c>
      <c r="I57" s="3" t="inlineStr">
        <is>
          <t>研究类</t>
        </is>
      </c>
      <c r="J57" s="3" t="inlineStr">
        <is>
          <t>是</t>
        </is>
      </c>
      <c r="K57" s="3" t="inlineStr">
        <is>
          <t>Sustainability</t>
        </is>
      </c>
      <c r="L57" s="3" t="inlineStr">
        <is>
          <t>Sustainability</t>
        </is>
      </c>
      <c r="M57" s="3" t="inlineStr"/>
      <c r="N57" s="3" t="inlineStr">
        <is>
          <t>2071-1050</t>
        </is>
      </c>
      <c r="O57" s="3" t="inlineStr">
        <is>
          <t>已取得核验全文</t>
        </is>
      </c>
      <c r="P57" s="3" t="inlineStr">
        <is>
          <t>是</t>
        </is>
      </c>
      <c r="Q57" s="3" t="inlineStr">
        <is>
          <t>当前无补充材料原件；沿用既有缺失/无附件证据，不据此认定无附件</t>
        </is>
      </c>
      <c r="R57" s="3" t="n">
        <v>2024</v>
      </c>
      <c r="S57" s="3" t="inlineStr">
        <is>
          <t>2025发布版（2024指标年）</t>
        </is>
      </c>
      <c r="T57" s="3" t="inlineStr"/>
      <c r="U57" s="3" t="inlineStr"/>
      <c r="V57" s="3" t="inlineStr">
        <is>
          <t>待核实</t>
        </is>
      </c>
      <c r="W57" s="3" t="inlineStr">
        <is>
          <t>待核实</t>
        </is>
      </c>
      <c r="X57" s="3" t="inlineStr">
        <is>
          <t>否</t>
        </is>
      </c>
      <c r="Y57" s="3" t="inlineStr"/>
      <c r="Z57" s="3" t="inlineStr">
        <is>
          <t>https://api.crossref.org/works/10.3390/su14052755</t>
        </is>
      </c>
      <c r="AA57" s="3" t="inlineStr">
        <is>
          <t>2024指标年JCR分区未核实；空白不能当非Q1。需要2025发布版/2024指标年的JCR全部学科导出。</t>
        </is>
      </c>
      <c r="AB57" s="3" t="inlineStr">
        <is>
          <t>original_files/R07908/fulltext/fulltext__published__508bae4b9d86cb53.pdf</t>
        </is>
      </c>
      <c r="AC57" s="3" t="inlineStr"/>
      <c r="AD57" s="3" t="inlineStr">
        <is>
          <t>https://github.com/Colliam-Vermilion/FirstCodex/blob/results/ad-oxygen-literature-20261006/results/ad-oxygen-literature-20261006/original_files/R07908/fulltext/fulltext__published__508bae4b9d86cb53.pdf</t>
        </is>
      </c>
    </row>
    <row r="58" ht="48" customHeight="1">
      <c r="A58" s="2" t="inlineStr">
        <is>
          <t>R08462</t>
        </is>
      </c>
      <c r="B58" s="2" t="inlineStr">
        <is>
          <t>Upgrade the high-load anaerobic digestion and relieve acid stress through the strategy of side-stream micro-aeration: biochemical performances, microbial response and intrinsic mechanisms</t>
        </is>
      </c>
      <c r="C58" s="2" t="inlineStr">
        <is>
          <t>2022</t>
        </is>
      </c>
      <c r="D58" s="2" t="inlineStr">
        <is>
          <t>2022</t>
        </is>
      </c>
      <c r="E58" s="2" t="inlineStr">
        <is>
          <t>10.1016/j.watres.2022.118850</t>
        </is>
      </c>
      <c r="F58" s="2" t="inlineStr">
        <is>
          <t>期刊文章</t>
        </is>
      </c>
      <c r="G58" s="2" t="inlineStr">
        <is>
          <t>1 直接向 AD 反应器或内部循环系统供氧</t>
        </is>
      </c>
      <c r="H58" s="2" t="inlineStr">
        <is>
          <t>是</t>
        </is>
      </c>
      <c r="I58" s="2" t="inlineStr">
        <is>
          <t>研究类</t>
        </is>
      </c>
      <c r="J58" s="2" t="inlineStr">
        <is>
          <t>是</t>
        </is>
      </c>
      <c r="K58" s="2" t="inlineStr">
        <is>
          <t>WATER RESEARCH</t>
        </is>
      </c>
      <c r="L58" s="2" t="inlineStr">
        <is>
          <t>Water Research</t>
        </is>
      </c>
      <c r="M58" s="2" t="inlineStr">
        <is>
          <t>0043-1354</t>
        </is>
      </c>
      <c r="N58" s="2" t="inlineStr"/>
      <c r="O58" s="2" t="inlineStr">
        <is>
          <t>已取得核验全文</t>
        </is>
      </c>
      <c r="P58" s="2" t="inlineStr">
        <is>
          <t>是</t>
        </is>
      </c>
      <c r="Q58" s="2" t="inlineStr">
        <is>
          <t>已取得2件原格式补充材料；其中1件唯一关联待核实；完整性未确认</t>
        </is>
      </c>
      <c r="R58" s="2" t="n">
        <v>2024</v>
      </c>
      <c r="S58" s="2" t="inlineStr">
        <is>
          <t>2025发布版（2024指标年）</t>
        </is>
      </c>
      <c r="T58" s="2" t="inlineStr">
        <is>
          <t>WATER RESOURCES; ENGINEERING, ENVIRONMENTAL; ENVIRONMENTAL SCIENCES</t>
        </is>
      </c>
      <c r="U58" s="2" t="inlineStr">
        <is>
          <t>WATER RESOURCES: Q1; ENGINEERING, ENVIRONMENTAL: Q1; ENVIRONMENTAL SCIENCES: Q1</t>
        </is>
      </c>
      <c r="V58" s="4" t="inlineStr">
        <is>
          <t>是</t>
        </is>
      </c>
      <c r="W58" s="4" t="inlineStr">
        <is>
          <t>是</t>
        </is>
      </c>
      <c r="X58" s="2" t="inlineStr">
        <is>
          <t>是</t>
        </is>
      </c>
      <c r="Y58" s="2" t="inlineStr">
        <is>
          <t>https://topj.lib.whu.edu.cn/show.asp?cat=zk&amp;id=3962</t>
        </is>
      </c>
      <c r="Z58" s="2" t="inlineStr">
        <is>
          <t>https://api.crossref.org/works/10.1016/j.watres.2022.118850</t>
        </is>
      </c>
      <c r="AA5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8" s="2" t="inlineStr">
        <is>
          <t>original_files/R08462/fulltext/fulltext__published__d5f9765b6923adab.pdf</t>
        </is>
      </c>
      <c r="AC58" s="2" t="inlineStr">
        <is>
          <t>original_files/R08462/supplementary/supplementary__5e2e3579320c0218.docx; original_files/R08462/supplementary/supplementary__dc9b581bc0cb167a.xlsx</t>
        </is>
      </c>
      <c r="AD58" s="2" t="inlineStr">
        <is>
          <t>https://github.com/Colliam-Vermilion/FirstCodex/blob/results/ad-oxygen-literature-20261006/results/ad-oxygen-literature-20261006/original_files/R08462/fulltext/fulltext__published__d5f9765b6923adab.pdf</t>
        </is>
      </c>
    </row>
    <row r="59" ht="48" customHeight="1">
      <c r="A59" s="3" t="inlineStr">
        <is>
          <t>R08552</t>
        </is>
      </c>
      <c r="B59" s="3" t="inlineStr">
        <is>
          <t>ALKALINE PRETREATMENT AND AIR MIXING FOR IMPROVEMENT OF METHANE PRODUCTION FROM ANAEROBIC CO-DIGESTION OF POULTRY LITTER WITH WHEAT STRAW</t>
        </is>
      </c>
      <c r="C59" s="3" t="inlineStr">
        <is>
          <t>2023</t>
        </is>
      </c>
      <c r="D59" s="3" t="inlineStr">
        <is>
          <t>2023</t>
        </is>
      </c>
      <c r="E59" s="3" t="inlineStr">
        <is>
          <t>10.15302/j-fase-2023506</t>
        </is>
      </c>
      <c r="F59" s="3" t="inlineStr">
        <is>
          <t>期刊文章</t>
        </is>
      </c>
      <c r="G59" s="3" t="inlineStr">
        <is>
          <t>1 直接向 AD 反应器或内部循环系统供氧</t>
        </is>
      </c>
      <c r="H59" s="3" t="inlineStr">
        <is>
          <t>是</t>
        </is>
      </c>
      <c r="I59" s="3" t="inlineStr">
        <is>
          <t>研究类</t>
        </is>
      </c>
      <c r="J59" s="3" t="inlineStr">
        <is>
          <t>是</t>
        </is>
      </c>
      <c r="K59" s="3" t="inlineStr">
        <is>
          <t>Frontiers of Agricultural Science and Engineering</t>
        </is>
      </c>
      <c r="L59" s="3" t="inlineStr">
        <is>
          <t>Frontiers of Agricultural Science and Engineering</t>
        </is>
      </c>
      <c r="M59" s="3" t="inlineStr">
        <is>
          <t>2095-7505</t>
        </is>
      </c>
      <c r="N59" s="3" t="inlineStr"/>
      <c r="O59" s="3" t="inlineStr">
        <is>
          <t>已取得核验全文</t>
        </is>
      </c>
      <c r="P59" s="3" t="inlineStr">
        <is>
          <t>是</t>
        </is>
      </c>
      <c r="Q59" s="3" t="inlineStr">
        <is>
          <t>当前无补充材料原件；沿用既有缺失/无附件证据，不据此认定无附件</t>
        </is>
      </c>
      <c r="R59" s="3" t="n">
        <v>2024</v>
      </c>
      <c r="S59" s="3" t="inlineStr">
        <is>
          <t>2025发布版（2024指标年）</t>
        </is>
      </c>
      <c r="T59" s="3" t="inlineStr"/>
      <c r="U59" s="3" t="inlineStr"/>
      <c r="V59" s="3" t="inlineStr">
        <is>
          <t>待核实</t>
        </is>
      </c>
      <c r="W59" s="3" t="inlineStr">
        <is>
          <t>待核实</t>
        </is>
      </c>
      <c r="X59" s="3" t="inlineStr">
        <is>
          <t>否</t>
        </is>
      </c>
      <c r="Y59" s="3" t="inlineStr"/>
      <c r="Z59" s="3" t="inlineStr">
        <is>
          <t>https://api.crossref.org/works/10.15302/j-fase-2023506</t>
        </is>
      </c>
      <c r="AA59" s="3" t="inlineStr">
        <is>
          <t>2024指标年JCR分区未核实；空白不能当非Q1。需要2025发布版/2024指标年的JCR全部学科导出。</t>
        </is>
      </c>
      <c r="AB59" s="3" t="inlineStr">
        <is>
          <t>original_files/R08552/fulltext/fulltext__published__bf6b5c964a64fd5b.pdf</t>
        </is>
      </c>
      <c r="AC59" s="3" t="inlineStr"/>
      <c r="AD59" s="3" t="inlineStr">
        <is>
          <t>https://github.com/Colliam-Vermilion/FirstCodex/blob/results/ad-oxygen-literature-20261006/results/ad-oxygen-literature-20261006/original_files/R08552/fulltext/fulltext__published__bf6b5c964a64fd5b.pdf</t>
        </is>
      </c>
    </row>
    <row r="60" ht="48" customHeight="1">
      <c r="A60" s="2" t="inlineStr">
        <is>
          <t>R08665</t>
        </is>
      </c>
      <c r="B60" s="2" t="inlineStr">
        <is>
          <t>Bench-Scale Liquid-Phase Microaeration and Iron Dosing Comparison for In Situ Biogas Desulfurization and Antibiotic Resistance Management in Mesophilic Anaerobic Digestion</t>
        </is>
      </c>
      <c r="C60" s="2" t="inlineStr">
        <is>
          <t>2023</t>
        </is>
      </c>
      <c r="D60" s="2" t="inlineStr">
        <is>
          <t>2023</t>
        </is>
      </c>
      <c r="E60" s="2" t="inlineStr">
        <is>
          <t>10.1021/acsestwater.3c00103</t>
        </is>
      </c>
      <c r="F60" s="2" t="inlineStr">
        <is>
          <t>期刊文章</t>
        </is>
      </c>
      <c r="G60" s="2" t="inlineStr">
        <is>
          <t>1 直接向 AD 反应器或内部循环系统供氧</t>
        </is>
      </c>
      <c r="H60" s="2" t="inlineStr">
        <is>
          <t>是</t>
        </is>
      </c>
      <c r="I60" s="2" t="inlineStr">
        <is>
          <t>研究类</t>
        </is>
      </c>
      <c r="J60" s="2" t="inlineStr">
        <is>
          <t>是</t>
        </is>
      </c>
      <c r="K60" s="2" t="inlineStr">
        <is>
          <t>ACS ES&amp;T Water</t>
        </is>
      </c>
      <c r="L60" s="2" t="inlineStr">
        <is>
          <t>ACS ES&amp;amp;T Water</t>
        </is>
      </c>
      <c r="M60" s="2" t="inlineStr">
        <is>
          <t>2690-0637</t>
        </is>
      </c>
      <c r="N60" s="2" t="inlineStr">
        <is>
          <t>2690-0637</t>
        </is>
      </c>
      <c r="O60" s="2" t="inlineStr">
        <is>
          <t>已取得核验全文</t>
        </is>
      </c>
      <c r="P60" s="2" t="inlineStr">
        <is>
          <t>是</t>
        </is>
      </c>
      <c r="Q60" s="2" t="inlineStr">
        <is>
          <t>已取得1件原格式补充材料；其中0件唯一关联待核实；完整性未确认</t>
        </is>
      </c>
      <c r="R60" s="2" t="n">
        <v>2024</v>
      </c>
      <c r="S60" s="2" t="inlineStr">
        <is>
          <t>2025发布版（2024指标年）</t>
        </is>
      </c>
      <c r="T60" s="2" t="inlineStr"/>
      <c r="U60" s="2" t="inlineStr"/>
      <c r="V60" s="2" t="inlineStr">
        <is>
          <t>待核实</t>
        </is>
      </c>
      <c r="W60" s="2" t="inlineStr">
        <is>
          <t>待核实</t>
        </is>
      </c>
      <c r="X60" s="2" t="inlineStr">
        <is>
          <t>否</t>
        </is>
      </c>
      <c r="Y60" s="2" t="inlineStr"/>
      <c r="Z60" s="2" t="inlineStr">
        <is>
          <t>https://api.crossref.org/works/10.1021/acsestwater.3c00103</t>
        </is>
      </c>
      <c r="AA60" s="2" t="inlineStr">
        <is>
          <t>2024指标年JCR分区未核实；空白不能当非Q1。需要2025发布版/2024指标年的JCR全部学科导出。</t>
        </is>
      </c>
      <c r="AB60" s="2" t="inlineStr">
        <is>
          <t>original_files/R08665/fulltext/fulltext__published__1681f2540263ce5e.pdf</t>
        </is>
      </c>
      <c r="AC60" s="2" t="inlineStr">
        <is>
          <t>original_files/R08665/supplementary/supplementary__1446da96e20c35de.pdf</t>
        </is>
      </c>
      <c r="AD60" s="2" t="inlineStr">
        <is>
          <t>https://github.com/Colliam-Vermilion/FirstCodex/blob/results/ad-oxygen-literature-20261006/results/ad-oxygen-literature-20261006/original_files/R08665/fulltext/fulltext__published__1681f2540263ce5e.pdf</t>
        </is>
      </c>
    </row>
    <row r="61" ht="48" customHeight="1">
      <c r="A61" s="3" t="inlineStr">
        <is>
          <t>R08877</t>
        </is>
      </c>
      <c r="B61" s="3" t="inlineStr">
        <is>
          <t>Effects of Low Oxygen Dosages on an Anaerobic Membrane Bioreactor, Simulating the Oxygen Load in an Anaerobic Digester-Dissolved Air Flotation (AD-DAF) System</t>
        </is>
      </c>
      <c r="C61" s="3" t="inlineStr">
        <is>
          <t>2023</t>
        </is>
      </c>
      <c r="D61" s="3" t="inlineStr">
        <is>
          <t>2023</t>
        </is>
      </c>
      <c r="E61" s="3" t="inlineStr">
        <is>
          <t>10.1021/acsestwater.3c00544</t>
        </is>
      </c>
      <c r="F61" s="3" t="inlineStr">
        <is>
          <t>期刊文章</t>
        </is>
      </c>
      <c r="G61" s="3" t="inlineStr">
        <is>
          <t>1 直接向 AD 反应器或内部循环系统供氧</t>
        </is>
      </c>
      <c r="H61" s="3" t="inlineStr">
        <is>
          <t>是</t>
        </is>
      </c>
      <c r="I61" s="3" t="inlineStr">
        <is>
          <t>研究类</t>
        </is>
      </c>
      <c r="J61" s="3" t="inlineStr">
        <is>
          <t>是</t>
        </is>
      </c>
      <c r="K61" s="3" t="inlineStr">
        <is>
          <t>ACS ES&amp;T Water</t>
        </is>
      </c>
      <c r="L61" s="3" t="inlineStr">
        <is>
          <t>ACS ES&amp;amp;T Water</t>
        </is>
      </c>
      <c r="M61" s="3" t="inlineStr">
        <is>
          <t>2690-0637</t>
        </is>
      </c>
      <c r="N61" s="3" t="inlineStr">
        <is>
          <t>2690-0637</t>
        </is>
      </c>
      <c r="O61" s="3" t="inlineStr">
        <is>
          <t>已取得核验全文</t>
        </is>
      </c>
      <c r="P61" s="3" t="inlineStr">
        <is>
          <t>是</t>
        </is>
      </c>
      <c r="Q61" s="3" t="inlineStr">
        <is>
          <t>已取得1件原格式补充材料；其中0件唯一关联待核实；完整性未确认</t>
        </is>
      </c>
      <c r="R61" s="3" t="n">
        <v>2024</v>
      </c>
      <c r="S61" s="3" t="inlineStr">
        <is>
          <t>2025发布版（2024指标年）</t>
        </is>
      </c>
      <c r="T61" s="3" t="inlineStr"/>
      <c r="U61" s="3" t="inlineStr"/>
      <c r="V61" s="3" t="inlineStr">
        <is>
          <t>待核实</t>
        </is>
      </c>
      <c r="W61" s="3" t="inlineStr">
        <is>
          <t>待核实</t>
        </is>
      </c>
      <c r="X61" s="3" t="inlineStr">
        <is>
          <t>否</t>
        </is>
      </c>
      <c r="Y61" s="3" t="inlineStr"/>
      <c r="Z61" s="3" t="inlineStr">
        <is>
          <t>https://api.crossref.org/works/10.1021/acsestwater.3c00544</t>
        </is>
      </c>
      <c r="AA61" s="3" t="inlineStr">
        <is>
          <t>2024指标年JCR分区未核实；空白不能当非Q1。需要2025发布版/2024指标年的JCR全部学科导出。</t>
        </is>
      </c>
      <c r="AB61" s="3" t="inlineStr">
        <is>
          <t>original_files/R08877/fulltext/fulltext__published__1665f472122ce85f.pdf</t>
        </is>
      </c>
      <c r="AC61" s="3" t="inlineStr">
        <is>
          <t>original_files/R08877/supplementary/supplementary__54c68cdd7a64c260.pdf</t>
        </is>
      </c>
      <c r="AD61" s="3" t="inlineStr">
        <is>
          <t>https://github.com/Colliam-Vermilion/FirstCodex/blob/results/ad-oxygen-literature-20261006/results/ad-oxygen-literature-20261006/original_files/R08877/fulltext/fulltext__published__1665f472122ce85f.pdf</t>
        </is>
      </c>
    </row>
    <row r="62" ht="48" customHeight="1">
      <c r="A62" s="2" t="inlineStr">
        <is>
          <t>R08911</t>
        </is>
      </c>
      <c r="B62" s="2" t="inlineStr">
        <is>
          <t>Employing micro-aeration in anaerobic digestion of poultry litter and wheat straw: Batch kinetics and continuous performance</t>
        </is>
      </c>
      <c r="C62" s="2" t="inlineStr">
        <is>
          <t>2023</t>
        </is>
      </c>
      <c r="D62" s="2" t="inlineStr">
        <is>
          <t>2023</t>
        </is>
      </c>
      <c r="E62" s="2" t="inlineStr">
        <is>
          <t>10.1016/j.biortech.2022.128351</t>
        </is>
      </c>
      <c r="F62" s="2" t="inlineStr">
        <is>
          <t>期刊文章</t>
        </is>
      </c>
      <c r="G62" s="2" t="inlineStr">
        <is>
          <t>1 直接向 AD 反应器或内部循环系统供氧</t>
        </is>
      </c>
      <c r="H62" s="2" t="inlineStr">
        <is>
          <t>是</t>
        </is>
      </c>
      <c r="I62" s="2" t="inlineStr">
        <is>
          <t>研究类</t>
        </is>
      </c>
      <c r="J62" s="2" t="inlineStr">
        <is>
          <t>是</t>
        </is>
      </c>
      <c r="K62" s="2" t="inlineStr">
        <is>
          <t>BIORESOURCE TECHNOLOGY</t>
        </is>
      </c>
      <c r="L62" s="2" t="inlineStr">
        <is>
          <t>Bioresource Technology</t>
        </is>
      </c>
      <c r="M62" s="2" t="inlineStr">
        <is>
          <t>0960-8524</t>
        </is>
      </c>
      <c r="N62" s="2" t="inlineStr"/>
      <c r="O62" s="2" t="inlineStr">
        <is>
          <t>已取得核验全文</t>
        </is>
      </c>
      <c r="P62" s="2" t="inlineStr">
        <is>
          <t>是</t>
        </is>
      </c>
      <c r="Q62" s="2" t="inlineStr">
        <is>
          <t>已取得1件原格式补充材料；其中0件唯一关联待核实；完整性未确认</t>
        </is>
      </c>
      <c r="R62" s="2" t="n">
        <v>2024</v>
      </c>
      <c r="S62" s="2" t="inlineStr">
        <is>
          <t>2025发布版（2024指标年）</t>
        </is>
      </c>
      <c r="T62" s="2" t="inlineStr">
        <is>
          <t>AGRICULTURAL ENGINEERING; BIOTECHNOLOGY &amp; APPLIED MICROBIOLOGY; ENERGY &amp; FUELS</t>
        </is>
      </c>
      <c r="U62" s="2" t="inlineStr">
        <is>
          <t>AGRICULTURAL ENGINEERING: Q1; BIOTECHNOLOGY &amp; APPLIED MICROBIOLOGY: Q1; ENERGY &amp; FUELS: Q1</t>
        </is>
      </c>
      <c r="V62" s="4" t="inlineStr">
        <is>
          <t>是</t>
        </is>
      </c>
      <c r="W62" s="4" t="inlineStr">
        <is>
          <t>是</t>
        </is>
      </c>
      <c r="X62" s="2" t="inlineStr">
        <is>
          <t>是</t>
        </is>
      </c>
      <c r="Y62" s="2" t="inlineStr">
        <is>
          <t>https://topj.lib.whu.edu.cn/show.asp?cat=zk&amp;id=3976</t>
        </is>
      </c>
      <c r="Z62" s="2" t="inlineStr">
        <is>
          <t>https://api.crossref.org/works/10.1016/j.biortech.2022.128351</t>
        </is>
      </c>
      <c r="AA6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62" s="2" t="inlineStr">
        <is>
          <t>original_files/R08911/fulltext/fulltext__published__24c23746bbcc6419.pdf</t>
        </is>
      </c>
      <c r="AC62" s="2" t="inlineStr">
        <is>
          <t>original_files/R08911/supplementary/supplementary__6b4b0a98be091f59.docx</t>
        </is>
      </c>
      <c r="AD62" s="2" t="inlineStr">
        <is>
          <t>https://github.com/Colliam-Vermilion/FirstCodex/blob/results/ad-oxygen-literature-20261006/results/ad-oxygen-literature-20261006/original_files/R08911/fulltext/fulltext__published__24c23746bbcc6419.pdf</t>
        </is>
      </c>
    </row>
    <row r="63" ht="48" customHeight="1">
      <c r="A63" s="3" t="inlineStr">
        <is>
          <t>R08977</t>
        </is>
      </c>
      <c r="B63" s="3" t="inlineStr">
        <is>
          <t>Evaluation of microaeration strategies in the digestion zone of UASB reactors as an alternative for biogas desulfurization</t>
        </is>
      </c>
      <c r="C63" s="3" t="inlineStr">
        <is>
          <t>2023</t>
        </is>
      </c>
      <c r="D63" s="3" t="inlineStr">
        <is>
          <t>2023</t>
        </is>
      </c>
      <c r="E63" s="3" t="inlineStr">
        <is>
          <t>10.1080/09593330.2021.1974574</t>
        </is>
      </c>
      <c r="F63" s="3" t="inlineStr">
        <is>
          <t>期刊文章</t>
        </is>
      </c>
      <c r="G63" s="3" t="inlineStr">
        <is>
          <t>1 直接向 AD 反应器或内部循环系统供氧</t>
        </is>
      </c>
      <c r="H63" s="3" t="inlineStr">
        <is>
          <t>是</t>
        </is>
      </c>
      <c r="I63" s="3" t="inlineStr">
        <is>
          <t>研究类</t>
        </is>
      </c>
      <c r="J63" s="3" t="inlineStr">
        <is>
          <t>是</t>
        </is>
      </c>
      <c r="K63" s="3" t="inlineStr">
        <is>
          <t>ENVIRONMENTAL TECHNOLOGY</t>
        </is>
      </c>
      <c r="L63" s="3" t="inlineStr">
        <is>
          <t>Environmental Technology</t>
        </is>
      </c>
      <c r="M63" s="3" t="inlineStr">
        <is>
          <t>0959-3330</t>
        </is>
      </c>
      <c r="N63" s="3" t="inlineStr">
        <is>
          <t>1479-487X</t>
        </is>
      </c>
      <c r="O63" s="3" t="inlineStr">
        <is>
          <t>已取得核验全文</t>
        </is>
      </c>
      <c r="P63" s="3" t="inlineStr">
        <is>
          <t>是</t>
        </is>
      </c>
      <c r="Q63" s="3" t="inlineStr">
        <is>
          <t>当前无补充材料原件；沿用既有缺失/无附件证据，不据此认定无附件</t>
        </is>
      </c>
      <c r="R63" s="3" t="n">
        <v>2024</v>
      </c>
      <c r="S63" s="3" t="inlineStr">
        <is>
          <t>2025发布版（2024指标年）</t>
        </is>
      </c>
      <c r="T63" s="3" t="inlineStr">
        <is>
          <t>ENVIRONMENTAL SCIENCES</t>
        </is>
      </c>
      <c r="U63" s="3" t="inlineStr">
        <is>
          <t>ENVIRONMENTAL SCIENCES: Q3</t>
        </is>
      </c>
      <c r="V63" s="3" t="inlineStr">
        <is>
          <t>否</t>
        </is>
      </c>
      <c r="W63" s="3" t="inlineStr">
        <is>
          <t>否</t>
        </is>
      </c>
      <c r="X63" s="3" t="inlineStr">
        <is>
          <t>是</t>
        </is>
      </c>
      <c r="Y63" s="3" t="inlineStr">
        <is>
          <t>https://topj.lib.whu.edu.cn/searchxk1.asp?ordertype=desc&amp;page=11&amp;q=&amp;xk=488</t>
        </is>
      </c>
      <c r="Z63" s="3" t="inlineStr">
        <is>
          <t>https://api.crossref.org/works/10.1080/09593330.2021.1974574</t>
        </is>
      </c>
      <c r="AA6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63" s="3" t="inlineStr">
        <is>
          <t>original_files/R08977/fulltext/fulltext__published__ab74434fdc5f7457.pdf</t>
        </is>
      </c>
      <c r="AC63" s="3" t="inlineStr"/>
      <c r="AD63" s="3" t="inlineStr">
        <is>
          <t>https://github.com/Colliam-Vermilion/FirstCodex/blob/results/ad-oxygen-literature-20261006/results/ad-oxygen-literature-20261006/original_files/R08977/fulltext/fulltext__published__ab74434fdc5f7457.pdf</t>
        </is>
      </c>
    </row>
    <row r="64" ht="48" customHeight="1">
      <c r="A64" s="2" t="inlineStr">
        <is>
          <t>R09236</t>
        </is>
      </c>
      <c r="B64" s="2" t="inlineStr">
        <is>
          <t>Microbiome Diversity of Anaerobic Digesters Is Enhanced by Microaeration and Low Frequency Sound</t>
        </is>
      </c>
      <c r="C64" s="2" t="inlineStr">
        <is>
          <t>2023</t>
        </is>
      </c>
      <c r="D64" s="2" t="inlineStr">
        <is>
          <t>2023</t>
        </is>
      </c>
      <c r="E64" s="2" t="inlineStr">
        <is>
          <t>10.3390/microorganisms11092349</t>
        </is>
      </c>
      <c r="F64" s="2" t="inlineStr">
        <is>
          <t>期刊文章</t>
        </is>
      </c>
      <c r="G64" s="2" t="inlineStr">
        <is>
          <t>1 直接向 AD 反应器或内部循环系统供氧</t>
        </is>
      </c>
      <c r="H64" s="2" t="inlineStr">
        <is>
          <t>是</t>
        </is>
      </c>
      <c r="I64" s="2" t="inlineStr">
        <is>
          <t>研究类</t>
        </is>
      </c>
      <c r="J64" s="2" t="inlineStr">
        <is>
          <t>是</t>
        </is>
      </c>
      <c r="K64" s="2" t="inlineStr">
        <is>
          <t>Microorganisms</t>
        </is>
      </c>
      <c r="L64" s="2" t="inlineStr">
        <is>
          <t>Microorganisms</t>
        </is>
      </c>
      <c r="M64" s="2" t="inlineStr"/>
      <c r="N64" s="2" t="inlineStr">
        <is>
          <t>2076-2607</t>
        </is>
      </c>
      <c r="O64" s="2" t="inlineStr">
        <is>
          <t>已取得核验全文</t>
        </is>
      </c>
      <c r="P64" s="2" t="inlineStr">
        <is>
          <t>是</t>
        </is>
      </c>
      <c r="Q64" s="2" t="inlineStr">
        <is>
          <t>已取得1件原格式补充材料；其中0件唯一关联待核实；完整性未确认</t>
        </is>
      </c>
      <c r="R64" s="2" t="n">
        <v>2024</v>
      </c>
      <c r="S64" s="2" t="inlineStr">
        <is>
          <t>2025发布版（2024指标年）</t>
        </is>
      </c>
      <c r="T64" s="2" t="inlineStr"/>
      <c r="U64" s="2" t="inlineStr"/>
      <c r="V64" s="2" t="inlineStr">
        <is>
          <t>待核实</t>
        </is>
      </c>
      <c r="W64" s="2" t="inlineStr">
        <is>
          <t>待核实</t>
        </is>
      </c>
      <c r="X64" s="2" t="inlineStr">
        <is>
          <t>否</t>
        </is>
      </c>
      <c r="Y64" s="2" t="inlineStr"/>
      <c r="Z64" s="2" t="inlineStr">
        <is>
          <t>https://api.crossref.org/works/10.3390/microorganisms11092349</t>
        </is>
      </c>
      <c r="AA64" s="2" t="inlineStr">
        <is>
          <t>2024指标年JCR分区未核实；空白不能当非Q1。需要2025发布版/2024指标年的JCR全部学科导出。</t>
        </is>
      </c>
      <c r="AB64" s="2" t="inlineStr">
        <is>
          <t>original_files/R09236/fulltext/fulltext__published__7891c46f856f19ac.pdf</t>
        </is>
      </c>
      <c r="AC64" s="2" t="inlineStr">
        <is>
          <t>original_files/R09236/supplementary/supplementary__17102352b095b0fc.zip</t>
        </is>
      </c>
      <c r="AD64" s="2" t="inlineStr">
        <is>
          <t>https://github.com/Colliam-Vermilion/FirstCodex/blob/results/ad-oxygen-literature-20261006/results/ad-oxygen-literature-20261006/original_files/R09236/fulltext/fulltext__published__7891c46f856f19ac.pdf</t>
        </is>
      </c>
    </row>
    <row r="65" ht="48" customHeight="1">
      <c r="A65" s="3" t="inlineStr">
        <is>
          <t>R09902</t>
        </is>
      </c>
      <c r="B65" s="3" t="inlineStr">
        <is>
          <t>Biological desulfurization of biogas by a controlled aeration system</t>
        </is>
      </c>
      <c r="C65" s="3" t="inlineStr">
        <is>
          <t>2024</t>
        </is>
      </c>
      <c r="D65" s="3" t="inlineStr">
        <is>
          <t>2024</t>
        </is>
      </c>
      <c r="E65" s="3" t="inlineStr">
        <is>
          <t>10.55905/cuadv16n2-063</t>
        </is>
      </c>
      <c r="F65" s="3" t="inlineStr">
        <is>
          <t>期刊文章</t>
        </is>
      </c>
      <c r="G65" s="3" t="inlineStr">
        <is>
          <t>1 直接向 AD 反应器或内部循环系统供氧</t>
        </is>
      </c>
      <c r="H65" s="3" t="inlineStr">
        <is>
          <t>是</t>
        </is>
      </c>
      <c r="I65" s="3" t="inlineStr">
        <is>
          <t>研究类</t>
        </is>
      </c>
      <c r="J65" s="3" t="inlineStr">
        <is>
          <t>是</t>
        </is>
      </c>
      <c r="K65" s="3" t="inlineStr">
        <is>
          <t>Cuadernos de Educación y Desarrollo</t>
        </is>
      </c>
      <c r="L65" s="3" t="inlineStr">
        <is>
          <t>Cuadernos de Educación y Desarrollo</t>
        </is>
      </c>
      <c r="M65" s="3" t="inlineStr">
        <is>
          <t>1989-4155</t>
        </is>
      </c>
      <c r="N65" s="3" t="inlineStr">
        <is>
          <t>1989-4155</t>
        </is>
      </c>
      <c r="O65" s="3" t="inlineStr">
        <is>
          <t>已取得核验全文</t>
        </is>
      </c>
      <c r="P65" s="3" t="inlineStr">
        <is>
          <t>是</t>
        </is>
      </c>
      <c r="Q65" s="3" t="inlineStr">
        <is>
          <t>当前无补充材料原件；沿用既有缺失/无附件证据，不据此认定无附件</t>
        </is>
      </c>
      <c r="R65" s="3" t="n">
        <v>2024</v>
      </c>
      <c r="S65" s="3" t="inlineStr">
        <is>
          <t>2025发布版（2024指标年）</t>
        </is>
      </c>
      <c r="T65" s="3" t="inlineStr"/>
      <c r="U65" s="3" t="inlineStr"/>
      <c r="V65" s="3" t="inlineStr">
        <is>
          <t>待核实</t>
        </is>
      </c>
      <c r="W65" s="3" t="inlineStr">
        <is>
          <t>待核实</t>
        </is>
      </c>
      <c r="X65" s="3" t="inlineStr">
        <is>
          <t>否</t>
        </is>
      </c>
      <c r="Y65" s="3" t="inlineStr"/>
      <c r="Z65" s="3" t="inlineStr">
        <is>
          <t>https://api.crossref.org/works/10.55905/cuadv16n2-063</t>
        </is>
      </c>
      <c r="AA65" s="3" t="inlineStr">
        <is>
          <t>2024指标年JCR分区未核实；空白不能当非Q1。需要2025发布版/2024指标年的JCR全部学科导出。</t>
        </is>
      </c>
      <c r="AB65" s="3" t="inlineStr">
        <is>
          <t>original_files/R09902/fulltext/fulltext__version_unverified__22ec9f0c43b02d82.pdf</t>
        </is>
      </c>
      <c r="AC65" s="3" t="inlineStr"/>
      <c r="AD65" s="3" t="inlineStr">
        <is>
          <t>https://github.com/Colliam-Vermilion/FirstCodex/blob/results/ad-oxygen-literature-20261006/results/ad-oxygen-literature-20261006/original_files/R09902/fulltext/fulltext__version_unverified__22ec9f0c43b02d82.pdf</t>
        </is>
      </c>
    </row>
    <row r="66" ht="48" customHeight="1">
      <c r="A66" s="2" t="inlineStr">
        <is>
          <t>R10086</t>
        </is>
      </c>
      <c r="B66" s="2" t="inlineStr">
        <is>
          <t>Effect of micro-aeration on syntrophic and methanogenic activity in anaerobic sludge</t>
        </is>
      </c>
      <c r="C66" s="2" t="inlineStr">
        <is>
          <t>2024</t>
        </is>
      </c>
      <c r="D66" s="2" t="inlineStr">
        <is>
          <t>2024</t>
        </is>
      </c>
      <c r="E66" s="2" t="inlineStr">
        <is>
          <t>10.1007/s00253-023-12969-4</t>
        </is>
      </c>
      <c r="F66" s="2" t="inlineStr">
        <is>
          <t>期刊文章</t>
        </is>
      </c>
      <c r="G66" s="2" t="inlineStr">
        <is>
          <t>1 直接向 AD 反应器或内部循环系统供氧</t>
        </is>
      </c>
      <c r="H66" s="2" t="inlineStr">
        <is>
          <t>是</t>
        </is>
      </c>
      <c r="I66" s="2" t="inlineStr">
        <is>
          <t>研究类</t>
        </is>
      </c>
      <c r="J66" s="2" t="inlineStr">
        <is>
          <t>是</t>
        </is>
      </c>
      <c r="K66" s="2" t="inlineStr">
        <is>
          <t>APPLIED MICROBIOLOGY AND BIOTECHNOLOGY</t>
        </is>
      </c>
      <c r="L66" s="2" t="inlineStr">
        <is>
          <t>Applied Microbiology and Biotechnology</t>
        </is>
      </c>
      <c r="M66" s="2" t="inlineStr">
        <is>
          <t>0175-7598</t>
        </is>
      </c>
      <c r="N66" s="2" t="inlineStr">
        <is>
          <t>1432-0614</t>
        </is>
      </c>
      <c r="O66" s="2" t="inlineStr">
        <is>
          <t>已取得核验全文</t>
        </is>
      </c>
      <c r="P66" s="2" t="inlineStr">
        <is>
          <t>是</t>
        </is>
      </c>
      <c r="Q66" s="2" t="inlineStr">
        <is>
          <t>已取得1件原格式补充材料；其中0件唯一关联待核实；完整性未确认</t>
        </is>
      </c>
      <c r="R66" s="2" t="n">
        <v>2024</v>
      </c>
      <c r="S66" s="2" t="inlineStr">
        <is>
          <t>2025发布版（2024指标年）</t>
        </is>
      </c>
      <c r="T66" s="2" t="inlineStr">
        <is>
          <t>BIOTECHNOLOGY &amp; APPLIED MICROBIOLOGY</t>
        </is>
      </c>
      <c r="U66" s="2" t="inlineStr">
        <is>
          <t>BIOTECHNOLOGY &amp; APPLIED MICROBIOLOGY: Q1</t>
        </is>
      </c>
      <c r="V66" s="4" t="inlineStr">
        <is>
          <t>是</t>
        </is>
      </c>
      <c r="W66" s="4" t="inlineStr">
        <is>
          <t>是</t>
        </is>
      </c>
      <c r="X66" s="2" t="inlineStr">
        <is>
          <t>是</t>
        </is>
      </c>
      <c r="Y66" s="2" t="inlineStr">
        <is>
          <t>https://topj.lib.whu.edu.cn/searchxk1.asp?ordertype=asc&amp;page=6&amp;q=&amp;xk=291</t>
        </is>
      </c>
      <c r="Z66" s="2" t="inlineStr">
        <is>
          <t>https://api.crossref.org/works/10.1007/s00253-023-12969-4</t>
        </is>
      </c>
      <c r="AA66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66" s="2" t="inlineStr">
        <is>
          <t>original_files/R10086/fulltext/fulltext__version_unverified__21edae5d714c52e2.pdf</t>
        </is>
      </c>
      <c r="AC66" s="2" t="inlineStr">
        <is>
          <t>original_files/R10086/supplementary/supplementary__dcdb70eb931fe44e.pdf</t>
        </is>
      </c>
      <c r="AD66" s="2" t="inlineStr">
        <is>
          <t>https://github.com/Colliam-Vermilion/FirstCodex/blob/results/ad-oxygen-literature-20261006/results/ad-oxygen-literature-20261006/original_files/R10086/fulltext/fulltext__version_unverified__21edae5d714c52e2.pdf</t>
        </is>
      </c>
    </row>
    <row r="67" ht="48" customHeight="1">
      <c r="A67" s="3" t="inlineStr">
        <is>
          <t>R10163</t>
        </is>
      </c>
      <c r="B67" s="3" t="inlineStr">
        <is>
          <t>Enhanced anaerobic digestion performance and sludge filterability by membrane microaeration for anaerobic membrane bioreactor application</t>
        </is>
      </c>
      <c r="C67" s="3" t="inlineStr">
        <is>
          <t>2024</t>
        </is>
      </c>
      <c r="D67" s="3" t="inlineStr">
        <is>
          <t>2024</t>
        </is>
      </c>
      <c r="E67" s="3" t="inlineStr">
        <is>
          <t>10.1016/j.biortech.2024.130787</t>
        </is>
      </c>
      <c r="F67" s="3" t="inlineStr">
        <is>
          <t>期刊文章</t>
        </is>
      </c>
      <c r="G67" s="3" t="inlineStr">
        <is>
          <t>1 直接向 AD 反应器或内部循环系统供氧</t>
        </is>
      </c>
      <c r="H67" s="3" t="inlineStr">
        <is>
          <t>是</t>
        </is>
      </c>
      <c r="I67" s="3" t="inlineStr">
        <is>
          <t>研究类</t>
        </is>
      </c>
      <c r="J67" s="3" t="inlineStr">
        <is>
          <t>是</t>
        </is>
      </c>
      <c r="K67" s="3" t="inlineStr">
        <is>
          <t>BIORESOURCE TECHNOLOGY</t>
        </is>
      </c>
      <c r="L67" s="3" t="inlineStr">
        <is>
          <t>Bioresource Technology</t>
        </is>
      </c>
      <c r="M67" s="3" t="inlineStr">
        <is>
          <t>0960-8524</t>
        </is>
      </c>
      <c r="N67" s="3" t="inlineStr"/>
      <c r="O67" s="3" t="inlineStr">
        <is>
          <t>已取得核验全文</t>
        </is>
      </c>
      <c r="P67" s="3" t="inlineStr">
        <is>
          <t>是</t>
        </is>
      </c>
      <c r="Q67" s="3" t="inlineStr">
        <is>
          <t>已取得1件原格式补充材料；其中0件唯一关联待核实；完整性未确认</t>
        </is>
      </c>
      <c r="R67" s="3" t="n">
        <v>2024</v>
      </c>
      <c r="S67" s="3" t="inlineStr">
        <is>
          <t>2025发布版（2024指标年）</t>
        </is>
      </c>
      <c r="T67" s="3" t="inlineStr">
        <is>
          <t>AGRICULTURAL ENGINEERING; BIOTECHNOLOGY &amp; APPLIED MICROBIOLOGY; ENERGY &amp; FUELS</t>
        </is>
      </c>
      <c r="U67" s="3" t="inlineStr">
        <is>
          <t>AGRICULTURAL ENGINEERING: Q1; BIOTECHNOLOGY &amp; APPLIED MICROBIOLOGY: Q1; ENERGY &amp; FUELS: Q1</t>
        </is>
      </c>
      <c r="V67" s="4" t="inlineStr">
        <is>
          <t>是</t>
        </is>
      </c>
      <c r="W67" s="4" t="inlineStr">
        <is>
          <t>是</t>
        </is>
      </c>
      <c r="X67" s="3" t="inlineStr">
        <is>
          <t>是</t>
        </is>
      </c>
      <c r="Y67" s="3" t="inlineStr">
        <is>
          <t>https://topj.lib.whu.edu.cn/show.asp?cat=zk&amp;id=3976</t>
        </is>
      </c>
      <c r="Z67" s="3" t="inlineStr">
        <is>
          <t>https://api.crossref.org/works/10.1016/j.biortech.2024.130787</t>
        </is>
      </c>
      <c r="AA6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67" s="3" t="inlineStr">
        <is>
          <t>original_files/R10163/fulltext/fulltext__published__1e165f6b6e3dc27b.pdf</t>
        </is>
      </c>
      <c r="AC67" s="3" t="inlineStr">
        <is>
          <t>original_files/R10163/supplementary/supplementary__e5edc17a3420f86a.docx</t>
        </is>
      </c>
      <c r="AD67" s="3" t="inlineStr">
        <is>
          <t>https://github.com/Colliam-Vermilion/FirstCodex/blob/results/ad-oxygen-literature-20261006/results/ad-oxygen-literature-20261006/original_files/R10163/fulltext/fulltext__published__1e165f6b6e3dc27b.pdf</t>
        </is>
      </c>
    </row>
    <row r="68" ht="48" customHeight="1">
      <c r="A68" s="2" t="inlineStr">
        <is>
          <t>R10187</t>
        </is>
      </c>
      <c r="B68" s="2" t="inlineStr">
        <is>
          <t>Enhancement of methane production from anaerobic digestion of Erigeron canadensis via O2-nanobubble water supplementation</t>
        </is>
      </c>
      <c r="C68" s="2" t="inlineStr">
        <is>
          <t>2024</t>
        </is>
      </c>
      <c r="D68" s="2" t="inlineStr">
        <is>
          <t>2024</t>
        </is>
      </c>
      <c r="E68" s="2" t="inlineStr">
        <is>
          <t>10.1016/j.chemosphere.2024.141732</t>
        </is>
      </c>
      <c r="F68" s="2" t="inlineStr">
        <is>
          <t>期刊文章</t>
        </is>
      </c>
      <c r="G68" s="2" t="inlineStr">
        <is>
          <t>1 直接向 AD 反应器或内部循环系统供氧</t>
        </is>
      </c>
      <c r="H68" s="2" t="inlineStr">
        <is>
          <t>是</t>
        </is>
      </c>
      <c r="I68" s="2" t="inlineStr">
        <is>
          <t>研究类</t>
        </is>
      </c>
      <c r="J68" s="2" t="inlineStr">
        <is>
          <t>是</t>
        </is>
      </c>
      <c r="K68" s="2" t="inlineStr">
        <is>
          <t>Chemosphere</t>
        </is>
      </c>
      <c r="L68" s="2" t="inlineStr">
        <is>
          <t>Chemosphere</t>
        </is>
      </c>
      <c r="M68" s="2" t="inlineStr">
        <is>
          <t>0045-6535</t>
        </is>
      </c>
      <c r="N68" s="2" t="inlineStr"/>
      <c r="O68" s="2" t="inlineStr">
        <is>
          <t>已取得核验全文</t>
        </is>
      </c>
      <c r="P68" s="2" t="inlineStr">
        <is>
          <t>是</t>
        </is>
      </c>
      <c r="Q68" s="2" t="inlineStr">
        <is>
          <t>已取得1件原格式补充材料；其中1件唯一关联待核实；完整性未确认</t>
        </is>
      </c>
      <c r="R68" s="2" t="n">
        <v>2024</v>
      </c>
      <c r="S68" s="2" t="inlineStr">
        <is>
          <t>2025发布版（2024指标年）</t>
        </is>
      </c>
      <c r="T68" s="2" t="inlineStr"/>
      <c r="U68" s="2" t="inlineStr"/>
      <c r="V68" s="2" t="inlineStr">
        <is>
          <t>待核实</t>
        </is>
      </c>
      <c r="W68" s="2" t="inlineStr">
        <is>
          <t>待核实</t>
        </is>
      </c>
      <c r="X68" s="2" t="inlineStr">
        <is>
          <t>否</t>
        </is>
      </c>
      <c r="Y68" s="2" t="inlineStr"/>
      <c r="Z68" s="2" t="inlineStr">
        <is>
          <t>https://api.crossref.org/works/10.1016/j.chemosphere.2024.141732</t>
        </is>
      </c>
      <c r="AA68" s="2" t="inlineStr">
        <is>
          <t>2024指标年JCR分区未核实；空白不能当非Q1。需要2025发布版/2024指标年的JCR全部学科导出。</t>
        </is>
      </c>
      <c r="AB68" s="2" t="inlineStr">
        <is>
          <t>original_files/R10187/fulltext/fulltext__published__59b1f03109077622.pdf</t>
        </is>
      </c>
      <c r="AC68" s="2" t="inlineStr">
        <is>
          <t>original_files/R10187/supplementary/supplementary__9b5e4725b27653c8.docx</t>
        </is>
      </c>
      <c r="AD68" s="2" t="inlineStr">
        <is>
          <t>https://github.com/Colliam-Vermilion/FirstCodex/blob/results/ad-oxygen-literature-20261006/results/ad-oxygen-literature-20261006/original_files/R10187/fulltext/fulltext__published__59b1f03109077622.pdf</t>
        </is>
      </c>
    </row>
    <row r="69" ht="48" customHeight="1">
      <c r="A69" s="3" t="inlineStr">
        <is>
          <t>R10191</t>
        </is>
      </c>
      <c r="B69" s="3" t="inlineStr">
        <is>
          <t>Enhancing Anaerobic Digestion of Food Waste by Combining Carriers and Microaeration: Performance and Potential Mechanisms</t>
        </is>
      </c>
      <c r="C69" s="3" t="inlineStr">
        <is>
          <t>2024</t>
        </is>
      </c>
      <c r="D69" s="3" t="inlineStr">
        <is>
          <t>2024</t>
        </is>
      </c>
      <c r="E69" s="3" t="inlineStr">
        <is>
          <t>10.1021/acsestengg.4c00298</t>
        </is>
      </c>
      <c r="F69" s="3" t="inlineStr">
        <is>
          <t>期刊文章</t>
        </is>
      </c>
      <c r="G69" s="3" t="inlineStr">
        <is>
          <t>1 直接向 AD 反应器或内部循环系统供氧</t>
        </is>
      </c>
      <c r="H69" s="3" t="inlineStr">
        <is>
          <t>是</t>
        </is>
      </c>
      <c r="I69" s="3" t="inlineStr">
        <is>
          <t>研究类</t>
        </is>
      </c>
      <c r="J69" s="3" t="inlineStr">
        <is>
          <t>是</t>
        </is>
      </c>
      <c r="K69" s="3" t="inlineStr">
        <is>
          <t>ACS ES&amp;T Engineering</t>
        </is>
      </c>
      <c r="L69" s="3" t="inlineStr">
        <is>
          <t>ACS ES&amp;amp;T Engineering</t>
        </is>
      </c>
      <c r="M69" s="3" t="inlineStr">
        <is>
          <t>2690-0645</t>
        </is>
      </c>
      <c r="N69" s="3" t="inlineStr">
        <is>
          <t>2690-0645</t>
        </is>
      </c>
      <c r="O69" s="3" t="inlineStr">
        <is>
          <t>已取得核验全文</t>
        </is>
      </c>
      <c r="P69" s="3" t="inlineStr">
        <is>
          <t>是</t>
        </is>
      </c>
      <c r="Q69" s="3" t="inlineStr">
        <is>
          <t>已取得2件原格式补充材料；其中1件唯一关联待核实；完整性未确认</t>
        </is>
      </c>
      <c r="R69" s="3" t="n">
        <v>2024</v>
      </c>
      <c r="S69" s="3" t="inlineStr">
        <is>
          <t>2025发布版（2024指标年）</t>
        </is>
      </c>
      <c r="T69" s="3" t="inlineStr"/>
      <c r="U69" s="3" t="inlineStr"/>
      <c r="V69" s="3" t="inlineStr">
        <is>
          <t>待核实</t>
        </is>
      </c>
      <c r="W69" s="3" t="inlineStr">
        <is>
          <t>待核实</t>
        </is>
      </c>
      <c r="X69" s="3" t="inlineStr">
        <is>
          <t>否</t>
        </is>
      </c>
      <c r="Y69" s="3" t="inlineStr"/>
      <c r="Z69" s="3" t="inlineStr">
        <is>
          <t>https://api.crossref.org/works/10.1021/acsestengg.4c00298</t>
        </is>
      </c>
      <c r="AA69" s="3" t="inlineStr">
        <is>
          <t>2024指标年JCR分区未核实；空白不能当非Q1。需要2025发布版/2024指标年的JCR全部学科导出。</t>
        </is>
      </c>
      <c r="AB69" s="3" t="inlineStr">
        <is>
          <t>original_files/R10191/fulltext/fulltext__published__02ba064b090497b8.pdf</t>
        </is>
      </c>
      <c r="AC69" s="3" t="inlineStr">
        <is>
          <t>original_files/R10191/supplementary/supplementary__71a64572ac901c1a.pdf; original_files/R10191/supplementary/supplementary__7f5add489e7e2f53.xlsx</t>
        </is>
      </c>
      <c r="AD69" s="3" t="inlineStr">
        <is>
          <t>https://github.com/Colliam-Vermilion/FirstCodex/blob/results/ad-oxygen-literature-20261006/results/ad-oxygen-literature-20261006/original_files/R10191/fulltext/fulltext__published__02ba064b090497b8.pdf</t>
        </is>
      </c>
    </row>
    <row r="70" ht="48" customHeight="1">
      <c r="A70" s="2" t="inlineStr">
        <is>
          <t>R10300</t>
        </is>
      </c>
      <c r="B70" s="2" t="inlineStr">
        <is>
          <t>Headspace micro-oxygenation as a strategy for efficient biogas desulfurization and biomethane generation in a centralized sewage sludge digestion plant</t>
        </is>
      </c>
      <c r="C70" s="2" t="inlineStr">
        <is>
          <t>2024</t>
        </is>
      </c>
      <c r="D70" s="2" t="inlineStr">
        <is>
          <t>2024</t>
        </is>
      </c>
      <c r="E70" s="2" t="inlineStr">
        <is>
          <t>10.1016/j.biombioe.2024.107151</t>
        </is>
      </c>
      <c r="F70" s="2" t="inlineStr">
        <is>
          <t>期刊文章</t>
        </is>
      </c>
      <c r="G70" s="2" t="inlineStr">
        <is>
          <t>1 直接向 AD 反应器或内部循环系统供氧</t>
        </is>
      </c>
      <c r="H70" s="2" t="inlineStr">
        <is>
          <t>是</t>
        </is>
      </c>
      <c r="I70" s="2" t="inlineStr">
        <is>
          <t>研究类</t>
        </is>
      </c>
      <c r="J70" s="2" t="inlineStr">
        <is>
          <t>是</t>
        </is>
      </c>
      <c r="K70" s="2" t="inlineStr">
        <is>
          <t>BIOMASS &amp; BIOENERGY</t>
        </is>
      </c>
      <c r="L70" s="2" t="inlineStr">
        <is>
          <t>Biomass and Bioenergy</t>
        </is>
      </c>
      <c r="M70" s="2" t="inlineStr">
        <is>
          <t>0961-9534</t>
        </is>
      </c>
      <c r="N70" s="2" t="inlineStr"/>
      <c r="O70" s="2" t="inlineStr">
        <is>
          <t>已取得核验全文</t>
        </is>
      </c>
      <c r="P70" s="2" t="inlineStr">
        <is>
          <t>是</t>
        </is>
      </c>
      <c r="Q70" s="2" t="inlineStr">
        <is>
          <t>已取得1件原格式补充材料；其中0件唯一关联待核实；完整性未确认</t>
        </is>
      </c>
      <c r="R70" s="2" t="n">
        <v>2024</v>
      </c>
      <c r="S70" s="2" t="inlineStr">
        <is>
          <t>2025发布版（2024指标年）</t>
        </is>
      </c>
      <c r="T70" s="2" t="inlineStr">
        <is>
          <t>AGRICULTURAL ENGINEERING; BIOTECHNOLOGY &amp; APPLIED MICROBIOLOGY; ENERGY &amp; FUELS</t>
        </is>
      </c>
      <c r="U70" s="2" t="inlineStr">
        <is>
          <t>AGRICULTURAL ENGINEERING: Q1; BIOTECHNOLOGY &amp; APPLIED MICROBIOLOGY: Q1; ENERGY &amp; FUELS: Q2</t>
        </is>
      </c>
      <c r="V70" s="4" t="inlineStr">
        <is>
          <t>是</t>
        </is>
      </c>
      <c r="W70" s="2" t="inlineStr">
        <is>
          <t>否</t>
        </is>
      </c>
      <c r="X70" s="2" t="inlineStr">
        <is>
          <t>是</t>
        </is>
      </c>
      <c r="Y70" s="2" t="inlineStr">
        <is>
          <t>https://topj.lib.whu.edu.cn/show.asp?cat=sci&amp;id=5613</t>
        </is>
      </c>
      <c r="Z70" s="2" t="inlineStr">
        <is>
          <t>https://api.crossref.org/works/10.1016/j.biombioe.2024.107151</t>
        </is>
      </c>
      <c r="AA7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0" s="2" t="inlineStr">
        <is>
          <t>original_files/R10300/fulltext/fulltext__published__57f1f48cc9a5859e.pdf</t>
        </is>
      </c>
      <c r="AC70" s="2" t="inlineStr">
        <is>
          <t>original_files/R10300/supplementary/supplementary__d65851889e37319b.docx</t>
        </is>
      </c>
      <c r="AD70" s="2" t="inlineStr">
        <is>
          <t>https://github.com/Colliam-Vermilion/FirstCodex/blob/results/ad-oxygen-literature-20261006/results/ad-oxygen-literature-20261006/original_files/R10300/fulltext/fulltext__published__57f1f48cc9a5859e.pdf</t>
        </is>
      </c>
    </row>
    <row r="71" ht="48" customHeight="1">
      <c r="A71" s="3" t="inlineStr">
        <is>
          <t>R10492</t>
        </is>
      </c>
      <c r="B71" s="3" t="inlineStr">
        <is>
          <t>Metagenomic analysis reveals metabolic mechanism of enhancing lignocellulosic anaerobic digestion mediated by CO2/O2-nanobubble water</t>
        </is>
      </c>
      <c r="C71" s="3" t="inlineStr">
        <is>
          <t>2024</t>
        </is>
      </c>
      <c r="D71" s="3" t="inlineStr">
        <is>
          <t>2024</t>
        </is>
      </c>
      <c r="E71" s="3" t="inlineStr">
        <is>
          <t>10.1016/j.biortech.2024.131622</t>
        </is>
      </c>
      <c r="F71" s="3" t="inlineStr">
        <is>
          <t>期刊文章</t>
        </is>
      </c>
      <c r="G71" s="3" t="inlineStr">
        <is>
          <t>1 直接向 AD 反应器或内部循环系统供氧</t>
        </is>
      </c>
      <c r="H71" s="3" t="inlineStr">
        <is>
          <t>是</t>
        </is>
      </c>
      <c r="I71" s="3" t="inlineStr">
        <is>
          <t>研究类</t>
        </is>
      </c>
      <c r="J71" s="3" t="inlineStr">
        <is>
          <t>是</t>
        </is>
      </c>
      <c r="K71" s="3" t="inlineStr">
        <is>
          <t>BIORESOURCE TECHNOLOGY</t>
        </is>
      </c>
      <c r="L71" s="3" t="inlineStr">
        <is>
          <t>Bioresource Technology</t>
        </is>
      </c>
      <c r="M71" s="3" t="inlineStr">
        <is>
          <t>0960-8524</t>
        </is>
      </c>
      <c r="N71" s="3" t="inlineStr"/>
      <c r="O71" s="3" t="inlineStr">
        <is>
          <t>已取得核验全文</t>
        </is>
      </c>
      <c r="P71" s="3" t="inlineStr">
        <is>
          <t>是</t>
        </is>
      </c>
      <c r="Q71" s="3" t="inlineStr">
        <is>
          <t>当前无补充材料原件；沿用既有缺失/无附件证据，不据此认定无附件</t>
        </is>
      </c>
      <c r="R71" s="3" t="n">
        <v>2024</v>
      </c>
      <c r="S71" s="3" t="inlineStr">
        <is>
          <t>2025发布版（2024指标年）</t>
        </is>
      </c>
      <c r="T71" s="3" t="inlineStr">
        <is>
          <t>AGRICULTURAL ENGINEERING; BIOTECHNOLOGY &amp; APPLIED MICROBIOLOGY; ENERGY &amp; FUELS</t>
        </is>
      </c>
      <c r="U71" s="3" t="inlineStr">
        <is>
          <t>AGRICULTURAL ENGINEERING: Q1; BIOTECHNOLOGY &amp; APPLIED MICROBIOLOGY: Q1; ENERGY &amp; FUELS: Q1</t>
        </is>
      </c>
      <c r="V71" s="4" t="inlineStr">
        <is>
          <t>是</t>
        </is>
      </c>
      <c r="W71" s="4" t="inlineStr">
        <is>
          <t>是</t>
        </is>
      </c>
      <c r="X71" s="3" t="inlineStr">
        <is>
          <t>是</t>
        </is>
      </c>
      <c r="Y71" s="3" t="inlineStr">
        <is>
          <t>https://topj.lib.whu.edu.cn/show.asp?cat=zk&amp;id=3976</t>
        </is>
      </c>
      <c r="Z71" s="3" t="inlineStr">
        <is>
          <t>https://api.crossref.org/works/10.1016/j.biortech.2024.131622</t>
        </is>
      </c>
      <c r="AA7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1" s="3" t="inlineStr">
        <is>
          <t>original_files/R10492/fulltext/fulltext__accepted__3e5bb123d9d9d4ad.pdf</t>
        </is>
      </c>
      <c r="AC71" s="3" t="inlineStr"/>
      <c r="AD71" s="3" t="inlineStr">
        <is>
          <t>https://github.com/Colliam-Vermilion/FirstCodex/blob/results/ad-oxygen-literature-20261006/results/ad-oxygen-literature-20261006/original_files/R10492/fulltext/fulltext__accepted__3e5bb123d9d9d4ad.pdf</t>
        </is>
      </c>
    </row>
    <row r="72" ht="48" customHeight="1">
      <c r="A72" s="2" t="inlineStr">
        <is>
          <t>R11099</t>
        </is>
      </c>
      <c r="B72" s="2" t="inlineStr">
        <is>
          <t>Air nanobubble simultaneously enhances hydrolysis and methane yield of sludge temperature phased-anaerobic digestion</t>
        </is>
      </c>
      <c r="C72" s="2" t="inlineStr">
        <is>
          <t>2025</t>
        </is>
      </c>
      <c r="D72" s="2" t="inlineStr">
        <is>
          <t>2025</t>
        </is>
      </c>
      <c r="E72" s="2" t="inlineStr">
        <is>
          <t>10.1016/j.biortech.2025.132084</t>
        </is>
      </c>
      <c r="F72" s="2" t="inlineStr">
        <is>
          <t>期刊文章</t>
        </is>
      </c>
      <c r="G72" s="2" t="inlineStr">
        <is>
          <t>1 直接向 AD 反应器或内部循环系统供氧</t>
        </is>
      </c>
      <c r="H72" s="2" t="inlineStr">
        <is>
          <t>是</t>
        </is>
      </c>
      <c r="I72" s="2" t="inlineStr">
        <is>
          <t>研究类</t>
        </is>
      </c>
      <c r="J72" s="2" t="inlineStr">
        <is>
          <t>是</t>
        </is>
      </c>
      <c r="K72" s="2" t="inlineStr">
        <is>
          <t>BIORESOURCE TECHNOLOGY</t>
        </is>
      </c>
      <c r="L72" s="2" t="inlineStr">
        <is>
          <t>Bioresource Technology</t>
        </is>
      </c>
      <c r="M72" s="2" t="inlineStr">
        <is>
          <t>0960-8524</t>
        </is>
      </c>
      <c r="N72" s="2" t="inlineStr"/>
      <c r="O72" s="2" t="inlineStr">
        <is>
          <t>已取得核验全文</t>
        </is>
      </c>
      <c r="P72" s="2" t="inlineStr">
        <is>
          <t>是</t>
        </is>
      </c>
      <c r="Q72" s="2" t="inlineStr">
        <is>
          <t>已取得1件原格式补充材料；其中0件唯一关联待核实；完整性未确认</t>
        </is>
      </c>
      <c r="R72" s="2" t="n">
        <v>2024</v>
      </c>
      <c r="S72" s="2" t="inlineStr">
        <is>
          <t>2025发布版（2024指标年）</t>
        </is>
      </c>
      <c r="T72" s="2" t="inlineStr">
        <is>
          <t>AGRICULTURAL ENGINEERING; BIOTECHNOLOGY &amp; APPLIED MICROBIOLOGY; ENERGY &amp; FUELS</t>
        </is>
      </c>
      <c r="U72" s="2" t="inlineStr">
        <is>
          <t>AGRICULTURAL ENGINEERING: Q1; BIOTECHNOLOGY &amp; APPLIED MICROBIOLOGY: Q1; ENERGY &amp; FUELS: Q1</t>
        </is>
      </c>
      <c r="V72" s="4" t="inlineStr">
        <is>
          <t>是</t>
        </is>
      </c>
      <c r="W72" s="4" t="inlineStr">
        <is>
          <t>是</t>
        </is>
      </c>
      <c r="X72" s="2" t="inlineStr">
        <is>
          <t>是</t>
        </is>
      </c>
      <c r="Y72" s="2" t="inlineStr">
        <is>
          <t>https://topj.lib.whu.edu.cn/show.asp?cat=zk&amp;id=3976</t>
        </is>
      </c>
      <c r="Z72" s="2" t="inlineStr">
        <is>
          <t>https://api.crossref.org/works/10.1016/j.biortech.2025.132084</t>
        </is>
      </c>
      <c r="AA7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2" s="2" t="inlineStr">
        <is>
          <t>original_files/R11099/fulltext/fulltext__published__489410fc2ab502f5.pdf</t>
        </is>
      </c>
      <c r="AC72" s="2" t="inlineStr">
        <is>
          <t>original_files/R11099/supplementary/supplementary__b4d980f032cccfd2.docx</t>
        </is>
      </c>
      <c r="AD72" s="2" t="inlineStr">
        <is>
          <t>https://github.com/Colliam-Vermilion/FirstCodex/blob/results/ad-oxygen-literature-20261006/results/ad-oxygen-literature-20261006/original_files/R11099/fulltext/fulltext__published__489410fc2ab502f5.pdf</t>
        </is>
      </c>
    </row>
    <row r="73" ht="48" customHeight="1">
      <c r="A73" s="3" t="inlineStr">
        <is>
          <t>R11168</t>
        </is>
      </c>
      <c r="B73" s="3" t="inlineStr">
        <is>
          <t>Augmented methanogenic performance in straw-manure co-digestion via micro/nano bubble-enhanced syntrophic metabolism</t>
        </is>
      </c>
      <c r="C73" s="3" t="inlineStr">
        <is>
          <t>2025</t>
        </is>
      </c>
      <c r="D73" s="3" t="inlineStr">
        <is>
          <t>2025</t>
        </is>
      </c>
      <c r="E73" s="3" t="inlineStr">
        <is>
          <t>10.1016/j.biortech.2025.132955</t>
        </is>
      </c>
      <c r="F73" s="3" t="inlineStr">
        <is>
          <t>期刊文章</t>
        </is>
      </c>
      <c r="G73" s="3" t="inlineStr">
        <is>
          <t>1 直接向 AD 反应器或内部循环系统供氧</t>
        </is>
      </c>
      <c r="H73" s="3" t="inlineStr">
        <is>
          <t>是</t>
        </is>
      </c>
      <c r="I73" s="3" t="inlineStr">
        <is>
          <t>研究类</t>
        </is>
      </c>
      <c r="J73" s="3" t="inlineStr">
        <is>
          <t>是</t>
        </is>
      </c>
      <c r="K73" s="3" t="inlineStr">
        <is>
          <t>BIORESOURCE TECHNOLOGY</t>
        </is>
      </c>
      <c r="L73" s="3" t="inlineStr">
        <is>
          <t>Bioresource Technology</t>
        </is>
      </c>
      <c r="M73" s="3" t="inlineStr">
        <is>
          <t>0960-8524</t>
        </is>
      </c>
      <c r="N73" s="3" t="inlineStr"/>
      <c r="O73" s="3" t="inlineStr">
        <is>
          <t>已取得核验全文</t>
        </is>
      </c>
      <c r="P73" s="3" t="inlineStr">
        <is>
          <t>是</t>
        </is>
      </c>
      <c r="Q73" s="3" t="inlineStr">
        <is>
          <t>已取得1件原格式补充材料；其中1件唯一关联待核实；完整性未确认</t>
        </is>
      </c>
      <c r="R73" s="3" t="n">
        <v>2024</v>
      </c>
      <c r="S73" s="3" t="inlineStr">
        <is>
          <t>2025发布版（2024指标年）</t>
        </is>
      </c>
      <c r="T73" s="3" t="inlineStr">
        <is>
          <t>AGRICULTURAL ENGINEERING; BIOTECHNOLOGY &amp; APPLIED MICROBIOLOGY; ENERGY &amp; FUELS</t>
        </is>
      </c>
      <c r="U73" s="3" t="inlineStr">
        <is>
          <t>AGRICULTURAL ENGINEERING: Q1; BIOTECHNOLOGY &amp; APPLIED MICROBIOLOGY: Q1; ENERGY &amp; FUELS: Q1</t>
        </is>
      </c>
      <c r="V73" s="4" t="inlineStr">
        <is>
          <t>是</t>
        </is>
      </c>
      <c r="W73" s="4" t="inlineStr">
        <is>
          <t>是</t>
        </is>
      </c>
      <c r="X73" s="3" t="inlineStr">
        <is>
          <t>是</t>
        </is>
      </c>
      <c r="Y73" s="3" t="inlineStr">
        <is>
          <t>https://topj.lib.whu.edu.cn/show.asp?cat=zk&amp;id=3976</t>
        </is>
      </c>
      <c r="Z73" s="3" t="inlineStr">
        <is>
          <t>https://api.crossref.org/works/10.1016/j.biortech.2025.132955</t>
        </is>
      </c>
      <c r="AA7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3" s="3" t="inlineStr">
        <is>
          <t>original_files/R11168/fulltext/fulltext__published__149f738e0cd8afde.pdf</t>
        </is>
      </c>
      <c r="AC73" s="3" t="inlineStr">
        <is>
          <t>original_files/R11168/supplementary/supplementary__452021d2a82db226.docx</t>
        </is>
      </c>
      <c r="AD73" s="3" t="inlineStr">
        <is>
          <t>https://github.com/Colliam-Vermilion/FirstCodex/blob/results/ad-oxygen-literature-20261006/results/ad-oxygen-literature-20261006/original_files/R11168/fulltext/fulltext__published__149f738e0cd8afde.pdf</t>
        </is>
      </c>
    </row>
    <row r="74" ht="48" customHeight="1">
      <c r="A74" s="2" t="inlineStr">
        <is>
          <t>R11393</t>
        </is>
      </c>
      <c r="B74" s="2" t="inlineStr">
        <is>
          <t>Effect of microaeration combined with ferric chloride pretreatment on anaerobic digestion of corn stalk</t>
        </is>
      </c>
      <c r="C74" s="2" t="inlineStr">
        <is>
          <t>2025</t>
        </is>
      </c>
      <c r="D74" s="2" t="inlineStr">
        <is>
          <t>2025</t>
        </is>
      </c>
      <c r="E74" s="2" t="inlineStr">
        <is>
          <t>10.1080/15567036.2022.2039330</t>
        </is>
      </c>
      <c r="F74" s="2" t="inlineStr">
        <is>
          <t>期刊文章</t>
        </is>
      </c>
      <c r="G74" s="2" t="inlineStr">
        <is>
          <t>1 直接向 AD 反应器或内部循环系统供氧</t>
        </is>
      </c>
      <c r="H74" s="2" t="inlineStr">
        <is>
          <t>是</t>
        </is>
      </c>
      <c r="I74" s="2" t="inlineStr">
        <is>
          <t>研究类</t>
        </is>
      </c>
      <c r="J74" s="2" t="inlineStr">
        <is>
          <t>是</t>
        </is>
      </c>
      <c r="K74" s="2" t="inlineStr">
        <is>
          <t>Energy Sources Part A-Recovery Utilization and Environmental Effects</t>
        </is>
      </c>
      <c r="L74" s="2" t="inlineStr">
        <is>
          <t>Energy Sources, Part A: Recovery, Utilization, and Environmental Effects</t>
        </is>
      </c>
      <c r="M74" s="2" t="inlineStr">
        <is>
          <t>1556-7036</t>
        </is>
      </c>
      <c r="N74" s="2" t="inlineStr">
        <is>
          <t>1556-7230</t>
        </is>
      </c>
      <c r="O74" s="2" t="inlineStr">
        <is>
          <t>已取得核验全文</t>
        </is>
      </c>
      <c r="P74" s="2" t="inlineStr">
        <is>
          <t>是</t>
        </is>
      </c>
      <c r="Q74" s="2" t="inlineStr">
        <is>
          <t>当前无补充材料原件；沿用既有缺失/无附件证据，不据此认定无附件</t>
        </is>
      </c>
      <c r="R74" s="2" t="n">
        <v>2024</v>
      </c>
      <c r="S74" s="2" t="inlineStr">
        <is>
          <t>2025发布版（2024指标年）</t>
        </is>
      </c>
      <c r="T74" s="2" t="inlineStr">
        <is>
          <t>ENERGY &amp; FUELS; ENGINEERING, CHEMICAL</t>
        </is>
      </c>
      <c r="U74" s="2" t="inlineStr">
        <is>
          <t>ENERGY &amp; FUELS: Q4; ENGINEERING, CHEMICAL: Q3</t>
        </is>
      </c>
      <c r="V74" s="2" t="inlineStr">
        <is>
          <t>否</t>
        </is>
      </c>
      <c r="W74" s="2" t="inlineStr">
        <is>
          <t>否</t>
        </is>
      </c>
      <c r="X74" s="2" t="inlineStr">
        <is>
          <t>是</t>
        </is>
      </c>
      <c r="Y74" s="2" t="inlineStr">
        <is>
          <t>https://topj.lib.whu.edu.cn/show.asp?cat=zk&amp;id=5778</t>
        </is>
      </c>
      <c r="Z74" s="2" t="inlineStr">
        <is>
          <t>https://api.crossref.org/works/10.1080/15567036.2022.2039330</t>
        </is>
      </c>
      <c r="AA7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4" s="2" t="inlineStr">
        <is>
          <t>original_files/R11393/fulltext/fulltext__published__cf913d38796a4a9c.pdf</t>
        </is>
      </c>
      <c r="AC74" s="2" t="inlineStr"/>
      <c r="AD74" s="2" t="inlineStr">
        <is>
          <t>https://github.com/Colliam-Vermilion/FirstCodex/blob/results/ad-oxygen-literature-20261006/results/ad-oxygen-literature-20261006/original_files/R11393/fulltext/fulltext__published__cf913d38796a4a9c.pdf</t>
        </is>
      </c>
    </row>
    <row r="75" ht="48" customHeight="1">
      <c r="A75" s="3" t="inlineStr">
        <is>
          <t>R11596</t>
        </is>
      </c>
      <c r="B75" s="3" t="inlineStr">
        <is>
          <t>Facultative anaerobic bacteria enable syntrophic fatty acids degradation under micro-aerobic conditions</t>
        </is>
      </c>
      <c r="C75" s="3" t="inlineStr">
        <is>
          <t>2025</t>
        </is>
      </c>
      <c r="D75" s="3" t="inlineStr">
        <is>
          <t>2025</t>
        </is>
      </c>
      <c r="E75" s="3" t="inlineStr">
        <is>
          <t>10.1016/j.biortech.2024.131829</t>
        </is>
      </c>
      <c r="F75" s="3" t="inlineStr">
        <is>
          <t>期刊文章</t>
        </is>
      </c>
      <c r="G75" s="3" t="inlineStr">
        <is>
          <t>1 直接向 AD 反应器或内部循环系统供氧</t>
        </is>
      </c>
      <c r="H75" s="3" t="inlineStr">
        <is>
          <t>是</t>
        </is>
      </c>
      <c r="I75" s="3" t="inlineStr">
        <is>
          <t>研究类</t>
        </is>
      </c>
      <c r="J75" s="3" t="inlineStr">
        <is>
          <t>是</t>
        </is>
      </c>
      <c r="K75" s="3" t="inlineStr">
        <is>
          <t>BIORESOURCE TECHNOLOGY</t>
        </is>
      </c>
      <c r="L75" s="3" t="inlineStr">
        <is>
          <t>Bioresource Technology</t>
        </is>
      </c>
      <c r="M75" s="3" t="inlineStr">
        <is>
          <t>0960-8524</t>
        </is>
      </c>
      <c r="N75" s="3" t="inlineStr"/>
      <c r="O75" s="3" t="inlineStr">
        <is>
          <t>已取得核验全文</t>
        </is>
      </c>
      <c r="P75" s="3" t="inlineStr">
        <is>
          <t>是</t>
        </is>
      </c>
      <c r="Q75" s="3" t="inlineStr">
        <is>
          <t>当前无补充材料原件；沿用既有缺失/无附件证据，不据此认定无附件</t>
        </is>
      </c>
      <c r="R75" s="3" t="n">
        <v>2024</v>
      </c>
      <c r="S75" s="3" t="inlineStr">
        <is>
          <t>2025发布版（2024指标年）</t>
        </is>
      </c>
      <c r="T75" s="3" t="inlineStr">
        <is>
          <t>AGRICULTURAL ENGINEERING; BIOTECHNOLOGY &amp; APPLIED MICROBIOLOGY; ENERGY &amp; FUELS</t>
        </is>
      </c>
      <c r="U75" s="3" t="inlineStr">
        <is>
          <t>AGRICULTURAL ENGINEERING: Q1; BIOTECHNOLOGY &amp; APPLIED MICROBIOLOGY: Q1; ENERGY &amp; FUELS: Q1</t>
        </is>
      </c>
      <c r="V75" s="4" t="inlineStr">
        <is>
          <t>是</t>
        </is>
      </c>
      <c r="W75" s="4" t="inlineStr">
        <is>
          <t>是</t>
        </is>
      </c>
      <c r="X75" s="3" t="inlineStr">
        <is>
          <t>是</t>
        </is>
      </c>
      <c r="Y75" s="3" t="inlineStr">
        <is>
          <t>https://topj.lib.whu.edu.cn/show.asp?cat=zk&amp;id=3976</t>
        </is>
      </c>
      <c r="Z75" s="3" t="inlineStr">
        <is>
          <t>https://api.crossref.org/works/10.1016/j.biortech.2024.131829</t>
        </is>
      </c>
      <c r="AA7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5" s="3" t="inlineStr">
        <is>
          <t>original_files/R11596/fulltext/fulltext__published__6ace8d3f881b69f8.pdf; original_files/R11596/fulltext/fulltext__version_unverified__0b2e2d98dffd5449.pdf</t>
        </is>
      </c>
      <c r="AC75" s="3" t="inlineStr"/>
      <c r="AD75" s="3" t="inlineStr">
        <is>
          <t>https://github.com/Colliam-Vermilion/FirstCodex/blob/results/ad-oxygen-literature-20261006/results/ad-oxygen-literature-20261006/original_files/R11596/fulltext/fulltext__published__6ace8d3f881b69f8.pdf; https://github.com/Colliam-Vermilion/FirstCodex/blob/results/ad-oxygen-literature-20261006/results/ad-oxygen-literature-20261006/original_files/R11596/fulltext/fulltext__version_unverified__0b2e2d98dffd5449.pdf</t>
        </is>
      </c>
    </row>
    <row r="76" ht="48" customHeight="1">
      <c r="A76" s="2" t="inlineStr">
        <is>
          <t>R11693</t>
        </is>
      </c>
      <c r="B76" s="2" t="inlineStr">
        <is>
          <t>In-situ intermittent micro-aeration in food waste and sewage sludge anaerobic co-digestion: Performance, stability, and microbial dynamics</t>
        </is>
      </c>
      <c r="C76" s="2" t="inlineStr">
        <is>
          <t>2025</t>
        </is>
      </c>
      <c r="D76" s="2" t="inlineStr">
        <is>
          <t>2025</t>
        </is>
      </c>
      <c r="E76" s="2" t="inlineStr">
        <is>
          <t>10.1016/j.biortech.2025.132398</t>
        </is>
      </c>
      <c r="F76" s="2" t="inlineStr">
        <is>
          <t>期刊文章</t>
        </is>
      </c>
      <c r="G76" s="2" t="inlineStr">
        <is>
          <t>1 直接向 AD 反应器或内部循环系统供氧</t>
        </is>
      </c>
      <c r="H76" s="2" t="inlineStr">
        <is>
          <t>是</t>
        </is>
      </c>
      <c r="I76" s="2" t="inlineStr">
        <is>
          <t>研究类</t>
        </is>
      </c>
      <c r="J76" s="2" t="inlineStr">
        <is>
          <t>是</t>
        </is>
      </c>
      <c r="K76" s="2" t="inlineStr">
        <is>
          <t>BIORESOURCE TECHNOLOGY</t>
        </is>
      </c>
      <c r="L76" s="2" t="inlineStr">
        <is>
          <t>Bioresource Technology</t>
        </is>
      </c>
      <c r="M76" s="2" t="inlineStr">
        <is>
          <t>0960-8524</t>
        </is>
      </c>
      <c r="N76" s="2" t="inlineStr"/>
      <c r="O76" s="2" t="inlineStr">
        <is>
          <t>已取得核验全文</t>
        </is>
      </c>
      <c r="P76" s="2" t="inlineStr">
        <is>
          <t>是</t>
        </is>
      </c>
      <c r="Q76" s="2" t="inlineStr">
        <is>
          <t>已取得1件原格式补充材料；其中0件唯一关联待核实；完整性未确认</t>
        </is>
      </c>
      <c r="R76" s="2" t="n">
        <v>2024</v>
      </c>
      <c r="S76" s="2" t="inlineStr">
        <is>
          <t>2025发布版（2024指标年）</t>
        </is>
      </c>
      <c r="T76" s="2" t="inlineStr">
        <is>
          <t>AGRICULTURAL ENGINEERING; BIOTECHNOLOGY &amp; APPLIED MICROBIOLOGY; ENERGY &amp; FUELS</t>
        </is>
      </c>
      <c r="U76" s="2" t="inlineStr">
        <is>
          <t>AGRICULTURAL ENGINEERING: Q1; BIOTECHNOLOGY &amp; APPLIED MICROBIOLOGY: Q1; ENERGY &amp; FUELS: Q1</t>
        </is>
      </c>
      <c r="V76" s="4" t="inlineStr">
        <is>
          <t>是</t>
        </is>
      </c>
      <c r="W76" s="4" t="inlineStr">
        <is>
          <t>是</t>
        </is>
      </c>
      <c r="X76" s="2" t="inlineStr">
        <is>
          <t>是</t>
        </is>
      </c>
      <c r="Y76" s="2" t="inlineStr">
        <is>
          <t>https://topj.lib.whu.edu.cn/show.asp?cat=zk&amp;id=3976</t>
        </is>
      </c>
      <c r="Z76" s="2" t="inlineStr">
        <is>
          <t>https://api.crossref.org/works/10.1016/j.biortech.2025.132398</t>
        </is>
      </c>
      <c r="AA7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6" s="2" t="inlineStr">
        <is>
          <t>original_files/R11693/fulltext/fulltext__published__6ae8f5e4e6b40535.pdf</t>
        </is>
      </c>
      <c r="AC76" s="2" t="inlineStr">
        <is>
          <t>original_files/R11693/supplementary/supplementary__dfb29fe246ff8da4.docx</t>
        </is>
      </c>
      <c r="AD76" s="2" t="inlineStr">
        <is>
          <t>https://github.com/Colliam-Vermilion/FirstCodex/blob/results/ad-oxygen-literature-20261006/results/ad-oxygen-literature-20261006/original_files/R11693/fulltext/fulltext__published__6ae8f5e4e6b40535.pdf</t>
        </is>
      </c>
    </row>
    <row r="77" ht="48" customHeight="1">
      <c r="A77" s="3" t="inlineStr">
        <is>
          <t>R11751</t>
        </is>
      </c>
      <c r="B77" s="3" t="inlineStr">
        <is>
          <t>Intermittent Microaeration Enhanced Anaerobic Digestion: The Key Role of Fe(III)/Fe(II) Cycle and Reactive Oxygen Species</t>
        </is>
      </c>
      <c r="C77" s="3" t="inlineStr">
        <is>
          <t>2025</t>
        </is>
      </c>
      <c r="D77" s="3" t="inlineStr">
        <is>
          <t>2025</t>
        </is>
      </c>
      <c r="E77" s="3" t="inlineStr">
        <is>
          <t>10.1021/acs.est.5c04187</t>
        </is>
      </c>
      <c r="F77" s="3" t="inlineStr">
        <is>
          <t>期刊文章</t>
        </is>
      </c>
      <c r="G77" s="3" t="inlineStr">
        <is>
          <t>1 直接向 AD 反应器或内部循环系统供氧</t>
        </is>
      </c>
      <c r="H77" s="3" t="inlineStr">
        <is>
          <t>是</t>
        </is>
      </c>
      <c r="I77" s="3" t="inlineStr">
        <is>
          <t>研究类</t>
        </is>
      </c>
      <c r="J77" s="3" t="inlineStr">
        <is>
          <t>是</t>
        </is>
      </c>
      <c r="K77" s="3" t="inlineStr">
        <is>
          <t>ENVIRONMENTAL SCIENCE &amp; TECHNOLOGY</t>
        </is>
      </c>
      <c r="L77" s="3" t="inlineStr">
        <is>
          <t>Environmental Science &amp;amp; Technology</t>
        </is>
      </c>
      <c r="M77" s="3" t="inlineStr">
        <is>
          <t>0013-936X</t>
        </is>
      </c>
      <c r="N77" s="3" t="inlineStr">
        <is>
          <t>1520-5851</t>
        </is>
      </c>
      <c r="O77" s="3" t="inlineStr">
        <is>
          <t>已取得核验全文</t>
        </is>
      </c>
      <c r="P77" s="3" t="inlineStr">
        <is>
          <t>是</t>
        </is>
      </c>
      <c r="Q77" s="3" t="inlineStr">
        <is>
          <t>已取得1件原格式补充材料；其中1件唯一关联待核实；完整性未确认</t>
        </is>
      </c>
      <c r="R77" s="3" t="n">
        <v>2024</v>
      </c>
      <c r="S77" s="3" t="inlineStr">
        <is>
          <t>2025发布版（2024指标年）</t>
        </is>
      </c>
      <c r="T77" s="3" t="inlineStr">
        <is>
          <t>ENGINEERING, ENVIRONMENTAL; ENVIRONMENTAL SCIENCES</t>
        </is>
      </c>
      <c r="U77" s="3" t="inlineStr">
        <is>
          <t>ENGINEERING, ENVIRONMENTAL: Q1; ENVIRONMENTAL SCIENCES: Q1</t>
        </is>
      </c>
      <c r="V77" s="4" t="inlineStr">
        <is>
          <t>是</t>
        </is>
      </c>
      <c r="W77" s="4" t="inlineStr">
        <is>
          <t>是</t>
        </is>
      </c>
      <c r="X77" s="3" t="inlineStr">
        <is>
          <t>是</t>
        </is>
      </c>
      <c r="Y77" s="3" t="inlineStr">
        <is>
          <t>https://topj.lib.whu.edu.cn/show.asp?cat=zk&amp;id=3966</t>
        </is>
      </c>
      <c r="Z77" s="3" t="inlineStr">
        <is>
          <t>https://api.crossref.org/works/10.1021/acs.est.5c04187</t>
        </is>
      </c>
      <c r="AA7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7" s="3" t="inlineStr">
        <is>
          <t>original_files/R11751/fulltext/fulltext__published__32634174663de64f.pdf</t>
        </is>
      </c>
      <c r="AC77" s="3" t="inlineStr">
        <is>
          <t>original_files/R11751/supplementary/supplementary__0bb73736e985bad3.pdf</t>
        </is>
      </c>
      <c r="AD77" s="3" t="inlineStr">
        <is>
          <t>https://github.com/Colliam-Vermilion/FirstCodex/blob/results/ad-oxygen-literature-20261006/results/ad-oxygen-literature-20261006/original_files/R11751/fulltext/fulltext__published__32634174663de64f.pdf</t>
        </is>
      </c>
    </row>
    <row r="78" ht="48" customHeight="1">
      <c r="A78" s="2" t="inlineStr">
        <is>
          <t>R11843</t>
        </is>
      </c>
      <c r="B78" s="2" t="inlineStr">
        <is>
          <t>Micro-aeration for hydrogen sulfide reduction in full-scale anaerobic digesters with limited headspace: Performance and sulfide reduction kinetics</t>
        </is>
      </c>
      <c r="C78" s="2" t="inlineStr">
        <is>
          <t>2025</t>
        </is>
      </c>
      <c r="D78" s="2" t="inlineStr">
        <is>
          <t>2025</t>
        </is>
      </c>
      <c r="E78" s="2" t="inlineStr">
        <is>
          <t>10.1016/j.psep.2025.106911</t>
        </is>
      </c>
      <c r="F78" s="2" t="inlineStr">
        <is>
          <t>期刊文章</t>
        </is>
      </c>
      <c r="G78" s="2" t="inlineStr">
        <is>
          <t>1 直接向 AD 反应器或内部循环系统供氧</t>
        </is>
      </c>
      <c r="H78" s="2" t="inlineStr">
        <is>
          <t>是</t>
        </is>
      </c>
      <c r="I78" s="2" t="inlineStr">
        <is>
          <t>研究类</t>
        </is>
      </c>
      <c r="J78" s="2" t="inlineStr">
        <is>
          <t>是</t>
        </is>
      </c>
      <c r="K78" s="2" t="inlineStr">
        <is>
          <t>PROCESS SAFETY AND ENVIRONMENTAL PROTECTION</t>
        </is>
      </c>
      <c r="L78" s="2" t="inlineStr">
        <is>
          <t>Process Safety and Environmental Protection</t>
        </is>
      </c>
      <c r="M78" s="2" t="inlineStr">
        <is>
          <t>0957-5820</t>
        </is>
      </c>
      <c r="N78" s="2" t="inlineStr"/>
      <c r="O78" s="2" t="inlineStr">
        <is>
          <t>已取得核验全文</t>
        </is>
      </c>
      <c r="P78" s="2" t="inlineStr">
        <is>
          <t>是</t>
        </is>
      </c>
      <c r="Q78" s="2" t="inlineStr">
        <is>
          <t>已取得1件原格式补充材料；其中1件唯一关联待核实；完整性未确认</t>
        </is>
      </c>
      <c r="R78" s="2" t="n">
        <v>2024</v>
      </c>
      <c r="S78" s="2" t="inlineStr">
        <is>
          <t>2025发布版（2024指标年）</t>
        </is>
      </c>
      <c r="T78" s="2" t="inlineStr">
        <is>
          <t>ENGINEERING, CHEMICAL; ENGINEERING, ENVIRONMENTAL</t>
        </is>
      </c>
      <c r="U78" s="2" t="inlineStr">
        <is>
          <t>ENGINEERING, CHEMICAL: Q1; ENGINEERING, ENVIRONMENTAL: Q1</t>
        </is>
      </c>
      <c r="V78" s="4" t="inlineStr">
        <is>
          <t>是</t>
        </is>
      </c>
      <c r="W78" s="4" t="inlineStr">
        <is>
          <t>是</t>
        </is>
      </c>
      <c r="X78" s="2" t="inlineStr">
        <is>
          <t>是</t>
        </is>
      </c>
      <c r="Y78" s="2" t="inlineStr">
        <is>
          <t>https://topj.lib.whu.edu.cn/show.asp?cat=zk&amp;id=3996</t>
        </is>
      </c>
      <c r="Z78" s="2" t="inlineStr">
        <is>
          <t>https://api.crossref.org/works/10.1016/j.psep.2025.106911</t>
        </is>
      </c>
      <c r="AA7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78" s="2" t="inlineStr">
        <is>
          <t>original_files/R11843/fulltext/fulltext__published__d0799750cc24301f.pdf</t>
        </is>
      </c>
      <c r="AC78" s="2" t="inlineStr">
        <is>
          <t>original_files/R11843/supplementary/supplementary__f83ab3567edc6726.docx</t>
        </is>
      </c>
      <c r="AD78" s="2" t="inlineStr">
        <is>
          <t>https://github.com/Colliam-Vermilion/FirstCodex/blob/results/ad-oxygen-literature-20261006/results/ad-oxygen-literature-20261006/original_files/R11843/fulltext/fulltext__published__d0799750cc24301f.pdf</t>
        </is>
      </c>
    </row>
    <row r="79" ht="48" customHeight="1">
      <c r="A79" s="3" t="inlineStr">
        <is>
          <t>R12279</t>
        </is>
      </c>
      <c r="B79" s="3" t="inlineStr">
        <is>
          <t>Sustainable management of simulated coffee processing wastewater using micro-aeration enhanced anaerobic digestion: a long-term technical evaluation</t>
        </is>
      </c>
      <c r="C79" s="3" t="inlineStr">
        <is>
          <t>2025</t>
        </is>
      </c>
      <c r="D79" s="3" t="inlineStr">
        <is>
          <t>2025</t>
        </is>
      </c>
      <c r="E79" s="3" t="inlineStr">
        <is>
          <t>10.3389/frsus.2025.1681014</t>
        </is>
      </c>
      <c r="F79" s="3" t="inlineStr">
        <is>
          <t>期刊文章</t>
        </is>
      </c>
      <c r="G79" s="3" t="inlineStr">
        <is>
          <t>1 直接向 AD 反应器或内部循环系统供氧</t>
        </is>
      </c>
      <c r="H79" s="3" t="inlineStr">
        <is>
          <t>是</t>
        </is>
      </c>
      <c r="I79" s="3" t="inlineStr">
        <is>
          <t>研究类</t>
        </is>
      </c>
      <c r="J79" s="3" t="inlineStr">
        <is>
          <t>是</t>
        </is>
      </c>
      <c r="K79" s="3" t="inlineStr">
        <is>
          <t>Frontiers in Sustainability</t>
        </is>
      </c>
      <c r="L79" s="3" t="inlineStr">
        <is>
          <t>Frontiers in Sustainability</t>
        </is>
      </c>
      <c r="M79" s="3" t="inlineStr"/>
      <c r="N79" s="3" t="inlineStr">
        <is>
          <t>2673-4524</t>
        </is>
      </c>
      <c r="O79" s="3" t="inlineStr">
        <is>
          <t>已取得核验全文</t>
        </is>
      </c>
      <c r="P79" s="3" t="inlineStr">
        <is>
          <t>是</t>
        </is>
      </c>
      <c r="Q79" s="3" t="inlineStr">
        <is>
          <t>当前无补充材料原件；沿用既有缺失/无附件证据，不据此认定无附件</t>
        </is>
      </c>
      <c r="R79" s="3" t="n">
        <v>2024</v>
      </c>
      <c r="S79" s="3" t="inlineStr">
        <is>
          <t>2025发布版（2024指标年）</t>
        </is>
      </c>
      <c r="T79" s="3" t="inlineStr"/>
      <c r="U79" s="3" t="inlineStr"/>
      <c r="V79" s="3" t="inlineStr">
        <is>
          <t>待核实</t>
        </is>
      </c>
      <c r="W79" s="3" t="inlineStr">
        <is>
          <t>待核实</t>
        </is>
      </c>
      <c r="X79" s="3" t="inlineStr">
        <is>
          <t>否</t>
        </is>
      </c>
      <c r="Y79" s="3" t="inlineStr"/>
      <c r="Z79" s="3" t="inlineStr">
        <is>
          <t>https://api.crossref.org/works/10.3389/frsus.2025.1681014</t>
        </is>
      </c>
      <c r="AA79" s="3" t="inlineStr">
        <is>
          <t>2024指标年JCR分区未核实；空白不能当非Q1。需要2025发布版/2024指标年的JCR全部学科导出。</t>
        </is>
      </c>
      <c r="AB79" s="3" t="inlineStr">
        <is>
          <t>original_files/R12279/fulltext/fulltext__published__a4024be5139d5819.pdf</t>
        </is>
      </c>
      <c r="AC79" s="3" t="inlineStr"/>
      <c r="AD79" s="3" t="inlineStr">
        <is>
          <t>https://github.com/Colliam-Vermilion/FirstCodex/blob/results/ad-oxygen-literature-20261006/results/ad-oxygen-literature-20261006/original_files/R12279/fulltext/fulltext__published__a4024be5139d5819.pdf</t>
        </is>
      </c>
    </row>
    <row r="80" ht="48" customHeight="1">
      <c r="A80" s="2" t="inlineStr">
        <is>
          <t>R12384</t>
        </is>
      </c>
      <c r="B80" s="2" t="inlineStr">
        <is>
          <t>Toxicity and biodegradation of two different hydrothermal liquefaction process waters for anaerobic digestion and the effect of microaeration</t>
        </is>
      </c>
      <c r="C80" s="2" t="inlineStr">
        <is>
          <t>2025</t>
        </is>
      </c>
      <c r="D80" s="2" t="inlineStr">
        <is>
          <t>2025</t>
        </is>
      </c>
      <c r="E80" s="2" t="inlineStr">
        <is>
          <t>10.1016/j.cej.2025.165540</t>
        </is>
      </c>
      <c r="F80" s="2" t="inlineStr">
        <is>
          <t>期刊文章</t>
        </is>
      </c>
      <c r="G80" s="2" t="inlineStr">
        <is>
          <t>1 直接向 AD 反应器或内部循环系统供氧</t>
        </is>
      </c>
      <c r="H80" s="2" t="inlineStr">
        <is>
          <t>是</t>
        </is>
      </c>
      <c r="I80" s="2" t="inlineStr">
        <is>
          <t>研究类</t>
        </is>
      </c>
      <c r="J80" s="2" t="inlineStr">
        <is>
          <t>是</t>
        </is>
      </c>
      <c r="K80" s="2" t="inlineStr">
        <is>
          <t>Chemical Engineering Journal</t>
        </is>
      </c>
      <c r="L80" s="2" t="inlineStr">
        <is>
          <t>Chemical Engineering Journal</t>
        </is>
      </c>
      <c r="M80" s="2" t="inlineStr">
        <is>
          <t>1385-8947</t>
        </is>
      </c>
      <c r="N80" s="2" t="inlineStr"/>
      <c r="O80" s="2" t="inlineStr">
        <is>
          <t>已取得核验全文</t>
        </is>
      </c>
      <c r="P80" s="2" t="inlineStr">
        <is>
          <t>是</t>
        </is>
      </c>
      <c r="Q80" s="2" t="inlineStr">
        <is>
          <t>当前无补充材料原件；沿用既有缺失/无附件证据，不据此认定无附件</t>
        </is>
      </c>
      <c r="R80" s="2" t="n">
        <v>2024</v>
      </c>
      <c r="S80" s="2" t="inlineStr">
        <is>
          <t>2025发布版（2024指标年）</t>
        </is>
      </c>
      <c r="T80" s="2" t="inlineStr">
        <is>
          <t>ENGINEERING, CHEMICAL; ENGINEERING, ENVIRONMENTAL</t>
        </is>
      </c>
      <c r="U80" s="2" t="inlineStr">
        <is>
          <t>ENGINEERING, CHEMICAL: Q1; ENGINEERING, ENVIRONMENTAL: Q1</t>
        </is>
      </c>
      <c r="V80" s="4" t="inlineStr">
        <is>
          <t>是</t>
        </is>
      </c>
      <c r="W80" s="4" t="inlineStr">
        <is>
          <t>是</t>
        </is>
      </c>
      <c r="X80" s="2" t="inlineStr">
        <is>
          <t>是</t>
        </is>
      </c>
      <c r="Y80" s="2" t="inlineStr">
        <is>
          <t>https://topj.lib.whu.edu.cn/show.asp?cat=zk&amp;id=2740</t>
        </is>
      </c>
      <c r="Z80" s="2" t="inlineStr">
        <is>
          <t>https://api.crossref.org/works/10.1016/j.cej.2025.165540</t>
        </is>
      </c>
      <c r="AA8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80" s="2" t="inlineStr">
        <is>
          <t>original_files/R12384/fulltext/fulltext__published__1e948fa711216475.pdf</t>
        </is>
      </c>
      <c r="AC80" s="2" t="inlineStr"/>
      <c r="AD80" s="2" t="inlineStr">
        <is>
          <t>https://github.com/Colliam-Vermilion/FirstCodex/blob/results/ad-oxygen-literature-20261006/results/ad-oxygen-literature-20261006/original_files/R12384/fulltext/fulltext__published__1e948fa711216475.pdf</t>
        </is>
      </c>
    </row>
    <row r="81" ht="48" customHeight="1">
      <c r="A81" s="3" t="inlineStr">
        <is>
          <t>R12562</t>
        </is>
      </c>
      <c r="B81" s="3" t="inlineStr">
        <is>
          <t>Air nanobubble effectively enhances tetracycline degradation and antibiotic resistance genes reduction in sludge anaerobic digestion</t>
        </is>
      </c>
      <c r="C81" s="3" t="inlineStr">
        <is>
          <t>2026</t>
        </is>
      </c>
      <c r="D81" s="3" t="inlineStr">
        <is>
          <t>2026</t>
        </is>
      </c>
      <c r="E81" s="3" t="inlineStr">
        <is>
          <t>10.1016/j.biortech.2026.134703</t>
        </is>
      </c>
      <c r="F81" s="3" t="inlineStr">
        <is>
          <t>期刊文章</t>
        </is>
      </c>
      <c r="G81" s="3" t="inlineStr">
        <is>
          <t>1 直接向 AD 反应器或内部循环系统供氧</t>
        </is>
      </c>
      <c r="H81" s="3" t="inlineStr">
        <is>
          <t>是</t>
        </is>
      </c>
      <c r="I81" s="3" t="inlineStr">
        <is>
          <t>研究类</t>
        </is>
      </c>
      <c r="J81" s="3" t="inlineStr">
        <is>
          <t>是</t>
        </is>
      </c>
      <c r="K81" s="3" t="inlineStr">
        <is>
          <t>BIORESOURCE TECHNOLOGY</t>
        </is>
      </c>
      <c r="L81" s="3" t="inlineStr">
        <is>
          <t>Bioresource Technology</t>
        </is>
      </c>
      <c r="M81" s="3" t="inlineStr">
        <is>
          <t>0960-8524</t>
        </is>
      </c>
      <c r="N81" s="3" t="inlineStr"/>
      <c r="O81" s="3" t="inlineStr">
        <is>
          <t>已取得核验全文</t>
        </is>
      </c>
      <c r="P81" s="3" t="inlineStr">
        <is>
          <t>是</t>
        </is>
      </c>
      <c r="Q81" s="3" t="inlineStr">
        <is>
          <t>已取得1件原格式补充材料；其中0件唯一关联待核实；完整性未确认</t>
        </is>
      </c>
      <c r="R81" s="3" t="n">
        <v>2024</v>
      </c>
      <c r="S81" s="3" t="inlineStr">
        <is>
          <t>2025发布版（2024指标年）</t>
        </is>
      </c>
      <c r="T81" s="3" t="inlineStr">
        <is>
          <t>AGRICULTURAL ENGINEERING; BIOTECHNOLOGY &amp; APPLIED MICROBIOLOGY; ENERGY &amp; FUELS</t>
        </is>
      </c>
      <c r="U81" s="3" t="inlineStr">
        <is>
          <t>AGRICULTURAL ENGINEERING: Q1; BIOTECHNOLOGY &amp; APPLIED MICROBIOLOGY: Q1; ENERGY &amp; FUELS: Q1</t>
        </is>
      </c>
      <c r="V81" s="4" t="inlineStr">
        <is>
          <t>是</t>
        </is>
      </c>
      <c r="W81" s="4" t="inlineStr">
        <is>
          <t>是</t>
        </is>
      </c>
      <c r="X81" s="3" t="inlineStr">
        <is>
          <t>是</t>
        </is>
      </c>
      <c r="Y81" s="3" t="inlineStr">
        <is>
          <t>https://topj.lib.whu.edu.cn/show.asp?cat=zk&amp;id=3976</t>
        </is>
      </c>
      <c r="Z81" s="3" t="inlineStr">
        <is>
          <t>https://api.crossref.org/works/10.1016/j.biortech.2026.134703</t>
        </is>
      </c>
      <c r="AA8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81" s="3" t="inlineStr">
        <is>
          <t>original_files/R12562/fulltext/fulltext__published__5e2da5c213ea560e.pdf</t>
        </is>
      </c>
      <c r="AC81" s="3" t="inlineStr">
        <is>
          <t>original_files/R12562/supplementary/supplementary__d8042dfe135f9cf5.docx</t>
        </is>
      </c>
      <c r="AD81" s="3" t="inlineStr">
        <is>
          <t>https://github.com/Colliam-Vermilion/FirstCodex/blob/results/ad-oxygen-literature-20261006/results/ad-oxygen-literature-20261006/original_files/R12562/fulltext/fulltext__published__5e2da5c213ea560e.pdf</t>
        </is>
      </c>
    </row>
    <row r="82" ht="48" customHeight="1">
      <c r="A82" s="2" t="inlineStr">
        <is>
          <t>R12841</t>
        </is>
      </c>
      <c r="B82" s="2" t="inlineStr">
        <is>
          <t>Dose-response effects of microaeration on thermophilic lignocellulose-based anaerobic digestion: performance, stability and microbial community dynamics</t>
        </is>
      </c>
      <c r="C82" s="2" t="inlineStr">
        <is>
          <t>2026</t>
        </is>
      </c>
      <c r="D82" s="2" t="inlineStr">
        <is>
          <t>2026</t>
        </is>
      </c>
      <c r="E82" s="2" t="inlineStr">
        <is>
          <t>10.1016/j.biteb.2026.102593</t>
        </is>
      </c>
      <c r="F82" s="2" t="inlineStr">
        <is>
          <t>期刊文章</t>
        </is>
      </c>
      <c r="G82" s="2" t="inlineStr">
        <is>
          <t>1 直接向 AD 反应器或内部循环系统供氧</t>
        </is>
      </c>
      <c r="H82" s="2" t="inlineStr">
        <is>
          <t>是</t>
        </is>
      </c>
      <c r="I82" s="2" t="inlineStr">
        <is>
          <t>研究类</t>
        </is>
      </c>
      <c r="J82" s="2" t="inlineStr">
        <is>
          <t>是</t>
        </is>
      </c>
      <c r="K82" s="2" t="inlineStr">
        <is>
          <t>Bioresource Technology Reports</t>
        </is>
      </c>
      <c r="L82" s="2" t="inlineStr">
        <is>
          <t>Bioresource Technology Reports</t>
        </is>
      </c>
      <c r="M82" s="2" t="inlineStr">
        <is>
          <t>2589-014X</t>
        </is>
      </c>
      <c r="N82" s="2" t="inlineStr"/>
      <c r="O82" s="2" t="inlineStr">
        <is>
          <t>已取得核验全文</t>
        </is>
      </c>
      <c r="P82" s="2" t="inlineStr">
        <is>
          <t>是</t>
        </is>
      </c>
      <c r="Q82" s="2" t="inlineStr">
        <is>
          <t>已取得1件原格式补充材料；其中0件唯一关联待核实；完整性未确认</t>
        </is>
      </c>
      <c r="R82" s="2" t="n">
        <v>2024</v>
      </c>
      <c r="S82" s="2" t="inlineStr">
        <is>
          <t>2025发布版（2024指标年）</t>
        </is>
      </c>
      <c r="T82" s="2" t="inlineStr"/>
      <c r="U82" s="2" t="inlineStr"/>
      <c r="V82" s="2" t="inlineStr">
        <is>
          <t>待核实</t>
        </is>
      </c>
      <c r="W82" s="2" t="inlineStr">
        <is>
          <t>待核实</t>
        </is>
      </c>
      <c r="X82" s="2" t="inlineStr">
        <is>
          <t>否</t>
        </is>
      </c>
      <c r="Y82" s="2" t="inlineStr"/>
      <c r="Z82" s="2" t="inlineStr">
        <is>
          <t>https://api.crossref.org/works/10.1016/j.biteb.2026.102593</t>
        </is>
      </c>
      <c r="AA82" s="2" t="inlineStr">
        <is>
          <t>2024指标年JCR分区未核实；空白不能当非Q1。需要2025发布版/2024指标年的JCR全部学科导出。</t>
        </is>
      </c>
      <c r="AB82" s="2" t="inlineStr">
        <is>
          <t>original_files/R12841/fulltext/fulltext__published__8bb95f7588cd32f1.pdf</t>
        </is>
      </c>
      <c r="AC82" s="2" t="inlineStr">
        <is>
          <t>original_files/R12841/supplementary/supplementary__383ac2077a99b78c.docx</t>
        </is>
      </c>
      <c r="AD82" s="2" t="inlineStr">
        <is>
          <t>https://github.com/Colliam-Vermilion/FirstCodex/blob/results/ad-oxygen-literature-20261006/results/ad-oxygen-literature-20261006/original_files/R12841/fulltext/fulltext__published__8bb95f7588cd32f1.pdf</t>
        </is>
      </c>
    </row>
    <row r="83" ht="48" customHeight="1">
      <c r="A83" s="3" t="inlineStr">
        <is>
          <t>R12874</t>
        </is>
      </c>
      <c r="B83" s="3" t="inlineStr">
        <is>
          <t>Effect of process-based strategies on anaerobic digestion of 3D-printing-derived polylactic acid: biogas production and mechanistic interpretation</t>
        </is>
      </c>
      <c r="C83" s="3" t="inlineStr">
        <is>
          <t>2026</t>
        </is>
      </c>
      <c r="D83" s="3" t="inlineStr">
        <is>
          <t>2026</t>
        </is>
      </c>
      <c r="E83" s="3" t="inlineStr">
        <is>
          <t>10.1016/j.biombioe.2026.109636</t>
        </is>
      </c>
      <c r="F83" s="3" t="inlineStr">
        <is>
          <t>期刊文章</t>
        </is>
      </c>
      <c r="G83" s="3" t="inlineStr">
        <is>
          <t>1 直接向 AD 反应器或内部循环系统供氧</t>
        </is>
      </c>
      <c r="H83" s="3" t="inlineStr">
        <is>
          <t>是</t>
        </is>
      </c>
      <c r="I83" s="3" t="inlineStr">
        <is>
          <t>研究类</t>
        </is>
      </c>
      <c r="J83" s="3" t="inlineStr">
        <is>
          <t>是</t>
        </is>
      </c>
      <c r="K83" s="3" t="inlineStr">
        <is>
          <t>BIOMASS &amp; BIOENERGY</t>
        </is>
      </c>
      <c r="L83" s="3" t="inlineStr">
        <is>
          <t>Biomass and Bioenergy</t>
        </is>
      </c>
      <c r="M83" s="3" t="inlineStr">
        <is>
          <t>0961-9534</t>
        </is>
      </c>
      <c r="N83" s="3" t="inlineStr"/>
      <c r="O83" s="3" t="inlineStr">
        <is>
          <t>已取得核验全文</t>
        </is>
      </c>
      <c r="P83" s="3" t="inlineStr">
        <is>
          <t>是</t>
        </is>
      </c>
      <c r="Q83" s="3" t="inlineStr">
        <is>
          <t>已取得1件原格式补充材料；其中0件唯一关联待核实；完整性未确认</t>
        </is>
      </c>
      <c r="R83" s="3" t="n">
        <v>2024</v>
      </c>
      <c r="S83" s="3" t="inlineStr">
        <is>
          <t>2025发布版（2024指标年）</t>
        </is>
      </c>
      <c r="T83" s="3" t="inlineStr">
        <is>
          <t>AGRICULTURAL ENGINEERING; BIOTECHNOLOGY &amp; APPLIED MICROBIOLOGY; ENERGY &amp; FUELS</t>
        </is>
      </c>
      <c r="U83" s="3" t="inlineStr">
        <is>
          <t>AGRICULTURAL ENGINEERING: Q1; BIOTECHNOLOGY &amp; APPLIED MICROBIOLOGY: Q1; ENERGY &amp; FUELS: Q2</t>
        </is>
      </c>
      <c r="V83" s="4" t="inlineStr">
        <is>
          <t>是</t>
        </is>
      </c>
      <c r="W83" s="3" t="inlineStr">
        <is>
          <t>否</t>
        </is>
      </c>
      <c r="X83" s="3" t="inlineStr">
        <is>
          <t>是</t>
        </is>
      </c>
      <c r="Y83" s="3" t="inlineStr">
        <is>
          <t>https://topj.lib.whu.edu.cn/show.asp?cat=sci&amp;id=5613</t>
        </is>
      </c>
      <c r="Z83" s="3" t="inlineStr">
        <is>
          <t>https://api.crossref.org/works/10.1016/j.biombioe.2026.109636</t>
        </is>
      </c>
      <c r="AA8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83" s="3" t="inlineStr">
        <is>
          <t>original_files/R12874/fulltext/fulltext__published__bb8bdf93034b5c2c.pdf</t>
        </is>
      </c>
      <c r="AC83" s="3" t="inlineStr">
        <is>
          <t>original_files/R12874/supplementary/supplementary__0e48243d32c4c141.docx</t>
        </is>
      </c>
      <c r="AD83" s="3" t="inlineStr">
        <is>
          <t>https://github.com/Colliam-Vermilion/FirstCodex/blob/results/ad-oxygen-literature-20261006/results/ad-oxygen-literature-20261006/original_files/R12874/fulltext/fulltext__published__bb8bdf93034b5c2c.pdf</t>
        </is>
      </c>
    </row>
    <row r="84" ht="48" customHeight="1">
      <c r="A84" s="2" t="inlineStr">
        <is>
          <t>R12985</t>
        </is>
      </c>
      <c r="B84" s="2" t="inlineStr">
        <is>
          <t>Evaluation of Anaerobic Digestion Amended with Micro-Aeration and/or Sound Treatment on the Resistome and Virulence Factor Gene Profiles in Poultry Litter</t>
        </is>
      </c>
      <c r="C84" s="2" t="inlineStr">
        <is>
          <t>2026</t>
        </is>
      </c>
      <c r="D84" s="2" t="inlineStr">
        <is>
          <t>2026</t>
        </is>
      </c>
      <c r="E84" s="2" t="inlineStr">
        <is>
          <t>10.3390/antibiotics15020153</t>
        </is>
      </c>
      <c r="F84" s="2" t="inlineStr">
        <is>
          <t>期刊文章</t>
        </is>
      </c>
      <c r="G84" s="2" t="inlineStr">
        <is>
          <t>1 直接向 AD 反应器或内部循环系统供氧</t>
        </is>
      </c>
      <c r="H84" s="2" t="inlineStr">
        <is>
          <t>是</t>
        </is>
      </c>
      <c r="I84" s="2" t="inlineStr">
        <is>
          <t>研究类</t>
        </is>
      </c>
      <c r="J84" s="2" t="inlineStr">
        <is>
          <t>是</t>
        </is>
      </c>
      <c r="K84" s="2" t="inlineStr">
        <is>
          <t>Antibiotics</t>
        </is>
      </c>
      <c r="L84" s="2" t="inlineStr">
        <is>
          <t>Antibiotics</t>
        </is>
      </c>
      <c r="M84" s="2" t="inlineStr"/>
      <c r="N84" s="2" t="inlineStr">
        <is>
          <t>2079-6382</t>
        </is>
      </c>
      <c r="O84" s="2" t="inlineStr">
        <is>
          <t>已取得核验全文</t>
        </is>
      </c>
      <c r="P84" s="2" t="inlineStr">
        <is>
          <t>是</t>
        </is>
      </c>
      <c r="Q84" s="2" t="inlineStr">
        <is>
          <t>已取得1件原格式补充材料；其中0件唯一关联待核实；完整性未确认</t>
        </is>
      </c>
      <c r="R84" s="2" t="n">
        <v>2024</v>
      </c>
      <c r="S84" s="2" t="inlineStr">
        <is>
          <t>2025发布版（2024指标年）</t>
        </is>
      </c>
      <c r="T84" s="2" t="inlineStr"/>
      <c r="U84" s="2" t="inlineStr"/>
      <c r="V84" s="2" t="inlineStr">
        <is>
          <t>待核实</t>
        </is>
      </c>
      <c r="W84" s="2" t="inlineStr">
        <is>
          <t>待核实</t>
        </is>
      </c>
      <c r="X84" s="2" t="inlineStr">
        <is>
          <t>否</t>
        </is>
      </c>
      <c r="Y84" s="2" t="inlineStr"/>
      <c r="Z84" s="2" t="inlineStr">
        <is>
          <t>https://api.crossref.org/works/10.3390/antibiotics15020153</t>
        </is>
      </c>
      <c r="AA84" s="2" t="inlineStr">
        <is>
          <t>2024指标年JCR分区未核实；空白不能当非Q1。需要2025发布版/2024指标年的JCR全部学科导出。</t>
        </is>
      </c>
      <c r="AB84" s="2" t="inlineStr">
        <is>
          <t>original_files/R12985/fulltext/fulltext__published__f42e1cfc61ed462e.pdf</t>
        </is>
      </c>
      <c r="AC84" s="2" t="inlineStr">
        <is>
          <t>original_files/R12985/supplementary/supplementary__1ce50822c9eab57d.zip</t>
        </is>
      </c>
      <c r="AD84" s="2" t="inlineStr">
        <is>
          <t>https://github.com/Colliam-Vermilion/FirstCodex/blob/results/ad-oxygen-literature-20261006/results/ad-oxygen-literature-20261006/original_files/R12985/fulltext/fulltext__published__f42e1cfc61ed462e.pdf</t>
        </is>
      </c>
    </row>
    <row r="85" ht="48" customHeight="1">
      <c r="A85" s="3" t="inlineStr">
        <is>
          <t>R13275</t>
        </is>
      </c>
      <c r="B85" s="3" t="inlineStr">
        <is>
          <t>Micro-aeration strategy for improved biogas yield and in-situ hydrogen sulfide mitigation during high-solids co-digestion of poultry litter</t>
        </is>
      </c>
      <c r="C85" s="3" t="inlineStr">
        <is>
          <t>2026</t>
        </is>
      </c>
      <c r="D85" s="3" t="inlineStr">
        <is>
          <t>2026</t>
        </is>
      </c>
      <c r="E85" s="3" t="inlineStr">
        <is>
          <t>10.1016/j.biortech.2025.133399</t>
        </is>
      </c>
      <c r="F85" s="3" t="inlineStr">
        <is>
          <t>期刊文章</t>
        </is>
      </c>
      <c r="G85" s="3" t="inlineStr">
        <is>
          <t>1 直接向 AD 反应器或内部循环系统供氧</t>
        </is>
      </c>
      <c r="H85" s="3" t="inlineStr">
        <is>
          <t>是</t>
        </is>
      </c>
      <c r="I85" s="3" t="inlineStr">
        <is>
          <t>研究类</t>
        </is>
      </c>
      <c r="J85" s="3" t="inlineStr">
        <is>
          <t>是</t>
        </is>
      </c>
      <c r="K85" s="3" t="inlineStr">
        <is>
          <t>BIORESOURCE TECHNOLOGY</t>
        </is>
      </c>
      <c r="L85" s="3" t="inlineStr">
        <is>
          <t>Bioresource Technology</t>
        </is>
      </c>
      <c r="M85" s="3" t="inlineStr">
        <is>
          <t>0960-8524</t>
        </is>
      </c>
      <c r="N85" s="3" t="inlineStr"/>
      <c r="O85" s="3" t="inlineStr">
        <is>
          <t>已取得核验全文</t>
        </is>
      </c>
      <c r="P85" s="3" t="inlineStr">
        <is>
          <t>是</t>
        </is>
      </c>
      <c r="Q85" s="3" t="inlineStr">
        <is>
          <t>当前无补充材料原件；沿用既有缺失/无附件证据，不据此认定无附件</t>
        </is>
      </c>
      <c r="R85" s="3" t="n">
        <v>2024</v>
      </c>
      <c r="S85" s="3" t="inlineStr">
        <is>
          <t>2025发布版（2024指标年）</t>
        </is>
      </c>
      <c r="T85" s="3" t="inlineStr">
        <is>
          <t>AGRICULTURAL ENGINEERING; BIOTECHNOLOGY &amp; APPLIED MICROBIOLOGY; ENERGY &amp; FUELS</t>
        </is>
      </c>
      <c r="U85" s="3" t="inlineStr">
        <is>
          <t>AGRICULTURAL ENGINEERING: Q1; BIOTECHNOLOGY &amp; APPLIED MICROBIOLOGY: Q1; ENERGY &amp; FUELS: Q1</t>
        </is>
      </c>
      <c r="V85" s="4" t="inlineStr">
        <is>
          <t>是</t>
        </is>
      </c>
      <c r="W85" s="4" t="inlineStr">
        <is>
          <t>是</t>
        </is>
      </c>
      <c r="X85" s="3" t="inlineStr">
        <is>
          <t>是</t>
        </is>
      </c>
      <c r="Y85" s="3" t="inlineStr">
        <is>
          <t>https://topj.lib.whu.edu.cn/show.asp?cat=zk&amp;id=3976</t>
        </is>
      </c>
      <c r="Z85" s="3" t="inlineStr">
        <is>
          <t>https://api.crossref.org/works/10.1016/j.biortech.2025.133399</t>
        </is>
      </c>
      <c r="AA8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85" s="3" t="inlineStr">
        <is>
          <t>original_files/R13275/fulltext/fulltext__published__a552c2e43763f17c.pdf</t>
        </is>
      </c>
      <c r="AC85" s="3" t="inlineStr"/>
      <c r="AD85" s="3" t="inlineStr">
        <is>
          <t>https://github.com/Colliam-Vermilion/FirstCodex/blob/results/ad-oxygen-literature-20261006/results/ad-oxygen-literature-20261006/original_files/R13275/fulltext/fulltext__published__a552c2e43763f17c.pdf</t>
        </is>
      </c>
    </row>
    <row r="86" ht="48" customHeight="1">
      <c r="A86" s="2" t="inlineStr">
        <is>
          <t>R13282</t>
        </is>
      </c>
      <c r="B86" s="2" t="inlineStr">
        <is>
          <t>Microaeration for Enhancement of Methane Productivity from Cassava Wastewater and Digestibility of Added Cassava Residue</t>
        </is>
      </c>
      <c r="C86" s="2" t="inlineStr">
        <is>
          <t>2026</t>
        </is>
      </c>
      <c r="D86" s="2" t="inlineStr">
        <is>
          <t>2026</t>
        </is>
      </c>
      <c r="E86" s="2" t="inlineStr">
        <is>
          <t>10.3390/fermentation12050212</t>
        </is>
      </c>
      <c r="F86" s="2" t="inlineStr">
        <is>
          <t>期刊文章</t>
        </is>
      </c>
      <c r="G86" s="2" t="inlineStr">
        <is>
          <t>1 直接向 AD 反应器或内部循环系统供氧</t>
        </is>
      </c>
      <c r="H86" s="2" t="inlineStr">
        <is>
          <t>是</t>
        </is>
      </c>
      <c r="I86" s="2" t="inlineStr">
        <is>
          <t>研究类</t>
        </is>
      </c>
      <c r="J86" s="2" t="inlineStr">
        <is>
          <t>是</t>
        </is>
      </c>
      <c r="K86" s="2" t="inlineStr">
        <is>
          <t>Fermentation</t>
        </is>
      </c>
      <c r="L86" s="2" t="inlineStr">
        <is>
          <t>Fermentation</t>
        </is>
      </c>
      <c r="M86" s="2" t="inlineStr"/>
      <c r="N86" s="2" t="inlineStr">
        <is>
          <t>2311-5637</t>
        </is>
      </c>
      <c r="O86" s="2" t="inlineStr">
        <is>
          <t>已取得核验全文</t>
        </is>
      </c>
      <c r="P86" s="2" t="inlineStr">
        <is>
          <t>是</t>
        </is>
      </c>
      <c r="Q86" s="2" t="inlineStr">
        <is>
          <t>当前无补充材料原件；沿用既有缺失/无附件证据，不据此认定无附件</t>
        </is>
      </c>
      <c r="R86" s="2" t="n">
        <v>2024</v>
      </c>
      <c r="S86" s="2" t="inlineStr">
        <is>
          <t>2025发布版（2024指标年）</t>
        </is>
      </c>
      <c r="T86" s="2" t="inlineStr"/>
      <c r="U86" s="2" t="inlineStr"/>
      <c r="V86" s="2" t="inlineStr">
        <is>
          <t>待核实</t>
        </is>
      </c>
      <c r="W86" s="2" t="inlineStr">
        <is>
          <t>待核实</t>
        </is>
      </c>
      <c r="X86" s="2" t="inlineStr">
        <is>
          <t>否</t>
        </is>
      </c>
      <c r="Y86" s="2" t="inlineStr"/>
      <c r="Z86" s="2" t="inlineStr">
        <is>
          <t>https://api.crossref.org/works/10.3390/fermentation12050212</t>
        </is>
      </c>
      <c r="AA86" s="2" t="inlineStr">
        <is>
          <t>2024指标年JCR分区未核实；空白不能当非Q1。需要2025发布版/2024指标年的JCR全部学科导出。</t>
        </is>
      </c>
      <c r="AB86" s="2" t="inlineStr">
        <is>
          <t>original_files/R13282/fulltext/fulltext__published__93cadfa778095a0e.pdf</t>
        </is>
      </c>
      <c r="AC86" s="2" t="inlineStr"/>
      <c r="AD86" s="2" t="inlineStr">
        <is>
          <t>https://github.com/Colliam-Vermilion/FirstCodex/blob/results/ad-oxygen-literature-20261006/results/ad-oxygen-literature-20261006/original_files/R13282/fulltext/fulltext__published__93cadfa778095a0e.pdf</t>
        </is>
      </c>
    </row>
    <row r="87" ht="48" customHeight="1">
      <c r="A87" s="3" t="inlineStr">
        <is>
          <t>R13283</t>
        </is>
      </c>
      <c r="B87" s="3" t="inlineStr">
        <is>
          <t>Microaeration of Upflow Anaerobic Sludge Blanket reactor using desorption chamber gas: methane recovery and H2S removal</t>
        </is>
      </c>
      <c r="C87" s="3" t="inlineStr">
        <is>
          <t>2026</t>
        </is>
      </c>
      <c r="D87" s="3" t="inlineStr">
        <is>
          <t>2026</t>
        </is>
      </c>
      <c r="E87" s="3" t="inlineStr">
        <is>
          <t>10.1590/s1413-4152031s104</t>
        </is>
      </c>
      <c r="F87" s="3" t="inlineStr">
        <is>
          <t>期刊文章</t>
        </is>
      </c>
      <c r="G87" s="3" t="inlineStr">
        <is>
          <t>1 直接向 AD 反应器或内部循环系统供氧</t>
        </is>
      </c>
      <c r="H87" s="3" t="inlineStr">
        <is>
          <t>是</t>
        </is>
      </c>
      <c r="I87" s="3" t="inlineStr">
        <is>
          <t>研究类</t>
        </is>
      </c>
      <c r="J87" s="3" t="inlineStr">
        <is>
          <t>是</t>
        </is>
      </c>
      <c r="K87" s="3" t="inlineStr">
        <is>
          <t>Engenharia Sanitaria e Ambiental</t>
        </is>
      </c>
      <c r="L87" s="3" t="inlineStr">
        <is>
          <t>Engenharia Sanitaria e Ambiental</t>
        </is>
      </c>
      <c r="M87" s="3" t="inlineStr">
        <is>
          <t>1413-4152</t>
        </is>
      </c>
      <c r="N87" s="3" t="inlineStr">
        <is>
          <t>1809-4457</t>
        </is>
      </c>
      <c r="O87" s="3" t="inlineStr">
        <is>
          <t>已取得核验全文</t>
        </is>
      </c>
      <c r="P87" s="3" t="inlineStr">
        <is>
          <t>是</t>
        </is>
      </c>
      <c r="Q87" s="3" t="inlineStr">
        <is>
          <t>当前无补充材料原件；沿用既有缺失/无附件证据，不据此认定无附件</t>
        </is>
      </c>
      <c r="R87" s="3" t="n">
        <v>2024</v>
      </c>
      <c r="S87" s="3" t="inlineStr">
        <is>
          <t>2025发布版（2024指标年）</t>
        </is>
      </c>
      <c r="T87" s="3" t="inlineStr"/>
      <c r="U87" s="3" t="inlineStr"/>
      <c r="V87" s="3" t="inlineStr">
        <is>
          <t>待核实</t>
        </is>
      </c>
      <c r="W87" s="3" t="inlineStr">
        <is>
          <t>待核实</t>
        </is>
      </c>
      <c r="X87" s="3" t="inlineStr">
        <is>
          <t>否</t>
        </is>
      </c>
      <c r="Y87" s="3" t="inlineStr"/>
      <c r="Z87" s="3" t="inlineStr">
        <is>
          <t>https://api.crossref.org/works/10.1590/s1413-4152031s104</t>
        </is>
      </c>
      <c r="AA87" s="3" t="inlineStr">
        <is>
          <t>2024指标年JCR分区未核实；空白不能当非Q1。需要2025发布版/2024指标年的JCR全部学科导出。</t>
        </is>
      </c>
      <c r="AB87" s="3" t="inlineStr">
        <is>
          <t>original_files/R13283/fulltext/fulltext__published__0cb5643aac5b794e.pdf</t>
        </is>
      </c>
      <c r="AC87" s="3" t="inlineStr"/>
      <c r="AD87" s="3" t="inlineStr">
        <is>
          <t>https://github.com/Colliam-Vermilion/FirstCodex/blob/results/ad-oxygen-literature-20261006/results/ad-oxygen-literature-20261006/original_files/R13283/fulltext/fulltext__published__0cb5643aac5b794e.pdf</t>
        </is>
      </c>
    </row>
    <row r="88" ht="48" customHeight="1">
      <c r="A88" s="2" t="inlineStr">
        <is>
          <t>R13293</t>
        </is>
      </c>
      <c r="B88" s="2" t="inlineStr">
        <is>
          <t>Microbial Dynamics during the Removal of Linear Alkylbenzenesulfonate (LAS) under Anaerobic and Microaerobic Conditions with Different Co-substrates</t>
        </is>
      </c>
      <c r="C88" s="2" t="inlineStr">
        <is>
          <t>2026</t>
        </is>
      </c>
      <c r="D88" s="2" t="inlineStr">
        <is>
          <t>2026</t>
        </is>
      </c>
      <c r="E88" s="2" t="inlineStr">
        <is>
          <t>10.1021/acsomega.6c01030</t>
        </is>
      </c>
      <c r="F88" s="2" t="inlineStr">
        <is>
          <t>期刊文章</t>
        </is>
      </c>
      <c r="G88" s="2" t="inlineStr">
        <is>
          <t>1 直接向 AD 反应器或内部循环系统供氧</t>
        </is>
      </c>
      <c r="H88" s="2" t="inlineStr">
        <is>
          <t>是</t>
        </is>
      </c>
      <c r="I88" s="2" t="inlineStr">
        <is>
          <t>研究类</t>
        </is>
      </c>
      <c r="J88" s="2" t="inlineStr">
        <is>
          <t>是</t>
        </is>
      </c>
      <c r="K88" s="2" t="inlineStr">
        <is>
          <t>ACS Omega</t>
        </is>
      </c>
      <c r="L88" s="2" t="inlineStr">
        <is>
          <t>ACS Omega</t>
        </is>
      </c>
      <c r="M88" s="2" t="inlineStr"/>
      <c r="N88" s="2" t="inlineStr">
        <is>
          <t>2470-1343</t>
        </is>
      </c>
      <c r="O88" s="2" t="inlineStr">
        <is>
          <t>已取得核验全文</t>
        </is>
      </c>
      <c r="P88" s="2" t="inlineStr">
        <is>
          <t>是</t>
        </is>
      </c>
      <c r="Q88" s="2" t="inlineStr">
        <is>
          <t>已取得1件原格式补充材料；其中0件唯一关联待核实；完整性未确认</t>
        </is>
      </c>
      <c r="R88" s="2" t="n">
        <v>2024</v>
      </c>
      <c r="S88" s="2" t="inlineStr">
        <is>
          <t>2025发布版（2024指标年）</t>
        </is>
      </c>
      <c r="T88" s="2" t="inlineStr">
        <is>
          <t>CHEMISTRY, MULTIDISCIPLINARY</t>
        </is>
      </c>
      <c r="U88" s="2" t="inlineStr">
        <is>
          <t>CHEMISTRY, MULTIDISCIPLINARY: Q2</t>
        </is>
      </c>
      <c r="V88" s="2" t="inlineStr">
        <is>
          <t>否</t>
        </is>
      </c>
      <c r="W88" s="2" t="inlineStr">
        <is>
          <t>否</t>
        </is>
      </c>
      <c r="X88" s="2" t="inlineStr">
        <is>
          <t>是</t>
        </is>
      </c>
      <c r="Y88" s="2" t="inlineStr">
        <is>
          <t>https://topj.lib.whu.edu.cn/show.asp?cat=sci&amp;id=3581</t>
        </is>
      </c>
      <c r="Z88" s="2" t="inlineStr">
        <is>
          <t>https://api.crossref.org/works/10.1021/acsomega.6c01030</t>
        </is>
      </c>
      <c r="AA8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88" s="2" t="inlineStr">
        <is>
          <t>original_files/R13293/fulltext/fulltext__published__3c6fb447cba3ef2c.pdf</t>
        </is>
      </c>
      <c r="AC88" s="2" t="inlineStr">
        <is>
          <t>original_files/R13293/supplementary/supplementary__2b5ee774e3af875c.pdf</t>
        </is>
      </c>
      <c r="AD88" s="2" t="inlineStr">
        <is>
          <t>https://github.com/Colliam-Vermilion/FirstCodex/blob/results/ad-oxygen-literature-20261006/results/ad-oxygen-literature-20261006/original_files/R13293/fulltext/fulltext__published__3c6fb447cba3ef2c.pdf</t>
        </is>
      </c>
    </row>
    <row r="89" ht="48" customHeight="1">
      <c r="A89" s="3" t="inlineStr">
        <is>
          <t>R13557</t>
        </is>
      </c>
      <c r="B89" s="3" t="inlineStr">
        <is>
          <t>Redox mediators and microaeration boosting the linear alkylbenzene sulfonate removal</t>
        </is>
      </c>
      <c r="C89" s="3" t="inlineStr">
        <is>
          <t>2026</t>
        </is>
      </c>
      <c r="D89" s="3" t="inlineStr">
        <is>
          <t>2026</t>
        </is>
      </c>
      <c r="E89" s="3" t="inlineStr">
        <is>
          <t>10.1016/j.chemosphere.2026.144878</t>
        </is>
      </c>
      <c r="F89" s="3" t="inlineStr">
        <is>
          <t>期刊文章</t>
        </is>
      </c>
      <c r="G89" s="3" t="inlineStr">
        <is>
          <t>1 直接向 AD 反应器或内部循环系统供氧</t>
        </is>
      </c>
      <c r="H89" s="3" t="inlineStr">
        <is>
          <t>是</t>
        </is>
      </c>
      <c r="I89" s="3" t="inlineStr">
        <is>
          <t>研究类</t>
        </is>
      </c>
      <c r="J89" s="3" t="inlineStr">
        <is>
          <t>是</t>
        </is>
      </c>
      <c r="K89" s="3" t="inlineStr">
        <is>
          <t>Chemosphere</t>
        </is>
      </c>
      <c r="L89" s="3" t="inlineStr">
        <is>
          <t>Chemosphere</t>
        </is>
      </c>
      <c r="M89" s="3" t="inlineStr">
        <is>
          <t>0045-6535</t>
        </is>
      </c>
      <c r="N89" s="3" t="inlineStr"/>
      <c r="O89" s="3" t="inlineStr">
        <is>
          <t>已取得核验全文</t>
        </is>
      </c>
      <c r="P89" s="3" t="inlineStr">
        <is>
          <t>是</t>
        </is>
      </c>
      <c r="Q89" s="3" t="inlineStr">
        <is>
          <t>当前无补充材料原件；沿用既有缺失/无附件证据，不据此认定无附件</t>
        </is>
      </c>
      <c r="R89" s="3" t="n">
        <v>2024</v>
      </c>
      <c r="S89" s="3" t="inlineStr">
        <is>
          <t>2025发布版（2024指标年）</t>
        </is>
      </c>
      <c r="T89" s="3" t="inlineStr"/>
      <c r="U89" s="3" t="inlineStr"/>
      <c r="V89" s="3" t="inlineStr">
        <is>
          <t>待核实</t>
        </is>
      </c>
      <c r="W89" s="3" t="inlineStr">
        <is>
          <t>待核实</t>
        </is>
      </c>
      <c r="X89" s="3" t="inlineStr">
        <is>
          <t>否</t>
        </is>
      </c>
      <c r="Y89" s="3" t="inlineStr"/>
      <c r="Z89" s="3" t="inlineStr">
        <is>
          <t>https://api.crossref.org/works/10.1016/j.chemosphere.2026.144878</t>
        </is>
      </c>
      <c r="AA89" s="3" t="inlineStr">
        <is>
          <t>2024指标年JCR分区未核实；空白不能当非Q1。需要2025发布版/2024指标年的JCR全部学科导出。</t>
        </is>
      </c>
      <c r="AB89" s="3" t="inlineStr">
        <is>
          <t>original_files/R13557/fulltext/fulltext__published__a7b3007b90f2b38a.pdf</t>
        </is>
      </c>
      <c r="AC89" s="3" t="inlineStr"/>
      <c r="AD89" s="3" t="inlineStr">
        <is>
          <t>https://github.com/Colliam-Vermilion/FirstCodex/blob/results/ad-oxygen-literature-20261006/results/ad-oxygen-literature-20261006/original_files/R13557/fulltext/fulltext__published__a7b3007b90f2b38a.pdf</t>
        </is>
      </c>
    </row>
    <row r="90" ht="48" customHeight="1">
      <c r="A90" s="2" t="inlineStr">
        <is>
          <t>R13558</t>
        </is>
      </c>
      <c r="B90" s="2" t="inlineStr">
        <is>
          <t>Redox mediators and microaeration: overcoming linear alkylbenzene sulfonate recalcitrance in anaerobic reactors</t>
        </is>
      </c>
      <c r="C90" s="2" t="inlineStr">
        <is>
          <t>2026</t>
        </is>
      </c>
      <c r="D90" s="2" t="inlineStr">
        <is>
          <t>2026</t>
        </is>
      </c>
      <c r="E90" s="2" t="inlineStr">
        <is>
          <t>10.1590/s1413-4152031s110</t>
        </is>
      </c>
      <c r="F90" s="2" t="inlineStr">
        <is>
          <t>期刊文章</t>
        </is>
      </c>
      <c r="G90" s="2" t="inlineStr">
        <is>
          <t>1 直接向 AD 反应器或内部循环系统供氧</t>
        </is>
      </c>
      <c r="H90" s="2" t="inlineStr">
        <is>
          <t>是</t>
        </is>
      </c>
      <c r="I90" s="2" t="inlineStr">
        <is>
          <t>研究类</t>
        </is>
      </c>
      <c r="J90" s="2" t="inlineStr">
        <is>
          <t>是</t>
        </is>
      </c>
      <c r="K90" s="2" t="inlineStr">
        <is>
          <t>Engenharia Sanitaria e Ambiental</t>
        </is>
      </c>
      <c r="L90" s="2" t="inlineStr">
        <is>
          <t>Engenharia Sanitaria e Ambiental</t>
        </is>
      </c>
      <c r="M90" s="2" t="inlineStr">
        <is>
          <t>1413-4152</t>
        </is>
      </c>
      <c r="N90" s="2" t="inlineStr">
        <is>
          <t>1809-4457</t>
        </is>
      </c>
      <c r="O90" s="2" t="inlineStr">
        <is>
          <t>已取得核验全文</t>
        </is>
      </c>
      <c r="P90" s="2" t="inlineStr">
        <is>
          <t>是</t>
        </is>
      </c>
      <c r="Q90" s="2" t="inlineStr">
        <is>
          <t>当前无补充材料原件；沿用既有缺失/无附件证据，不据此认定无附件</t>
        </is>
      </c>
      <c r="R90" s="2" t="n">
        <v>2024</v>
      </c>
      <c r="S90" s="2" t="inlineStr">
        <is>
          <t>2025发布版（2024指标年）</t>
        </is>
      </c>
      <c r="T90" s="2" t="inlineStr"/>
      <c r="U90" s="2" t="inlineStr"/>
      <c r="V90" s="2" t="inlineStr">
        <is>
          <t>待核实</t>
        </is>
      </c>
      <c r="W90" s="2" t="inlineStr">
        <is>
          <t>待核实</t>
        </is>
      </c>
      <c r="X90" s="2" t="inlineStr">
        <is>
          <t>否</t>
        </is>
      </c>
      <c r="Y90" s="2" t="inlineStr"/>
      <c r="Z90" s="2" t="inlineStr">
        <is>
          <t>https://api.crossref.org/works/10.1590/s1413-4152031s110</t>
        </is>
      </c>
      <c r="AA90" s="2" t="inlineStr">
        <is>
          <t>2024指标年JCR分区未核实；空白不能当非Q1。需要2025发布版/2024指标年的JCR全部学科导出。</t>
        </is>
      </c>
      <c r="AB90" s="2" t="inlineStr">
        <is>
          <t>original_files/R13558/fulltext/fulltext__published__0006612a5b75c131.pdf</t>
        </is>
      </c>
      <c r="AC90" s="2" t="inlineStr"/>
      <c r="AD90" s="2" t="inlineStr">
        <is>
          <t>https://github.com/Colliam-Vermilion/FirstCodex/blob/results/ad-oxygen-literature-20261006/results/ad-oxygen-literature-20261006/original_files/R13558/fulltext/fulltext__published__0006612a5b75c131.pdf</t>
        </is>
      </c>
    </row>
    <row r="91" ht="48" customHeight="1">
      <c r="A91" s="3" t="inlineStr">
        <is>
          <t>R13671</t>
        </is>
      </c>
      <c r="B91" s="3" t="inlineStr">
        <is>
          <t>Synchronously enhanced methanogenesis performance and reduced antibiotic resistance genes of cattle manure anaerobic digestion by air nanobubble water</t>
        </is>
      </c>
      <c r="C91" s="3" t="inlineStr">
        <is>
          <t>2026</t>
        </is>
      </c>
      <c r="D91" s="3" t="inlineStr">
        <is>
          <t>2026</t>
        </is>
      </c>
      <c r="E91" s="3" t="inlineStr">
        <is>
          <t>10.1016/j.biortech.2026.134704</t>
        </is>
      </c>
      <c r="F91" s="3" t="inlineStr">
        <is>
          <t>期刊文章</t>
        </is>
      </c>
      <c r="G91" s="3" t="inlineStr">
        <is>
          <t>1 直接向 AD 反应器或内部循环系统供氧</t>
        </is>
      </c>
      <c r="H91" s="3" t="inlineStr">
        <is>
          <t>是</t>
        </is>
      </c>
      <c r="I91" s="3" t="inlineStr">
        <is>
          <t>研究类</t>
        </is>
      </c>
      <c r="J91" s="3" t="inlineStr">
        <is>
          <t>是</t>
        </is>
      </c>
      <c r="K91" s="3" t="inlineStr">
        <is>
          <t>BIORESOURCE TECHNOLOGY</t>
        </is>
      </c>
      <c r="L91" s="3" t="inlineStr">
        <is>
          <t>Bioresource Technology</t>
        </is>
      </c>
      <c r="M91" s="3" t="inlineStr">
        <is>
          <t>0960-8524</t>
        </is>
      </c>
      <c r="N91" s="3" t="inlineStr"/>
      <c r="O91" s="3" t="inlineStr">
        <is>
          <t>已取得核验全文</t>
        </is>
      </c>
      <c r="P91" s="3" t="inlineStr">
        <is>
          <t>是</t>
        </is>
      </c>
      <c r="Q91" s="3" t="inlineStr">
        <is>
          <t>已取得1件原格式补充材料；其中0件唯一关联待核实；完整性未确认</t>
        </is>
      </c>
      <c r="R91" s="3" t="n">
        <v>2024</v>
      </c>
      <c r="S91" s="3" t="inlineStr">
        <is>
          <t>2025发布版（2024指标年）</t>
        </is>
      </c>
      <c r="T91" s="3" t="inlineStr">
        <is>
          <t>AGRICULTURAL ENGINEERING; BIOTECHNOLOGY &amp; APPLIED MICROBIOLOGY; ENERGY &amp; FUELS</t>
        </is>
      </c>
      <c r="U91" s="3" t="inlineStr">
        <is>
          <t>AGRICULTURAL ENGINEERING: Q1; BIOTECHNOLOGY &amp; APPLIED MICROBIOLOGY: Q1; ENERGY &amp; FUELS: Q1</t>
        </is>
      </c>
      <c r="V91" s="4" t="inlineStr">
        <is>
          <t>是</t>
        </is>
      </c>
      <c r="W91" s="4" t="inlineStr">
        <is>
          <t>是</t>
        </is>
      </c>
      <c r="X91" s="3" t="inlineStr">
        <is>
          <t>是</t>
        </is>
      </c>
      <c r="Y91" s="3" t="inlineStr">
        <is>
          <t>https://topj.lib.whu.edu.cn/show.asp?cat=zk&amp;id=3976</t>
        </is>
      </c>
      <c r="Z91" s="3" t="inlineStr">
        <is>
          <t>https://api.crossref.org/works/10.1016/j.biortech.2026.134704</t>
        </is>
      </c>
      <c r="AA9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1" s="3" t="inlineStr">
        <is>
          <t>original_files/R13671/fulltext/fulltext__published__7c2c100619417848.pdf</t>
        </is>
      </c>
      <c r="AC91" s="3" t="inlineStr">
        <is>
          <t>original_files/R13671/supplementary/supplementary__33a5ff10f2b66130.docx</t>
        </is>
      </c>
      <c r="AD91" s="3" t="inlineStr">
        <is>
          <t>https://github.com/Colliam-Vermilion/FirstCodex/blob/results/ad-oxygen-literature-20261006/results/ad-oxygen-literature-20261006/original_files/R13671/fulltext/fulltext__published__7c2c100619417848.pdf</t>
        </is>
      </c>
    </row>
    <row r="92" ht="48" customHeight="1">
      <c r="A92" s="2" t="inlineStr">
        <is>
          <t>R13816</t>
        </is>
      </c>
      <c r="B92" s="2" t="inlineStr">
        <is>
          <t>Can microaeration and hydraulic retention time steer anaerobic microbiomes toward efficient linear alkylbenzene sulfonate degradation?</t>
        </is>
      </c>
      <c r="C92" s="2" t="inlineStr">
        <is>
          <t>2027</t>
        </is>
      </c>
      <c r="D92" s="2" t="inlineStr">
        <is>
          <t>2027</t>
        </is>
      </c>
      <c r="E92" s="2" t="inlineStr">
        <is>
          <t>10.1016/j.biortech.2026.135794</t>
        </is>
      </c>
      <c r="F92" s="2" t="inlineStr">
        <is>
          <t>期刊文章</t>
        </is>
      </c>
      <c r="G92" s="2" t="inlineStr">
        <is>
          <t>1 直接向 AD 反应器或内部循环系统供氧</t>
        </is>
      </c>
      <c r="H92" s="2" t="inlineStr">
        <is>
          <t>是</t>
        </is>
      </c>
      <c r="I92" s="2" t="inlineStr">
        <is>
          <t>研究类</t>
        </is>
      </c>
      <c r="J92" s="2" t="inlineStr">
        <is>
          <t>是</t>
        </is>
      </c>
      <c r="K92" s="2" t="inlineStr">
        <is>
          <t>BIORESOURCE TECHNOLOGY</t>
        </is>
      </c>
      <c r="L92" s="2" t="inlineStr">
        <is>
          <t>Bioresource Technology</t>
        </is>
      </c>
      <c r="M92" s="2" t="inlineStr">
        <is>
          <t>0960-8524</t>
        </is>
      </c>
      <c r="N92" s="2" t="inlineStr"/>
      <c r="O92" s="2" t="inlineStr">
        <is>
          <t>已取得核验全文</t>
        </is>
      </c>
      <c r="P92" s="2" t="inlineStr">
        <is>
          <t>是</t>
        </is>
      </c>
      <c r="Q92" s="2" t="inlineStr">
        <is>
          <t>已取得1件原格式补充材料；其中1件唯一关联待核实；完整性未确认</t>
        </is>
      </c>
      <c r="R92" s="2" t="n">
        <v>2024</v>
      </c>
      <c r="S92" s="2" t="inlineStr">
        <is>
          <t>2025发布版（2024指标年）</t>
        </is>
      </c>
      <c r="T92" s="2" t="inlineStr">
        <is>
          <t>AGRICULTURAL ENGINEERING; BIOTECHNOLOGY &amp; APPLIED MICROBIOLOGY; ENERGY &amp; FUELS</t>
        </is>
      </c>
      <c r="U92" s="2" t="inlineStr">
        <is>
          <t>AGRICULTURAL ENGINEERING: Q1; BIOTECHNOLOGY &amp; APPLIED MICROBIOLOGY: Q1; ENERGY &amp; FUELS: Q1</t>
        </is>
      </c>
      <c r="V92" s="4" t="inlineStr">
        <is>
          <t>是</t>
        </is>
      </c>
      <c r="W92" s="4" t="inlineStr">
        <is>
          <t>是</t>
        </is>
      </c>
      <c r="X92" s="2" t="inlineStr">
        <is>
          <t>是</t>
        </is>
      </c>
      <c r="Y92" s="2" t="inlineStr">
        <is>
          <t>https://topj.lib.whu.edu.cn/show.asp?cat=zk&amp;id=3976</t>
        </is>
      </c>
      <c r="Z92" s="2" t="inlineStr">
        <is>
          <t>https://api.crossref.org/works/10.1016/j.biortech.2026.135794</t>
        </is>
      </c>
      <c r="AA9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2" s="2" t="inlineStr">
        <is>
          <t>original_files/R13816/fulltext/fulltext__published__9ca1f17111350dd6.pdf</t>
        </is>
      </c>
      <c r="AC92" s="2" t="inlineStr">
        <is>
          <t>original_files/R13816/supplementary/supplementary__64c389b828148a72.docx</t>
        </is>
      </c>
      <c r="AD92" s="2" t="inlineStr">
        <is>
          <t>https://github.com/Colliam-Vermilion/FirstCodex/blob/results/ad-oxygen-literature-20261006/results/ad-oxygen-literature-20261006/original_files/R13816/fulltext/fulltext__published__9ca1f17111350dd6.pdf</t>
        </is>
      </c>
    </row>
    <row r="93" ht="48" customHeight="1">
      <c r="A93" s="3" t="inlineStr">
        <is>
          <t>R13817</t>
        </is>
      </c>
      <c r="B93" s="3" t="inlineStr">
        <is>
          <t>Micro-aeration unlocks endogenous nitrogen removal in anaerobic digesters via metabolically versatile fermentative bacteria</t>
        </is>
      </c>
      <c r="C93" s="3" t="inlineStr">
        <is>
          <t>2027</t>
        </is>
      </c>
      <c r="D93" s="3" t="inlineStr">
        <is>
          <t>2027</t>
        </is>
      </c>
      <c r="E93" s="3" t="inlineStr">
        <is>
          <t>10.1016/j.watres.2026.126838</t>
        </is>
      </c>
      <c r="F93" s="3" t="inlineStr">
        <is>
          <t>期刊文章</t>
        </is>
      </c>
      <c r="G93" s="3" t="inlineStr">
        <is>
          <t>1 直接向 AD 反应器或内部循环系统供氧</t>
        </is>
      </c>
      <c r="H93" s="3" t="inlineStr">
        <is>
          <t>是</t>
        </is>
      </c>
      <c r="I93" s="3" t="inlineStr">
        <is>
          <t>研究类</t>
        </is>
      </c>
      <c r="J93" s="3" t="inlineStr">
        <is>
          <t>是</t>
        </is>
      </c>
      <c r="K93" s="3" t="inlineStr">
        <is>
          <t>WATER RESEARCH</t>
        </is>
      </c>
      <c r="L93" s="3" t="inlineStr">
        <is>
          <t>Water Research</t>
        </is>
      </c>
      <c r="M93" s="3" t="inlineStr">
        <is>
          <t>0043-1354</t>
        </is>
      </c>
      <c r="N93" s="3" t="inlineStr"/>
      <c r="O93" s="3" t="inlineStr">
        <is>
          <t>已取得核验全文</t>
        </is>
      </c>
      <c r="P93" s="3" t="inlineStr">
        <is>
          <t>是</t>
        </is>
      </c>
      <c r="Q93" s="3" t="inlineStr">
        <is>
          <t>已取得1件原格式补充材料；其中0件唯一关联待核实；完整性未确认</t>
        </is>
      </c>
      <c r="R93" s="3" t="n">
        <v>2024</v>
      </c>
      <c r="S93" s="3" t="inlineStr">
        <is>
          <t>2025发布版（2024指标年）</t>
        </is>
      </c>
      <c r="T93" s="3" t="inlineStr">
        <is>
          <t>WATER RESOURCES; ENGINEERING, ENVIRONMENTAL; ENVIRONMENTAL SCIENCES</t>
        </is>
      </c>
      <c r="U93" s="3" t="inlineStr">
        <is>
          <t>WATER RESOURCES: Q1; ENGINEERING, ENVIRONMENTAL: Q1; ENVIRONMENTAL SCIENCES: Q1</t>
        </is>
      </c>
      <c r="V93" s="4" t="inlineStr">
        <is>
          <t>是</t>
        </is>
      </c>
      <c r="W93" s="4" t="inlineStr">
        <is>
          <t>是</t>
        </is>
      </c>
      <c r="X93" s="3" t="inlineStr">
        <is>
          <t>是</t>
        </is>
      </c>
      <c r="Y93" s="3" t="inlineStr">
        <is>
          <t>https://topj.lib.whu.edu.cn/show.asp?cat=zk&amp;id=3962</t>
        </is>
      </c>
      <c r="Z93" s="3" t="inlineStr">
        <is>
          <t>https://api.crossref.org/works/10.1016/j.watres.2026.126838</t>
        </is>
      </c>
      <c r="AA9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3" s="3" t="inlineStr">
        <is>
          <t>original_files/R13817/fulltext/fulltext__published__086e395f087b1b36.pdf</t>
        </is>
      </c>
      <c r="AC93" s="3" t="inlineStr">
        <is>
          <t>original_files/R13817/supplementary/supplementary__90f0f92a33705eba.docx</t>
        </is>
      </c>
      <c r="AD93" s="3" t="inlineStr">
        <is>
          <t>https://github.com/Colliam-Vermilion/FirstCodex/blob/results/ad-oxygen-literature-20261006/results/ad-oxygen-literature-20261006/original_files/R13817/fulltext/fulltext__published__086e395f087b1b36.pdf</t>
        </is>
      </c>
    </row>
    <row r="94" ht="48" customHeight="1">
      <c r="A94" s="2" t="inlineStr">
        <is>
          <t>R00915</t>
        </is>
      </c>
      <c r="B94" s="2" t="inlineStr">
        <is>
          <t>Redox potential control and applications in microaerobic and anaerobic fermentations</t>
        </is>
      </c>
      <c r="C94" s="2" t="inlineStr">
        <is>
          <t>2013</t>
        </is>
      </c>
      <c r="D94" s="2" t="inlineStr">
        <is>
          <t>2013</t>
        </is>
      </c>
      <c r="E94" s="2" t="inlineStr">
        <is>
          <t>10.1016/j.biotechadv.2012.11.005</t>
        </is>
      </c>
      <c r="F94" s="2" t="inlineStr">
        <is>
          <t>期刊文章</t>
        </is>
      </c>
      <c r="G94" s="2" t="inlineStr">
        <is>
          <t>2 向厌氧水解或产酸阶段供氧</t>
        </is>
      </c>
      <c r="H94" s="2" t="inlineStr">
        <is>
          <t>是</t>
        </is>
      </c>
      <c r="I94" s="2" t="inlineStr">
        <is>
          <t>研究类</t>
        </is>
      </c>
      <c r="J94" s="2" t="inlineStr">
        <is>
          <t>是</t>
        </is>
      </c>
      <c r="K94" s="2" t="inlineStr">
        <is>
          <t>BIOTECHNOLOGY ADVANCES</t>
        </is>
      </c>
      <c r="L94" s="2" t="inlineStr">
        <is>
          <t>Biotechnology Advances</t>
        </is>
      </c>
      <c r="M94" s="2" t="inlineStr">
        <is>
          <t>0734-9750</t>
        </is>
      </c>
      <c r="N94" s="2" t="inlineStr"/>
      <c r="O94" s="2" t="inlineStr">
        <is>
          <t>已取得核验全文</t>
        </is>
      </c>
      <c r="P94" s="2" t="inlineStr">
        <is>
          <t>是</t>
        </is>
      </c>
      <c r="Q94" s="2" t="inlineStr">
        <is>
          <t>当前无补充材料原件；沿用既有缺失/无附件证据，不据此认定无附件</t>
        </is>
      </c>
      <c r="R94" s="2" t="n">
        <v>2024</v>
      </c>
      <c r="S94" s="2" t="inlineStr">
        <is>
          <t>2025发布版（2024指标年）</t>
        </is>
      </c>
      <c r="T94" s="2" t="inlineStr">
        <is>
          <t>BIOTECHNOLOGY &amp; APPLIED MICROBIOLOGY</t>
        </is>
      </c>
      <c r="U94" s="2" t="inlineStr">
        <is>
          <t>BIOTECHNOLOGY &amp; APPLIED MICROBIOLOGY: Q1</t>
        </is>
      </c>
      <c r="V94" s="4" t="inlineStr">
        <is>
          <t>是</t>
        </is>
      </c>
      <c r="W94" s="4" t="inlineStr">
        <is>
          <t>是</t>
        </is>
      </c>
      <c r="X94" s="2" t="inlineStr">
        <is>
          <t>是</t>
        </is>
      </c>
      <c r="Y94" s="2" t="inlineStr">
        <is>
          <t>https://topj.lib.whu.edu.cn/show.asp?cat=sci&amp;id=2745</t>
        </is>
      </c>
      <c r="Z94" s="2" t="inlineStr">
        <is>
          <t>https://api.crossref.org/works/10.1016/j.biotechadv.2012.11.005</t>
        </is>
      </c>
      <c r="AA9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4" s="2" t="inlineStr">
        <is>
          <t>original_files/R00915/fulltext/fulltext__published__5c669a9f493b8a83.pdf</t>
        </is>
      </c>
      <c r="AC94" s="2" t="inlineStr"/>
      <c r="AD94" s="2" t="inlineStr">
        <is>
          <t>https://github.com/Colliam-Vermilion/FirstCodex/blob/results/ad-oxygen-literature-20261006/results/ad-oxygen-literature-20261006/original_files/R00915/fulltext/fulltext__published__5c669a9f493b8a83.pdf</t>
        </is>
      </c>
    </row>
    <row r="95" ht="48" customHeight="1">
      <c r="A95" s="3" t="inlineStr">
        <is>
          <t>R01050</t>
        </is>
      </c>
      <c r="B95" s="3" t="inlineStr">
        <is>
          <t>A micro-aerobic hydrolysis process for sludge in situ reduction: Performance and microbial community structure</t>
        </is>
      </c>
      <c r="C95" s="3" t="inlineStr">
        <is>
          <t>2014</t>
        </is>
      </c>
      <c r="D95" s="3" t="inlineStr">
        <is>
          <t>2014</t>
        </is>
      </c>
      <c r="E95" s="3" t="inlineStr">
        <is>
          <t>10.1016/j.biortech.2014.09.119</t>
        </is>
      </c>
      <c r="F95" s="3" t="inlineStr">
        <is>
          <t>期刊文章</t>
        </is>
      </c>
      <c r="G95" s="3" t="inlineStr">
        <is>
          <t>2 向厌氧水解或产酸阶段供氧</t>
        </is>
      </c>
      <c r="H95" s="3" t="inlineStr">
        <is>
          <t>是</t>
        </is>
      </c>
      <c r="I95" s="3" t="inlineStr">
        <is>
          <t>研究类</t>
        </is>
      </c>
      <c r="J95" s="3" t="inlineStr">
        <is>
          <t>是</t>
        </is>
      </c>
      <c r="K95" s="3" t="inlineStr">
        <is>
          <t>BIORESOURCE TECHNOLOGY</t>
        </is>
      </c>
      <c r="L95" s="3" t="inlineStr">
        <is>
          <t>Bioresource Technology</t>
        </is>
      </c>
      <c r="M95" s="3" t="inlineStr">
        <is>
          <t>0960-8524</t>
        </is>
      </c>
      <c r="N95" s="3" t="inlineStr"/>
      <c r="O95" s="3" t="inlineStr">
        <is>
          <t>已取得核验全文</t>
        </is>
      </c>
      <c r="P95" s="3" t="inlineStr">
        <is>
          <t>是</t>
        </is>
      </c>
      <c r="Q95" s="3" t="inlineStr">
        <is>
          <t>当前无补充材料原件；沿用既有缺失/无附件证据，不据此认定无附件</t>
        </is>
      </c>
      <c r="R95" s="3" t="n">
        <v>2024</v>
      </c>
      <c r="S95" s="3" t="inlineStr">
        <is>
          <t>2025发布版（2024指标年）</t>
        </is>
      </c>
      <c r="T95" s="3" t="inlineStr">
        <is>
          <t>AGRICULTURAL ENGINEERING; BIOTECHNOLOGY &amp; APPLIED MICROBIOLOGY; ENERGY &amp; FUELS</t>
        </is>
      </c>
      <c r="U95" s="3" t="inlineStr">
        <is>
          <t>AGRICULTURAL ENGINEERING: Q1; BIOTECHNOLOGY &amp; APPLIED MICROBIOLOGY: Q1; ENERGY &amp; FUELS: Q1</t>
        </is>
      </c>
      <c r="V95" s="4" t="inlineStr">
        <is>
          <t>是</t>
        </is>
      </c>
      <c r="W95" s="4" t="inlineStr">
        <is>
          <t>是</t>
        </is>
      </c>
      <c r="X95" s="3" t="inlineStr">
        <is>
          <t>是</t>
        </is>
      </c>
      <c r="Y95" s="3" t="inlineStr">
        <is>
          <t>https://topj.lib.whu.edu.cn/show.asp?cat=zk&amp;id=3976</t>
        </is>
      </c>
      <c r="Z95" s="3" t="inlineStr">
        <is>
          <t>https://api.crossref.org/works/10.1016/j.biortech.2014.09.119</t>
        </is>
      </c>
      <c r="AA9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5" s="3" t="inlineStr">
        <is>
          <t>original_files/R01050/fulltext/fulltext__published__298873049e96fe61.pdf</t>
        </is>
      </c>
      <c r="AC95" s="3" t="inlineStr"/>
      <c r="AD95" s="3" t="inlineStr">
        <is>
          <t>https://github.com/Colliam-Vermilion/FirstCodex/blob/results/ad-oxygen-literature-20261006/results/ad-oxygen-literature-20261006/original_files/R01050/fulltext/fulltext__published__298873049e96fe61.pdf</t>
        </is>
      </c>
    </row>
    <row r="96" ht="48" customHeight="1">
      <c r="A96" s="2" t="inlineStr">
        <is>
          <t>R01362</t>
        </is>
      </c>
      <c r="B96" s="2" t="inlineStr">
        <is>
          <t>Microbial community structure reveals how microaeration improves fermentation during anaerobic co-digestion of brown water and food waste</t>
        </is>
      </c>
      <c r="C96" s="2" t="inlineStr">
        <is>
          <t>2014</t>
        </is>
      </c>
      <c r="D96" s="2" t="inlineStr">
        <is>
          <t>2014</t>
        </is>
      </c>
      <c r="E96" s="2" t="inlineStr">
        <is>
          <t>10.1016/j.biortech.2014.08.050</t>
        </is>
      </c>
      <c r="F96" s="2" t="inlineStr">
        <is>
          <t>期刊文章</t>
        </is>
      </c>
      <c r="G96" s="2" t="inlineStr">
        <is>
          <t>2 向厌氧水解或产酸阶段供氧</t>
        </is>
      </c>
      <c r="H96" s="2" t="inlineStr">
        <is>
          <t>是</t>
        </is>
      </c>
      <c r="I96" s="2" t="inlineStr">
        <is>
          <t>研究类</t>
        </is>
      </c>
      <c r="J96" s="2" t="inlineStr">
        <is>
          <t>是</t>
        </is>
      </c>
      <c r="K96" s="2" t="inlineStr">
        <is>
          <t>BIORESOURCE TECHNOLOGY</t>
        </is>
      </c>
      <c r="L96" s="2" t="inlineStr">
        <is>
          <t>Bioresource Technology</t>
        </is>
      </c>
      <c r="M96" s="2" t="inlineStr">
        <is>
          <t>0960-8524</t>
        </is>
      </c>
      <c r="N96" s="2" t="inlineStr"/>
      <c r="O96" s="2" t="inlineStr">
        <is>
          <t>已取得核验全文</t>
        </is>
      </c>
      <c r="P96" s="2" t="inlineStr">
        <is>
          <t>是</t>
        </is>
      </c>
      <c r="Q96" s="2" t="inlineStr">
        <is>
          <t>当前无补充材料原件；沿用既有缺失/无附件证据，不据此认定无附件</t>
        </is>
      </c>
      <c r="R96" s="2" t="n">
        <v>2024</v>
      </c>
      <c r="S96" s="2" t="inlineStr">
        <is>
          <t>2025发布版（2024指标年）</t>
        </is>
      </c>
      <c r="T96" s="2" t="inlineStr">
        <is>
          <t>AGRICULTURAL ENGINEERING; BIOTECHNOLOGY &amp; APPLIED MICROBIOLOGY; ENERGY &amp; FUELS</t>
        </is>
      </c>
      <c r="U96" s="2" t="inlineStr">
        <is>
          <t>AGRICULTURAL ENGINEERING: Q1; BIOTECHNOLOGY &amp; APPLIED MICROBIOLOGY: Q1; ENERGY &amp; FUELS: Q1</t>
        </is>
      </c>
      <c r="V96" s="4" t="inlineStr">
        <is>
          <t>是</t>
        </is>
      </c>
      <c r="W96" s="4" t="inlineStr">
        <is>
          <t>是</t>
        </is>
      </c>
      <c r="X96" s="2" t="inlineStr">
        <is>
          <t>是</t>
        </is>
      </c>
      <c r="Y96" s="2" t="inlineStr">
        <is>
          <t>https://topj.lib.whu.edu.cn/show.asp?cat=zk&amp;id=3976</t>
        </is>
      </c>
      <c r="Z96" s="2" t="inlineStr">
        <is>
          <t>https://api.crossref.org/works/10.1016/j.biortech.2014.08.050</t>
        </is>
      </c>
      <c r="AA9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6" s="2" t="inlineStr">
        <is>
          <t>original_files/R01362/fulltext/fulltext__published__01950ce99dba212c.pdf</t>
        </is>
      </c>
      <c r="AC96" s="2" t="inlineStr"/>
      <c r="AD96" s="2" t="inlineStr">
        <is>
          <t>https://github.com/Colliam-Vermilion/FirstCodex/blob/results/ad-oxygen-literature-20261006/results/ad-oxygen-literature-20261006/original_files/R01362/fulltext/fulltext__published__01950ce99dba212c.pdf</t>
        </is>
      </c>
    </row>
    <row r="97" ht="48" customHeight="1">
      <c r="A97" s="3" t="inlineStr">
        <is>
          <t>R01410</t>
        </is>
      </c>
      <c r="B97" s="3" t="inlineStr">
        <is>
          <t>Optimization of micro-aeration intensity in acidogenic reactor of a two-phase anaerobic digester treating food waste</t>
        </is>
      </c>
      <c r="C97" s="3" t="inlineStr">
        <is>
          <t>2014</t>
        </is>
      </c>
      <c r="D97" s="3" t="inlineStr">
        <is>
          <t>2014</t>
        </is>
      </c>
      <c r="E97" s="3" t="inlineStr">
        <is>
          <t>10.1016/j.wasman.2013.10.038</t>
        </is>
      </c>
      <c r="F97" s="3" t="inlineStr">
        <is>
          <t>期刊文章</t>
        </is>
      </c>
      <c r="G97" s="3" t="inlineStr">
        <is>
          <t>2 向厌氧水解或产酸阶段供氧</t>
        </is>
      </c>
      <c r="H97" s="3" t="inlineStr">
        <is>
          <t>是</t>
        </is>
      </c>
      <c r="I97" s="3" t="inlineStr">
        <is>
          <t>研究类</t>
        </is>
      </c>
      <c r="J97" s="3" t="inlineStr">
        <is>
          <t>是</t>
        </is>
      </c>
      <c r="K97" s="3" t="inlineStr">
        <is>
          <t>Waste Management</t>
        </is>
      </c>
      <c r="L97" s="3" t="inlineStr">
        <is>
          <t>Waste Management</t>
        </is>
      </c>
      <c r="M97" s="3" t="inlineStr">
        <is>
          <t>0956-053X</t>
        </is>
      </c>
      <c r="N97" s="3" t="inlineStr"/>
      <c r="O97" s="3" t="inlineStr">
        <is>
          <t>已取得核验全文</t>
        </is>
      </c>
      <c r="P97" s="3" t="inlineStr">
        <is>
          <t>是</t>
        </is>
      </c>
      <c r="Q97" s="3" t="inlineStr">
        <is>
          <t>当前无补充材料原件；沿用既有缺失/无附件证据，不据此认定无附件</t>
        </is>
      </c>
      <c r="R97" s="3" t="n">
        <v>2024</v>
      </c>
      <c r="S97" s="3" t="inlineStr">
        <is>
          <t>2025发布版（2024指标年）</t>
        </is>
      </c>
      <c r="T97" s="3" t="inlineStr">
        <is>
          <t>ENGINEERING, ENVIRONMENTAL; ENVIRONMENTAL SCIENCES</t>
        </is>
      </c>
      <c r="U97" s="3" t="inlineStr">
        <is>
          <t>ENGINEERING, ENVIRONMENTAL: Q1; ENVIRONMENTAL SCIENCES: Q1</t>
        </is>
      </c>
      <c r="V97" s="4" t="inlineStr">
        <is>
          <t>是</t>
        </is>
      </c>
      <c r="W97" s="4" t="inlineStr">
        <is>
          <t>是</t>
        </is>
      </c>
      <c r="X97" s="3" t="inlineStr">
        <is>
          <t>是</t>
        </is>
      </c>
      <c r="Y97" s="3" t="inlineStr">
        <is>
          <t>https://topj.lib.whu.edu.cn/show.asp?cat=zk&amp;id=4000</t>
        </is>
      </c>
      <c r="Z97" s="3" t="inlineStr">
        <is>
          <t>https://api.crossref.org/works/10.1016/j.wasman.2013.10.038</t>
        </is>
      </c>
      <c r="AA9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7" s="3" t="inlineStr">
        <is>
          <t>original_files/R01410/fulltext/fulltext__published__a750f0e05f2cd4ac.pdf</t>
        </is>
      </c>
      <c r="AC97" s="3" t="inlineStr"/>
      <c r="AD97" s="3" t="inlineStr">
        <is>
          <t>https://github.com/Colliam-Vermilion/FirstCodex/blob/results/ad-oxygen-literature-20261006/results/ad-oxygen-literature-20261006/original_files/R01410/fulltext/fulltext__published__a750f0e05f2cd4ac.pdf</t>
        </is>
      </c>
    </row>
    <row r="98" ht="48" customHeight="1">
      <c r="A98" s="2" t="inlineStr">
        <is>
          <t>R01917</t>
        </is>
      </c>
      <c r="B98" s="2" t="inlineStr">
        <is>
          <t>Improving hydrolysis acidification by limited aeration in the pretreatment of petrochemical wastewater</t>
        </is>
      </c>
      <c r="C98" s="2" t="inlineStr">
        <is>
          <t>2015</t>
        </is>
      </c>
      <c r="D98" s="2" t="inlineStr">
        <is>
          <t>2015</t>
        </is>
      </c>
      <c r="E98" s="2" t="inlineStr">
        <is>
          <t>10.1016/j.biortech.2015.06.072</t>
        </is>
      </c>
      <c r="F98" s="2" t="inlineStr">
        <is>
          <t>期刊文章</t>
        </is>
      </c>
      <c r="G98" s="2" t="inlineStr">
        <is>
          <t>2 向厌氧水解或产酸阶段供氧</t>
        </is>
      </c>
      <c r="H98" s="2" t="inlineStr">
        <is>
          <t>是</t>
        </is>
      </c>
      <c r="I98" s="2" t="inlineStr">
        <is>
          <t>研究类</t>
        </is>
      </c>
      <c r="J98" s="2" t="inlineStr">
        <is>
          <t>是</t>
        </is>
      </c>
      <c r="K98" s="2" t="inlineStr">
        <is>
          <t>BIORESOURCE TECHNOLOGY</t>
        </is>
      </c>
      <c r="L98" s="2" t="inlineStr">
        <is>
          <t>Bioresource Technology</t>
        </is>
      </c>
      <c r="M98" s="2" t="inlineStr">
        <is>
          <t>0960-8524</t>
        </is>
      </c>
      <c r="N98" s="2" t="inlineStr"/>
      <c r="O98" s="2" t="inlineStr">
        <is>
          <t>已取得核验全文</t>
        </is>
      </c>
      <c r="P98" s="2" t="inlineStr">
        <is>
          <t>是</t>
        </is>
      </c>
      <c r="Q98" s="2" t="inlineStr">
        <is>
          <t>已取得1件原格式补充材料；其中0件唯一关联待核实；完整性未确认</t>
        </is>
      </c>
      <c r="R98" s="2" t="n">
        <v>2024</v>
      </c>
      <c r="S98" s="2" t="inlineStr">
        <is>
          <t>2025发布版（2024指标年）</t>
        </is>
      </c>
      <c r="T98" s="2" t="inlineStr">
        <is>
          <t>AGRICULTURAL ENGINEERING; BIOTECHNOLOGY &amp; APPLIED MICROBIOLOGY; ENERGY &amp; FUELS</t>
        </is>
      </c>
      <c r="U98" s="2" t="inlineStr">
        <is>
          <t>AGRICULTURAL ENGINEERING: Q1; BIOTECHNOLOGY &amp; APPLIED MICROBIOLOGY: Q1; ENERGY &amp; FUELS: Q1</t>
        </is>
      </c>
      <c r="V98" s="4" t="inlineStr">
        <is>
          <t>是</t>
        </is>
      </c>
      <c r="W98" s="4" t="inlineStr">
        <is>
          <t>是</t>
        </is>
      </c>
      <c r="X98" s="2" t="inlineStr">
        <is>
          <t>是</t>
        </is>
      </c>
      <c r="Y98" s="2" t="inlineStr">
        <is>
          <t>https://topj.lib.whu.edu.cn/show.asp?cat=zk&amp;id=3976</t>
        </is>
      </c>
      <c r="Z98" s="2" t="inlineStr">
        <is>
          <t>https://api.crossref.org/works/10.1016/j.biortech.2015.06.072</t>
        </is>
      </c>
      <c r="AA9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8" s="2" t="inlineStr">
        <is>
          <t>original_files/R01917/fulltext/fulltext__published__e31cfc89134fbe8a.pdf</t>
        </is>
      </c>
      <c r="AC98" s="2" t="inlineStr">
        <is>
          <t>original_files/R01917/supplementary/supplementary__1cecc1f159878862.doc</t>
        </is>
      </c>
      <c r="AD98" s="2" t="inlineStr">
        <is>
          <t>https://github.com/Colliam-Vermilion/FirstCodex/blob/results/ad-oxygen-literature-20261006/results/ad-oxygen-literature-20261006/original_files/R01917/fulltext/fulltext__published__e31cfc89134fbe8a.pdf</t>
        </is>
      </c>
    </row>
    <row r="99" ht="48" customHeight="1">
      <c r="A99" s="3" t="inlineStr">
        <is>
          <t>R02199</t>
        </is>
      </c>
      <c r="B99" s="3" t="inlineStr">
        <is>
          <t>Treatment of petrochemical wastewater by microaerobic hydrolysis and anoxic/oxic processes and analysis of bacterial diversity</t>
        </is>
      </c>
      <c r="C99" s="3" t="inlineStr">
        <is>
          <t>2015</t>
        </is>
      </c>
      <c r="D99" s="3" t="inlineStr">
        <is>
          <t>2015</t>
        </is>
      </c>
      <c r="E99" s="3" t="inlineStr">
        <is>
          <t>10.1016/j.biortech.2015.07.087</t>
        </is>
      </c>
      <c r="F99" s="3" t="inlineStr">
        <is>
          <t>期刊文章</t>
        </is>
      </c>
      <c r="G99" s="3" t="inlineStr">
        <is>
          <t>2 向厌氧水解或产酸阶段供氧</t>
        </is>
      </c>
      <c r="H99" s="3" t="inlineStr">
        <is>
          <t>是</t>
        </is>
      </c>
      <c r="I99" s="3" t="inlineStr">
        <is>
          <t>研究类</t>
        </is>
      </c>
      <c r="J99" s="3" t="inlineStr">
        <is>
          <t>是</t>
        </is>
      </c>
      <c r="K99" s="3" t="inlineStr">
        <is>
          <t>BIORESOURCE TECHNOLOGY</t>
        </is>
      </c>
      <c r="L99" s="3" t="inlineStr">
        <is>
          <t>Bioresource Technology</t>
        </is>
      </c>
      <c r="M99" s="3" t="inlineStr">
        <is>
          <t>0960-8524</t>
        </is>
      </c>
      <c r="N99" s="3" t="inlineStr"/>
      <c r="O99" s="3" t="inlineStr">
        <is>
          <t>已取得核验全文</t>
        </is>
      </c>
      <c r="P99" s="3" t="inlineStr">
        <is>
          <t>是</t>
        </is>
      </c>
      <c r="Q99" s="3" t="inlineStr">
        <is>
          <t>当前无补充材料原件；沿用既有缺失/无附件证据，不据此认定无附件</t>
        </is>
      </c>
      <c r="R99" s="3" t="n">
        <v>2024</v>
      </c>
      <c r="S99" s="3" t="inlineStr">
        <is>
          <t>2025发布版（2024指标年）</t>
        </is>
      </c>
      <c r="T99" s="3" t="inlineStr">
        <is>
          <t>AGRICULTURAL ENGINEERING; BIOTECHNOLOGY &amp; APPLIED MICROBIOLOGY; ENERGY &amp; FUELS</t>
        </is>
      </c>
      <c r="U99" s="3" t="inlineStr">
        <is>
          <t>AGRICULTURAL ENGINEERING: Q1; BIOTECHNOLOGY &amp; APPLIED MICROBIOLOGY: Q1; ENERGY &amp; FUELS: Q1</t>
        </is>
      </c>
      <c r="V99" s="4" t="inlineStr">
        <is>
          <t>是</t>
        </is>
      </c>
      <c r="W99" s="4" t="inlineStr">
        <is>
          <t>是</t>
        </is>
      </c>
      <c r="X99" s="3" t="inlineStr">
        <is>
          <t>是</t>
        </is>
      </c>
      <c r="Y99" s="3" t="inlineStr">
        <is>
          <t>https://topj.lib.whu.edu.cn/show.asp?cat=zk&amp;id=3976</t>
        </is>
      </c>
      <c r="Z99" s="3" t="inlineStr">
        <is>
          <t>https://api.crossref.org/works/10.1016/j.biortech.2015.07.087</t>
        </is>
      </c>
      <c r="AA9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99" s="3" t="inlineStr">
        <is>
          <t>original_files/R02199/fulltext/fulltext__published__4a6994a2d2e1e3aa.pdf</t>
        </is>
      </c>
      <c r="AC99" s="3" t="inlineStr"/>
      <c r="AD99" s="3" t="inlineStr">
        <is>
          <t>https://github.com/Colliam-Vermilion/FirstCodex/blob/results/ad-oxygen-literature-20261006/results/ad-oxygen-literature-20261006/original_files/R02199/fulltext/fulltext__published__4a6994a2d2e1e3aa.pdf</t>
        </is>
      </c>
    </row>
    <row r="100" ht="48" customHeight="1">
      <c r="A100" s="2" t="inlineStr">
        <is>
          <t>R02239</t>
        </is>
      </c>
      <c r="B100" s="2" t="inlineStr">
        <is>
          <t>[Application of Micro-aerobic Hydrolysis Acidification in the Pretreatment of Petrochemical Wastewater].</t>
        </is>
      </c>
      <c r="C100" s="2" t="n">
        <v>2015</v>
      </c>
      <c r="D100" s="2" t="inlineStr">
        <is>
          <t>2015</t>
        </is>
      </c>
      <c r="E100" s="2" t="inlineStr"/>
      <c r="F100" s="2" t="inlineStr">
        <is>
          <t>期刊文章</t>
        </is>
      </c>
      <c r="G100" s="2" t="inlineStr">
        <is>
          <t>2 向厌氧水解或产酸阶段供氧</t>
        </is>
      </c>
      <c r="H100" s="2" t="inlineStr">
        <is>
          <t>是</t>
        </is>
      </c>
      <c r="I100" s="2" t="inlineStr">
        <is>
          <t>研究类</t>
        </is>
      </c>
      <c r="J100" s="2" t="inlineStr">
        <is>
          <t>是</t>
        </is>
      </c>
      <c r="K100" s="2" t="inlineStr">
        <is>
          <t>Huanjing Kexue / Environmental Science</t>
        </is>
      </c>
      <c r="L100" s="2" t="inlineStr">
        <is>
          <t>PubMed</t>
        </is>
      </c>
      <c r="M100" s="2" t="inlineStr">
        <is>
          <t>0250-3301</t>
        </is>
      </c>
      <c r="N100" s="2" t="inlineStr"/>
      <c r="O100" s="2" t="inlineStr">
        <is>
          <t>已取得核验全文</t>
        </is>
      </c>
      <c r="P100" s="2" t="inlineStr">
        <is>
          <t>是</t>
        </is>
      </c>
      <c r="Q100" s="2" t="inlineStr">
        <is>
          <t>当前无补充材料原件；沿用既有缺失/无附件证据，不据此认定无附件</t>
        </is>
      </c>
      <c r="R100" s="2" t="n">
        <v>2024</v>
      </c>
      <c r="S100" s="2" t="inlineStr">
        <is>
          <t>2025发布版（2024指标年）</t>
        </is>
      </c>
      <c r="T100" s="2" t="inlineStr"/>
      <c r="U100" s="2" t="inlineStr"/>
      <c r="V100" s="2" t="inlineStr">
        <is>
          <t>待核实</t>
        </is>
      </c>
      <c r="W100" s="2" t="inlineStr">
        <is>
          <t>待核实</t>
        </is>
      </c>
      <c r="X100" s="2" t="inlineStr">
        <is>
          <t>否</t>
        </is>
      </c>
      <c r="Y100" s="2" t="inlineStr"/>
      <c r="Z100" s="2" t="inlineStr">
        <is>
          <t>原件内容核验：original_files/R02239/fulltext/fulltext__version_unverified__0ec9c37ecd0bceff.pdf</t>
        </is>
      </c>
      <c r="AA100" s="2" t="inlineStr">
        <is>
          <t>PDF pp.1,3–7：《环境科学》36(10),3738–3742；原期刊字段PubMed为索引平台 | 2024指标年JCR分区未核实；空白不能当非Q1。需要2025发布版/2024指标年的JCR全部学科导出。</t>
        </is>
      </c>
      <c r="AB100" s="2" t="inlineStr">
        <is>
          <t>original_files/R02239/fulltext/fulltext__version_unverified__0ec9c37ecd0bceff.pdf</t>
        </is>
      </c>
      <c r="AC100" s="2" t="inlineStr"/>
      <c r="AD100" s="2" t="inlineStr">
        <is>
          <t>https://github.com/Colliam-Vermilion/FirstCodex/blob/results/ad-oxygen-literature-20261006/results/ad-oxygen-literature-20261006/original_files/R02239/fulltext/fulltext__version_unverified__0ec9c37ecd0bceff.pdf</t>
        </is>
      </c>
    </row>
    <row r="101" ht="48" customHeight="1">
      <c r="A101" s="3" t="inlineStr">
        <is>
          <t>R02719</t>
        </is>
      </c>
      <c r="B101" s="3" t="inlineStr">
        <is>
          <t>Performance evaluation of micro-aerobic hydrolysis of mixed sludge: Optimum aeration and effect on its biochemical methane potential</t>
        </is>
      </c>
      <c r="C101" s="3" t="inlineStr">
        <is>
          <t>2016</t>
        </is>
      </c>
      <c r="D101" s="3" t="inlineStr">
        <is>
          <t>2016</t>
        </is>
      </c>
      <c r="E101" s="3" t="inlineStr">
        <is>
          <t>10.1080/10934529.2016.1215195</t>
        </is>
      </c>
      <c r="F101" s="3" t="inlineStr">
        <is>
          <t>期刊文章</t>
        </is>
      </c>
      <c r="G101" s="3" t="inlineStr">
        <is>
          <t>2 向厌氧水解或产酸阶段供氧</t>
        </is>
      </c>
      <c r="H101" s="3" t="inlineStr">
        <is>
          <t>是</t>
        </is>
      </c>
      <c r="I101" s="3" t="inlineStr">
        <is>
          <t>研究类</t>
        </is>
      </c>
      <c r="J101" s="3" t="inlineStr">
        <is>
          <t>是</t>
        </is>
      </c>
      <c r="K101" s="3" t="inlineStr">
        <is>
          <t>JOURNAL OF ENVIRONMENTAL SCIENCE AND HEALTH PART A-TOXIC/HAZARDOUS SUBSTANCES &amp; ENVIRONMENTAL ENGINEERING</t>
        </is>
      </c>
      <c r="L101" s="3" t="inlineStr">
        <is>
          <t>Journal of Environmental Science and Health, Part A</t>
        </is>
      </c>
      <c r="M101" s="3" t="inlineStr">
        <is>
          <t>1093-4529</t>
        </is>
      </c>
      <c r="N101" s="3" t="inlineStr">
        <is>
          <t>1532-4117</t>
        </is>
      </c>
      <c r="O101" s="3" t="inlineStr">
        <is>
          <t>已取得核验全文</t>
        </is>
      </c>
      <c r="P101" s="3" t="inlineStr">
        <is>
          <t>是</t>
        </is>
      </c>
      <c r="Q101" s="3" t="inlineStr">
        <is>
          <t>当前无补充材料原件；沿用既有缺失/无附件证据，不据此认定无附件</t>
        </is>
      </c>
      <c r="R101" s="3" t="n">
        <v>2024</v>
      </c>
      <c r="S101" s="3" t="inlineStr">
        <is>
          <t>2025发布版（2024指标年）</t>
        </is>
      </c>
      <c r="T101" s="3" t="inlineStr">
        <is>
          <t>ENGINEERING, ENVIRONMENTAL; ENVIRONMENTAL SCIENCES</t>
        </is>
      </c>
      <c r="U101" s="3" t="inlineStr">
        <is>
          <t>ENGINEERING, ENVIRONMENTAL: Q4; ENVIRONMENTAL SCIENCES: Q3</t>
        </is>
      </c>
      <c r="V101" s="3" t="inlineStr">
        <is>
          <t>否</t>
        </is>
      </c>
      <c r="W101" s="3" t="inlineStr">
        <is>
          <t>否</t>
        </is>
      </c>
      <c r="X101" s="3" t="inlineStr">
        <is>
          <t>是</t>
        </is>
      </c>
      <c r="Y101" s="3" t="inlineStr">
        <is>
          <t>https://topj.lib.whu.edu.cn/show.asp?cat=zk&amp;id=4361</t>
        </is>
      </c>
      <c r="Z101" s="3" t="inlineStr">
        <is>
          <t>https://api.crossref.org/works/10.1080/10934529.2016.1215195</t>
        </is>
      </c>
      <c r="AA10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01" s="3" t="inlineStr">
        <is>
          <t>original_files/R02719/fulltext/fulltext__version_unverified__4bf5e309b2ef3431.pdf</t>
        </is>
      </c>
      <c r="AC101" s="3" t="inlineStr"/>
      <c r="AD101" s="3" t="inlineStr">
        <is>
          <t>https://github.com/Colliam-Vermilion/FirstCodex/blob/results/ad-oxygen-literature-20261006/results/ad-oxygen-literature-20261006/original_files/R02719/fulltext/fulltext__version_unverified__4bf5e309b2ef3431.pdf</t>
        </is>
      </c>
    </row>
    <row r="102" ht="48" customHeight="1">
      <c r="A102" s="2" t="inlineStr">
        <is>
          <t>R02946</t>
        </is>
      </c>
      <c r="B102" s="2" t="inlineStr">
        <is>
          <t>Accelerated anaerobic hydrolysis rates under a combination of intermittent aeration and anaerobic conditions</t>
        </is>
      </c>
      <c r="C102" s="2" t="inlineStr">
        <is>
          <t>2017</t>
        </is>
      </c>
      <c r="D102" s="2" t="inlineStr">
        <is>
          <t>2017</t>
        </is>
      </c>
      <c r="E102" s="2" t="inlineStr">
        <is>
          <t>10.2166/wst.2017.085</t>
        </is>
      </c>
      <c r="F102" s="2" t="inlineStr">
        <is>
          <t>期刊文章</t>
        </is>
      </c>
      <c r="G102" s="2" t="inlineStr">
        <is>
          <t>2 向厌氧水解或产酸阶段供氧</t>
        </is>
      </c>
      <c r="H102" s="2" t="inlineStr">
        <is>
          <t>是</t>
        </is>
      </c>
      <c r="I102" s="2" t="inlineStr">
        <is>
          <t>研究类</t>
        </is>
      </c>
      <c r="J102" s="2" t="inlineStr">
        <is>
          <t>是</t>
        </is>
      </c>
      <c r="K102" s="2" t="inlineStr">
        <is>
          <t>WATER SCIENCE AND TECHNOLOGY</t>
        </is>
      </c>
      <c r="L102" s="2" t="inlineStr">
        <is>
          <t>Water Science and Technology</t>
        </is>
      </c>
      <c r="M102" s="2" t="inlineStr">
        <is>
          <t>0273-1223</t>
        </is>
      </c>
      <c r="N102" s="2" t="inlineStr">
        <is>
          <t>1996-9732</t>
        </is>
      </c>
      <c r="O102" s="2" t="inlineStr">
        <is>
          <t>已取得核验全文</t>
        </is>
      </c>
      <c r="P102" s="2" t="inlineStr">
        <is>
          <t>是</t>
        </is>
      </c>
      <c r="Q102" s="2" t="inlineStr">
        <is>
          <t>当前无补充材料原件；沿用既有缺失/无附件证据，不据此认定无附件</t>
        </is>
      </c>
      <c r="R102" s="2" t="n">
        <v>2024</v>
      </c>
      <c r="S102" s="2" t="inlineStr">
        <is>
          <t>2025发布版（2024指标年）</t>
        </is>
      </c>
      <c r="T102" s="2" t="inlineStr">
        <is>
          <t>WATER RESOURCES; ENGINEERING, ENVIRONMENTAL; ENVIRONMENTAL SCIENCES</t>
        </is>
      </c>
      <c r="U102" s="2" t="inlineStr">
        <is>
          <t>WATER RESOURCES: Q2; ENGINEERING, ENVIRONMENTAL: Q3; ENVIRONMENTAL SCIENCES: Q3</t>
        </is>
      </c>
      <c r="V102" s="2" t="inlineStr">
        <is>
          <t>否</t>
        </is>
      </c>
      <c r="W102" s="2" t="inlineStr">
        <is>
          <t>否</t>
        </is>
      </c>
      <c r="X102" s="2" t="inlineStr">
        <is>
          <t>是</t>
        </is>
      </c>
      <c r="Y102" s="2" t="inlineStr">
        <is>
          <t>https://topj.lib.whu.edu.cn/search2.asp?ordertype=&amp;page=2&amp;q=&amp;sea=w&amp;searchtype=esi</t>
        </is>
      </c>
      <c r="Z102" s="2" t="inlineStr">
        <is>
          <t>https://api.crossref.org/works/10.2166/wst.2017.085</t>
        </is>
      </c>
      <c r="AA102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102" s="2" t="inlineStr">
        <is>
          <t>original_files/R02946/fulltext/fulltext__published__7443ff37439e4d1e.pdf</t>
        </is>
      </c>
      <c r="AC102" s="2" t="inlineStr"/>
      <c r="AD102" s="2" t="inlineStr">
        <is>
          <t>https://github.com/Colliam-Vermilion/FirstCodex/blob/results/ad-oxygen-literature-20261006/results/ad-oxygen-literature-20261006/original_files/R02946/fulltext/fulltext__published__7443ff37439e4d1e.pdf</t>
        </is>
      </c>
    </row>
    <row r="103" ht="48" customHeight="1">
      <c r="A103" s="3" t="inlineStr">
        <is>
          <t>R03220</t>
        </is>
      </c>
      <c r="B103" s="3" t="inlineStr">
        <is>
          <t>Enhanced volatile fatty acids production during anaerobic digestion of lignocellulosic biomass via micro-oxygenation</t>
        </is>
      </c>
      <c r="C103" s="3" t="inlineStr">
        <is>
          <t>2017</t>
        </is>
      </c>
      <c r="D103" s="3" t="inlineStr">
        <is>
          <t>2017</t>
        </is>
      </c>
      <c r="E103" s="3" t="inlineStr">
        <is>
          <t>10.1016/j.biortech.2017.02.029</t>
        </is>
      </c>
      <c r="F103" s="3" t="inlineStr">
        <is>
          <t>期刊文章</t>
        </is>
      </c>
      <c r="G103" s="3" t="inlineStr">
        <is>
          <t>2 向厌氧水解或产酸阶段供氧</t>
        </is>
      </c>
      <c r="H103" s="3" t="inlineStr">
        <is>
          <t>是</t>
        </is>
      </c>
      <c r="I103" s="3" t="inlineStr">
        <is>
          <t>研究类</t>
        </is>
      </c>
      <c r="J103" s="3" t="inlineStr">
        <is>
          <t>是</t>
        </is>
      </c>
      <c r="K103" s="3" t="inlineStr">
        <is>
          <t>BIORESOURCE TECHNOLOGY</t>
        </is>
      </c>
      <c r="L103" s="3" t="inlineStr">
        <is>
          <t>Bioresource Technology</t>
        </is>
      </c>
      <c r="M103" s="3" t="inlineStr">
        <is>
          <t>0960-8524</t>
        </is>
      </c>
      <c r="N103" s="3" t="inlineStr"/>
      <c r="O103" s="3" t="inlineStr">
        <is>
          <t>已取得核验全文</t>
        </is>
      </c>
      <c r="P103" s="3" t="inlineStr">
        <is>
          <t>是</t>
        </is>
      </c>
      <c r="Q103" s="3" t="inlineStr">
        <is>
          <t>已取得2件原格式补充材料；其中2件唯一关联待核实；完整性未确认</t>
        </is>
      </c>
      <c r="R103" s="3" t="n">
        <v>2024</v>
      </c>
      <c r="S103" s="3" t="inlineStr">
        <is>
          <t>2025发布版（2024指标年）</t>
        </is>
      </c>
      <c r="T103" s="3" t="inlineStr">
        <is>
          <t>AGRICULTURAL ENGINEERING; BIOTECHNOLOGY &amp; APPLIED MICROBIOLOGY; ENERGY &amp; FUELS</t>
        </is>
      </c>
      <c r="U103" s="3" t="inlineStr">
        <is>
          <t>AGRICULTURAL ENGINEERING: Q1; BIOTECHNOLOGY &amp; APPLIED MICROBIOLOGY: Q1; ENERGY &amp; FUELS: Q1</t>
        </is>
      </c>
      <c r="V103" s="4" t="inlineStr">
        <is>
          <t>是</t>
        </is>
      </c>
      <c r="W103" s="4" t="inlineStr">
        <is>
          <t>是</t>
        </is>
      </c>
      <c r="X103" s="3" t="inlineStr">
        <is>
          <t>是</t>
        </is>
      </c>
      <c r="Y103" s="3" t="inlineStr">
        <is>
          <t>https://topj.lib.whu.edu.cn/show.asp?cat=zk&amp;id=3976</t>
        </is>
      </c>
      <c r="Z103" s="3" t="inlineStr">
        <is>
          <t>https://api.crossref.org/works/10.1016/j.biortech.2017.02.029</t>
        </is>
      </c>
      <c r="AA10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03" s="3" t="inlineStr">
        <is>
          <t>original_files/R03220/fulltext/fulltext__published__e3a420e737821dfe.pdf</t>
        </is>
      </c>
      <c r="AC103" s="3" t="inlineStr">
        <is>
          <t>original_files/R03220/supplementary/supplementary__285191e1fb2e2380.docx; original_files/R03220/supplementary/supplementary__c26f71c81867faf0.docx</t>
        </is>
      </c>
      <c r="AD103" s="3" t="inlineStr">
        <is>
          <t>https://github.com/Colliam-Vermilion/FirstCodex/blob/results/ad-oxygen-literature-20261006/results/ad-oxygen-literature-20261006/original_files/R03220/fulltext/fulltext__published__e3a420e737821dfe.pdf</t>
        </is>
      </c>
    </row>
    <row r="104" ht="48" customHeight="1">
      <c r="A104" s="2" t="inlineStr">
        <is>
          <t>R04721</t>
        </is>
      </c>
      <c r="B104" s="2" t="inlineStr">
        <is>
          <t>Effects of Gas Supplying Patterns on Aerobic Anaerobic Biogas Production of Rice Straw</t>
        </is>
      </c>
      <c r="C104" s="2" t="inlineStr">
        <is>
          <t>2019</t>
        </is>
      </c>
      <c r="D104" s="2" t="inlineStr">
        <is>
          <t>2019</t>
        </is>
      </c>
      <c r="E104" s="2" t="inlineStr">
        <is>
          <t>10.2174/1574893613666180502112425</t>
        </is>
      </c>
      <c r="F104" s="2" t="inlineStr">
        <is>
          <t>期刊文章</t>
        </is>
      </c>
      <c r="G104" s="2" t="inlineStr">
        <is>
          <t>2 向厌氧水解或产酸阶段供氧</t>
        </is>
      </c>
      <c r="H104" s="2" t="inlineStr">
        <is>
          <t>是</t>
        </is>
      </c>
      <c r="I104" s="2" t="inlineStr">
        <is>
          <t>研究类</t>
        </is>
      </c>
      <c r="J104" s="2" t="inlineStr">
        <is>
          <t>是</t>
        </is>
      </c>
      <c r="K104" s="2" t="inlineStr">
        <is>
          <t>Current Bioinformatics</t>
        </is>
      </c>
      <c r="L104" s="2" t="inlineStr">
        <is>
          <t>Current Bioinformatics</t>
        </is>
      </c>
      <c r="M104" s="2" t="inlineStr">
        <is>
          <t>1574-8936</t>
        </is>
      </c>
      <c r="N104" s="2" t="inlineStr"/>
      <c r="O104" s="2" t="inlineStr">
        <is>
          <t>未取得全文</t>
        </is>
      </c>
      <c r="P104" s="2" t="inlineStr">
        <is>
          <t>否</t>
        </is>
      </c>
      <c r="Q104" s="2" t="inlineStr">
        <is>
          <t>当前无补充材料原件；沿用既有缺失/无附件证据，不据此认定无附件</t>
        </is>
      </c>
      <c r="R104" s="2" t="n">
        <v>2024</v>
      </c>
      <c r="S104" s="2" t="inlineStr">
        <is>
          <t>2025发布版（2024指标年）</t>
        </is>
      </c>
      <c r="T104" s="2" t="inlineStr"/>
      <c r="U104" s="2" t="inlineStr"/>
      <c r="V104" s="2" t="inlineStr">
        <is>
          <t>待核实</t>
        </is>
      </c>
      <c r="W104" s="2" t="inlineStr">
        <is>
          <t>待核实</t>
        </is>
      </c>
      <c r="X104" s="2" t="inlineStr">
        <is>
          <t>否</t>
        </is>
      </c>
      <c r="Y104" s="2" t="inlineStr"/>
      <c r="Z104" s="2" t="inlineStr">
        <is>
          <t>https://api.crossref.org/works/10.2174/1574893613666180502112425</t>
        </is>
      </c>
      <c r="AA104" s="2" t="inlineStr">
        <is>
          <t>2024指标年JCR分区未核实；空白不能当非Q1。需要2025发布版/2024指标年的JCR全部学科导出。</t>
        </is>
      </c>
      <c r="AB104" s="2" t="inlineStr"/>
      <c r="AC104" s="2" t="inlineStr"/>
      <c r="AD104" s="2" t="inlineStr"/>
    </row>
    <row r="105" ht="48" customHeight="1">
      <c r="A105" s="3" t="inlineStr">
        <is>
          <t>R04889</t>
        </is>
      </c>
      <c r="B105" s="3" t="inlineStr">
        <is>
          <t>Inoculum Selection and Micro-Aeration for Biogas Production in Two-Stage Anaerobic Digestion of Palm Oil Mill Effluent (POME)</t>
        </is>
      </c>
      <c r="C105" s="3" t="inlineStr">
        <is>
          <t>2019</t>
        </is>
      </c>
      <c r="D105" s="3" t="inlineStr">
        <is>
          <t>2019</t>
        </is>
      </c>
      <c r="E105" s="3" t="inlineStr">
        <is>
          <t>10.15294/jbat.v8i1.16318</t>
        </is>
      </c>
      <c r="F105" s="3" t="inlineStr">
        <is>
          <t>期刊文章</t>
        </is>
      </c>
      <c r="G105" s="3" t="inlineStr">
        <is>
          <t>2 向厌氧水解或产酸阶段供氧</t>
        </is>
      </c>
      <c r="H105" s="3" t="inlineStr">
        <is>
          <t>是</t>
        </is>
      </c>
      <c r="I105" s="3" t="inlineStr">
        <is>
          <t>研究类</t>
        </is>
      </c>
      <c r="J105" s="3" t="inlineStr">
        <is>
          <t>是</t>
        </is>
      </c>
      <c r="K105" s="3" t="inlineStr">
        <is>
          <t>Jurnal Bahan Alam Terbarukan</t>
        </is>
      </c>
      <c r="L105" s="3" t="inlineStr">
        <is>
          <t>Jurnal Bahan Alam Terbarukan</t>
        </is>
      </c>
      <c r="M105" s="3" t="inlineStr">
        <is>
          <t>2303-0623</t>
        </is>
      </c>
      <c r="N105" s="3" t="inlineStr">
        <is>
          <t>2407-2370</t>
        </is>
      </c>
      <c r="O105" s="3" t="inlineStr">
        <is>
          <t>已取得核验全文</t>
        </is>
      </c>
      <c r="P105" s="3" t="inlineStr">
        <is>
          <t>是</t>
        </is>
      </c>
      <c r="Q105" s="3" t="inlineStr">
        <is>
          <t>当前无补充材料原件；沿用既有缺失/无附件证据，不据此认定无附件</t>
        </is>
      </c>
      <c r="R105" s="3" t="n">
        <v>2024</v>
      </c>
      <c r="S105" s="3" t="inlineStr">
        <is>
          <t>2025发布版（2024指标年）</t>
        </is>
      </c>
      <c r="T105" s="3" t="inlineStr"/>
      <c r="U105" s="3" t="inlineStr"/>
      <c r="V105" s="3" t="inlineStr">
        <is>
          <t>待核实</t>
        </is>
      </c>
      <c r="W105" s="3" t="inlineStr">
        <is>
          <t>待核实</t>
        </is>
      </c>
      <c r="X105" s="3" t="inlineStr">
        <is>
          <t>否</t>
        </is>
      </c>
      <c r="Y105" s="3" t="inlineStr"/>
      <c r="Z105" s="3" t="inlineStr">
        <is>
          <t>https://api.crossref.org/works/10.15294/jbat.v8i1.16318</t>
        </is>
      </c>
      <c r="AA105" s="3" t="inlineStr">
        <is>
          <t>2024指标年JCR分区未核实；空白不能当非Q1。需要2025发布版/2024指标年的JCR全部学科导出。</t>
        </is>
      </c>
      <c r="AB105" s="3" t="inlineStr">
        <is>
          <t>original_files/R04889/fulltext/fulltext__published__860a0532503787f8.pdf</t>
        </is>
      </c>
      <c r="AC105" s="3" t="inlineStr"/>
      <c r="AD105" s="3" t="inlineStr">
        <is>
          <t>https://github.com/Colliam-Vermilion/FirstCodex/blob/results/ad-oxygen-literature-20261006/results/ad-oxygen-literature-20261006/original_files/R04889/fulltext/fulltext__published__860a0532503787f8.pdf</t>
        </is>
      </c>
    </row>
    <row r="106" ht="48" customHeight="1">
      <c r="A106" s="2" t="inlineStr">
        <is>
          <t>R04928</t>
        </is>
      </c>
      <c r="B106" s="2" t="inlineStr">
        <is>
          <t>MATHEMATICAL MODEL FOR QUANTITATIVE ANALYSIS OF ACIDOGENIC PERFORMANCE UNDER MICROAERATION CONDITION IN ANAEROBIC VINASSE TREATMENT</t>
        </is>
      </c>
      <c r="C106" s="2" t="inlineStr">
        <is>
          <t>2019</t>
        </is>
      </c>
      <c r="D106" s="2" t="inlineStr">
        <is>
          <t>2019</t>
        </is>
      </c>
      <c r="E106" s="2" t="inlineStr">
        <is>
          <t>10.21771/jrtppi.2019.v10.no1.p12-21</t>
        </is>
      </c>
      <c r="F106" s="2" t="inlineStr">
        <is>
          <t>期刊文章</t>
        </is>
      </c>
      <c r="G106" s="2" t="inlineStr">
        <is>
          <t>2 向厌氧水解或产酸阶段供氧</t>
        </is>
      </c>
      <c r="H106" s="2" t="inlineStr">
        <is>
          <t>是</t>
        </is>
      </c>
      <c r="I106" s="2" t="inlineStr">
        <is>
          <t>研究类</t>
        </is>
      </c>
      <c r="J106" s="2" t="inlineStr">
        <is>
          <t>是</t>
        </is>
      </c>
      <c r="K106" s="2" t="inlineStr">
        <is>
          <t>Jurnal Riset Teknologi Pencegahan Pencemaran Industri</t>
        </is>
      </c>
      <c r="L106" s="2" t="inlineStr">
        <is>
          <t>Jurnal Riset Teknologi Pencegahan Pencemaran Industri</t>
        </is>
      </c>
      <c r="M106" s="2" t="inlineStr">
        <is>
          <t>2087-0965</t>
        </is>
      </c>
      <c r="N106" s="2" t="inlineStr">
        <is>
          <t>2503-5010</t>
        </is>
      </c>
      <c r="O106" s="2" t="inlineStr">
        <is>
          <t>已取得核验全文</t>
        </is>
      </c>
      <c r="P106" s="2" t="inlineStr">
        <is>
          <t>是</t>
        </is>
      </c>
      <c r="Q106" s="2" t="inlineStr">
        <is>
          <t>当前无补充材料原件；沿用既有缺失/无附件证据，不据此认定无附件</t>
        </is>
      </c>
      <c r="R106" s="2" t="n">
        <v>2024</v>
      </c>
      <c r="S106" s="2" t="inlineStr">
        <is>
          <t>2025发布版（2024指标年）</t>
        </is>
      </c>
      <c r="T106" s="2" t="inlineStr"/>
      <c r="U106" s="2" t="inlineStr"/>
      <c r="V106" s="2" t="inlineStr">
        <is>
          <t>待核实</t>
        </is>
      </c>
      <c r="W106" s="2" t="inlineStr">
        <is>
          <t>待核实</t>
        </is>
      </c>
      <c r="X106" s="2" t="inlineStr">
        <is>
          <t>否</t>
        </is>
      </c>
      <c r="Y106" s="2" t="inlineStr"/>
      <c r="Z106" s="2" t="inlineStr">
        <is>
          <t>https://api.crossref.org/works/10.21771/jrtppi.2019.v10.no1.p12-21</t>
        </is>
      </c>
      <c r="AA106" s="2" t="inlineStr">
        <is>
          <t>2024指标年JCR分区未核实；空白不能当非Q1。需要2025发布版/2024指标年的JCR全部学科导出。</t>
        </is>
      </c>
      <c r="AB106" s="2" t="inlineStr">
        <is>
          <t>original_files/R04928/fulltext/fulltext__published__9d47028c02204ac0.pdf</t>
        </is>
      </c>
      <c r="AC106" s="2" t="inlineStr"/>
      <c r="AD106" s="2" t="inlineStr">
        <is>
          <t>https://github.com/Colliam-Vermilion/FirstCodex/blob/results/ad-oxygen-literature-20261006/results/ad-oxygen-literature-20261006/original_files/R04928/fulltext/fulltext__published__9d47028c02204ac0.pdf</t>
        </is>
      </c>
    </row>
    <row r="107" ht="48" customHeight="1">
      <c r="A107" s="3" t="inlineStr">
        <is>
          <t>R05065</t>
        </is>
      </c>
      <c r="B107" s="3" t="inlineStr">
        <is>
          <t>Performance of microaeration hydrolytic acidification process in the pretreatment of 2-butenal manufacture wastewater</t>
        </is>
      </c>
      <c r="C107" s="3" t="inlineStr">
        <is>
          <t>2019</t>
        </is>
      </c>
      <c r="D107" s="3" t="inlineStr">
        <is>
          <t>2019</t>
        </is>
      </c>
      <c r="E107" s="3" t="inlineStr">
        <is>
          <t>10.1016/j.jhazmat.2019.02.034</t>
        </is>
      </c>
      <c r="F107" s="3" t="inlineStr">
        <is>
          <t>期刊文章</t>
        </is>
      </c>
      <c r="G107" s="3" t="inlineStr">
        <is>
          <t>2 向厌氧水解或产酸阶段供氧</t>
        </is>
      </c>
      <c r="H107" s="3" t="inlineStr">
        <is>
          <t>是</t>
        </is>
      </c>
      <c r="I107" s="3" t="inlineStr">
        <is>
          <t>研究类</t>
        </is>
      </c>
      <c r="J107" s="3" t="inlineStr">
        <is>
          <t>是</t>
        </is>
      </c>
      <c r="K107" s="3" t="inlineStr">
        <is>
          <t>JOURNAL OF HAZARDOUS MATERIALS</t>
        </is>
      </c>
      <c r="L107" s="3" t="inlineStr">
        <is>
          <t>Journal of Hazardous Materials</t>
        </is>
      </c>
      <c r="M107" s="3" t="inlineStr">
        <is>
          <t>0304-3894</t>
        </is>
      </c>
      <c r="N107" s="3" t="inlineStr"/>
      <c r="O107" s="3" t="inlineStr">
        <is>
          <t>已取得核验全文</t>
        </is>
      </c>
      <c r="P107" s="3" t="inlineStr">
        <is>
          <t>是</t>
        </is>
      </c>
      <c r="Q107" s="3" t="inlineStr">
        <is>
          <t>已取得1件原格式补充材料；其中0件唯一关联待核实；完整性未确认</t>
        </is>
      </c>
      <c r="R107" s="3" t="n">
        <v>2024</v>
      </c>
      <c r="S107" s="3" t="inlineStr">
        <is>
          <t>2025发布版（2024指标年）</t>
        </is>
      </c>
      <c r="T107" s="3" t="inlineStr">
        <is>
          <t>ENGINEERING, ENVIRONMENTAL; ENVIRONMENTAL SCIENCES</t>
        </is>
      </c>
      <c r="U107" s="3" t="inlineStr">
        <is>
          <t>ENGINEERING, ENVIRONMENTAL: Q1; ENVIRONMENTAL SCIENCES: Q1</t>
        </is>
      </c>
      <c r="V107" s="4" t="inlineStr">
        <is>
          <t>是</t>
        </is>
      </c>
      <c r="W107" s="4" t="inlineStr">
        <is>
          <t>是</t>
        </is>
      </c>
      <c r="X107" s="3" t="inlineStr">
        <is>
          <t>是</t>
        </is>
      </c>
      <c r="Y107" s="3" t="inlineStr">
        <is>
          <t>https://topj.lib.whu.edu.cn/show.asp?cat=sci&amp;id=6955</t>
        </is>
      </c>
      <c r="Z107" s="3" t="inlineStr">
        <is>
          <t>https://api.crossref.org/works/10.1016/j.jhazmat.2019.02.034</t>
        </is>
      </c>
      <c r="AA10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07" s="3" t="inlineStr">
        <is>
          <t>original_files/R05065/fulltext/fulltext__published__239adeaf9a5df55a.pdf</t>
        </is>
      </c>
      <c r="AC107" s="3" t="inlineStr">
        <is>
          <t>original_files/R05065/supplementary/supplementary__138834a73b710b94.docx</t>
        </is>
      </c>
      <c r="AD107" s="3" t="inlineStr">
        <is>
          <t>https://github.com/Colliam-Vermilion/FirstCodex/blob/results/ad-oxygen-literature-20261006/results/ad-oxygen-literature-20261006/original_files/R05065/fulltext/fulltext__published__239adeaf9a5df55a.pdf</t>
        </is>
      </c>
    </row>
    <row r="108" ht="48" customHeight="1">
      <c r="A108" s="2" t="inlineStr">
        <is>
          <t>R05396</t>
        </is>
      </c>
      <c r="B108" s="2" t="inlineStr">
        <is>
          <t>Bio-pretreatment promote hydrolysis and acidification of oilseed rape straw: Roles of fermentation broth and micro-oxygen</t>
        </is>
      </c>
      <c r="C108" s="2" t="inlineStr">
        <is>
          <t>2020</t>
        </is>
      </c>
      <c r="D108" s="2" t="inlineStr">
        <is>
          <t>2020</t>
        </is>
      </c>
      <c r="E108" s="2" t="inlineStr">
        <is>
          <t>10.1016/j.biortech.2020.123272</t>
        </is>
      </c>
      <c r="F108" s="2" t="inlineStr">
        <is>
          <t>期刊文章</t>
        </is>
      </c>
      <c r="G108" s="2" t="inlineStr">
        <is>
          <t>2 向厌氧水解或产酸阶段供氧</t>
        </is>
      </c>
      <c r="H108" s="2" t="inlineStr">
        <is>
          <t>是</t>
        </is>
      </c>
      <c r="I108" s="2" t="inlineStr">
        <is>
          <t>研究类</t>
        </is>
      </c>
      <c r="J108" s="2" t="inlineStr">
        <is>
          <t>是</t>
        </is>
      </c>
      <c r="K108" s="2" t="inlineStr">
        <is>
          <t>BIORESOURCE TECHNOLOGY</t>
        </is>
      </c>
      <c r="L108" s="2" t="inlineStr">
        <is>
          <t>Bioresource Technology</t>
        </is>
      </c>
      <c r="M108" s="2" t="inlineStr">
        <is>
          <t>0960-8524</t>
        </is>
      </c>
      <c r="N108" s="2" t="inlineStr"/>
      <c r="O108" s="2" t="inlineStr">
        <is>
          <t>已取得核验全文</t>
        </is>
      </c>
      <c r="P108" s="2" t="inlineStr">
        <is>
          <t>是</t>
        </is>
      </c>
      <c r="Q108" s="2" t="inlineStr">
        <is>
          <t>已取得1件原格式补充材料；其中0件唯一关联待核实；完整性未确认</t>
        </is>
      </c>
      <c r="R108" s="2" t="n">
        <v>2024</v>
      </c>
      <c r="S108" s="2" t="inlineStr">
        <is>
          <t>2025发布版（2024指标年）</t>
        </is>
      </c>
      <c r="T108" s="2" t="inlineStr">
        <is>
          <t>AGRICULTURAL ENGINEERING; BIOTECHNOLOGY &amp; APPLIED MICROBIOLOGY; ENERGY &amp; FUELS</t>
        </is>
      </c>
      <c r="U108" s="2" t="inlineStr">
        <is>
          <t>AGRICULTURAL ENGINEERING: Q1; BIOTECHNOLOGY &amp; APPLIED MICROBIOLOGY: Q1; ENERGY &amp; FUELS: Q1</t>
        </is>
      </c>
      <c r="V108" s="4" t="inlineStr">
        <is>
          <t>是</t>
        </is>
      </c>
      <c r="W108" s="4" t="inlineStr">
        <is>
          <t>是</t>
        </is>
      </c>
      <c r="X108" s="2" t="inlineStr">
        <is>
          <t>是</t>
        </is>
      </c>
      <c r="Y108" s="2" t="inlineStr">
        <is>
          <t>https://topj.lib.whu.edu.cn/show.asp?cat=zk&amp;id=3976</t>
        </is>
      </c>
      <c r="Z108" s="2" t="inlineStr">
        <is>
          <t>https://api.crossref.org/works/10.1016/j.biortech.2020.123272</t>
        </is>
      </c>
      <c r="AA10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08" s="2" t="inlineStr">
        <is>
          <t>original_files/R05396/fulltext/fulltext__published__0a746b3ef69be3a5.pdf</t>
        </is>
      </c>
      <c r="AC108" s="2" t="inlineStr">
        <is>
          <t>original_files/R05396/supplementary/supplementary__5e7c6f02f21c479f.docx</t>
        </is>
      </c>
      <c r="AD108" s="2" t="inlineStr">
        <is>
          <t>https://github.com/Colliam-Vermilion/FirstCodex/blob/results/ad-oxygen-literature-20261006/results/ad-oxygen-literature-20261006/original_files/R05396/fulltext/fulltext__published__0a746b3ef69be3a5.pdf</t>
        </is>
      </c>
    </row>
    <row r="109" ht="48" customHeight="1">
      <c r="A109" s="3" t="inlineStr">
        <is>
          <t>R05828</t>
        </is>
      </c>
      <c r="B109" s="3" t="inlineStr">
        <is>
          <t>Methane and hydrogen production from cotton waste by dark fermentation under anaerobic and micro-aerobic conditions</t>
        </is>
      </c>
      <c r="C109" s="3" t="inlineStr">
        <is>
          <t>2020</t>
        </is>
      </c>
      <c r="D109" s="3" t="inlineStr">
        <is>
          <t>2020</t>
        </is>
      </c>
      <c r="E109" s="3" t="inlineStr">
        <is>
          <t>10.1016/j.biombioe.2020.105576</t>
        </is>
      </c>
      <c r="F109" s="3" t="inlineStr">
        <is>
          <t>期刊文章</t>
        </is>
      </c>
      <c r="G109" s="3" t="inlineStr">
        <is>
          <t>2 向厌氧水解或产酸阶段供氧</t>
        </is>
      </c>
      <c r="H109" s="3" t="inlineStr">
        <is>
          <t>是</t>
        </is>
      </c>
      <c r="I109" s="3" t="inlineStr">
        <is>
          <t>研究类</t>
        </is>
      </c>
      <c r="J109" s="3" t="inlineStr">
        <is>
          <t>是</t>
        </is>
      </c>
      <c r="K109" s="3" t="inlineStr">
        <is>
          <t>BIOMASS &amp; BIOENERGY</t>
        </is>
      </c>
      <c r="L109" s="3" t="inlineStr">
        <is>
          <t>Biomass and Bioenergy</t>
        </is>
      </c>
      <c r="M109" s="3" t="inlineStr">
        <is>
          <t>0961-9534</t>
        </is>
      </c>
      <c r="N109" s="3" t="inlineStr"/>
      <c r="O109" s="3" t="inlineStr">
        <is>
          <t>已取得核验全文</t>
        </is>
      </c>
      <c r="P109" s="3" t="inlineStr">
        <is>
          <t>是</t>
        </is>
      </c>
      <c r="Q109" s="3" t="inlineStr">
        <is>
          <t>当前无补充材料原件；沿用既有缺失/无附件证据，不据此认定无附件</t>
        </is>
      </c>
      <c r="R109" s="3" t="n">
        <v>2024</v>
      </c>
      <c r="S109" s="3" t="inlineStr">
        <is>
          <t>2025发布版（2024指标年）</t>
        </is>
      </c>
      <c r="T109" s="3" t="inlineStr">
        <is>
          <t>AGRICULTURAL ENGINEERING; BIOTECHNOLOGY &amp; APPLIED MICROBIOLOGY; ENERGY &amp; FUELS</t>
        </is>
      </c>
      <c r="U109" s="3" t="inlineStr">
        <is>
          <t>AGRICULTURAL ENGINEERING: Q1; BIOTECHNOLOGY &amp; APPLIED MICROBIOLOGY: Q1; ENERGY &amp; FUELS: Q2</t>
        </is>
      </c>
      <c r="V109" s="4" t="inlineStr">
        <is>
          <t>是</t>
        </is>
      </c>
      <c r="W109" s="3" t="inlineStr">
        <is>
          <t>否</t>
        </is>
      </c>
      <c r="X109" s="3" t="inlineStr">
        <is>
          <t>是</t>
        </is>
      </c>
      <c r="Y109" s="3" t="inlineStr">
        <is>
          <t>https://topj.lib.whu.edu.cn/show.asp?cat=sci&amp;id=5613</t>
        </is>
      </c>
      <c r="Z109" s="3" t="inlineStr">
        <is>
          <t>https://api.crossref.org/works/10.1016/j.biombioe.2020.105576</t>
        </is>
      </c>
      <c r="AA10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09" s="3" t="inlineStr">
        <is>
          <t>original_files/R05828/fulltext/fulltext__published__6d9031d0269ff26d.pdf</t>
        </is>
      </c>
      <c r="AC109" s="3" t="inlineStr"/>
      <c r="AD109" s="3" t="inlineStr">
        <is>
          <t>https://github.com/Colliam-Vermilion/FirstCodex/blob/results/ad-oxygen-literature-20261006/results/ad-oxygen-literature-20261006/original_files/R05828/fulltext/fulltext__published__6d9031d0269ff26d.pdf</t>
        </is>
      </c>
    </row>
    <row r="110" ht="48" customHeight="1">
      <c r="A110" s="2" t="inlineStr">
        <is>
          <t>R06034</t>
        </is>
      </c>
      <c r="B110" s="2" t="inlineStr">
        <is>
          <t>Rapid Two Stage Anaerobic Digestion of Nejayote through Microaeration and Direct Interspecies Electron Transfer</t>
        </is>
      </c>
      <c r="C110" s="2" t="inlineStr">
        <is>
          <t>2020</t>
        </is>
      </c>
      <c r="D110" s="2" t="inlineStr">
        <is>
          <t>2020</t>
        </is>
      </c>
      <c r="E110" s="2" t="inlineStr">
        <is>
          <t>10.3390/pr8121614</t>
        </is>
      </c>
      <c r="F110" s="2" t="inlineStr">
        <is>
          <t>期刊文章</t>
        </is>
      </c>
      <c r="G110" s="2" t="inlineStr">
        <is>
          <t>2 向厌氧水解或产酸阶段供氧</t>
        </is>
      </c>
      <c r="H110" s="2" t="inlineStr">
        <is>
          <t>是</t>
        </is>
      </c>
      <c r="I110" s="2" t="inlineStr">
        <is>
          <t>研究类</t>
        </is>
      </c>
      <c r="J110" s="2" t="inlineStr">
        <is>
          <t>是</t>
        </is>
      </c>
      <c r="K110" s="2" t="inlineStr">
        <is>
          <t>Processes</t>
        </is>
      </c>
      <c r="L110" s="2" t="inlineStr">
        <is>
          <t>Processes</t>
        </is>
      </c>
      <c r="M110" s="2" t="inlineStr"/>
      <c r="N110" s="2" t="inlineStr">
        <is>
          <t>2227-9717</t>
        </is>
      </c>
      <c r="O110" s="2" t="inlineStr">
        <is>
          <t>已取得核验全文</t>
        </is>
      </c>
      <c r="P110" s="2" t="inlineStr">
        <is>
          <t>是</t>
        </is>
      </c>
      <c r="Q110" s="2" t="inlineStr">
        <is>
          <t>当前无补充材料原件；沿用既有缺失/无附件证据，不据此认定无附件</t>
        </is>
      </c>
      <c r="R110" s="2" t="n">
        <v>2024</v>
      </c>
      <c r="S110" s="2" t="inlineStr">
        <is>
          <t>2025发布版（2024指标年）</t>
        </is>
      </c>
      <c r="T110" s="2" t="inlineStr"/>
      <c r="U110" s="2" t="inlineStr"/>
      <c r="V110" s="2" t="inlineStr">
        <is>
          <t>待核实</t>
        </is>
      </c>
      <c r="W110" s="2" t="inlineStr">
        <is>
          <t>待核实</t>
        </is>
      </c>
      <c r="X110" s="2" t="inlineStr">
        <is>
          <t>否</t>
        </is>
      </c>
      <c r="Y110" s="2" t="inlineStr"/>
      <c r="Z110" s="2" t="inlineStr">
        <is>
          <t>https://api.crossref.org/works/10.3390/pr8121614</t>
        </is>
      </c>
      <c r="AA110" s="2" t="inlineStr">
        <is>
          <t>2024指标年JCR分区未核实；空白不能当非Q1。需要2025发布版/2024指标年的JCR全部学科导出。</t>
        </is>
      </c>
      <c r="AB110" s="2" t="inlineStr">
        <is>
          <t>original_files/R06034/fulltext/fulltext__published__3418fe158b2a1017.pdf</t>
        </is>
      </c>
      <c r="AC110" s="2" t="inlineStr"/>
      <c r="AD110" s="2" t="inlineStr">
        <is>
          <t>https://github.com/Colliam-Vermilion/FirstCodex/blob/results/ad-oxygen-literature-20261006/results/ad-oxygen-literature-20261006/original_files/R06034/fulltext/fulltext__published__3418fe158b2a1017.pdf</t>
        </is>
      </c>
    </row>
    <row r="111" ht="48" customHeight="1">
      <c r="A111" s="3" t="inlineStr">
        <is>
          <t>R06196</t>
        </is>
      </c>
      <c r="B111" s="3" t="inlineStr">
        <is>
          <t>Two Phase Anaerobic Digestion System of Municipal Solid Waste by Utilizing Microaeration and Granular Activated Carbon</t>
        </is>
      </c>
      <c r="C111" s="3" t="inlineStr">
        <is>
          <t>2020</t>
        </is>
      </c>
      <c r="D111" s="3" t="inlineStr">
        <is>
          <t>2020</t>
        </is>
      </c>
      <c r="E111" s="3" t="inlineStr">
        <is>
          <t>10.3390/en13040933</t>
        </is>
      </c>
      <c r="F111" s="3" t="inlineStr">
        <is>
          <t>期刊文章</t>
        </is>
      </c>
      <c r="G111" s="3" t="inlineStr">
        <is>
          <t>2 向厌氧水解或产酸阶段供氧</t>
        </is>
      </c>
      <c r="H111" s="3" t="inlineStr">
        <is>
          <t>是</t>
        </is>
      </c>
      <c r="I111" s="3" t="inlineStr">
        <is>
          <t>研究类</t>
        </is>
      </c>
      <c r="J111" s="3" t="inlineStr">
        <is>
          <t>是</t>
        </is>
      </c>
      <c r="K111" s="3" t="inlineStr">
        <is>
          <t>Energies</t>
        </is>
      </c>
      <c r="L111" s="3" t="inlineStr">
        <is>
          <t>Energies</t>
        </is>
      </c>
      <c r="M111" s="3" t="inlineStr"/>
      <c r="N111" s="3" t="inlineStr">
        <is>
          <t>1996-1073</t>
        </is>
      </c>
      <c r="O111" s="3" t="inlineStr">
        <is>
          <t>已取得核验全文</t>
        </is>
      </c>
      <c r="P111" s="3" t="inlineStr">
        <is>
          <t>是</t>
        </is>
      </c>
      <c r="Q111" s="3" t="inlineStr">
        <is>
          <t>当前无补充材料原件；沿用既有缺失/无附件证据，不据此认定无附件</t>
        </is>
      </c>
      <c r="R111" s="3" t="n">
        <v>2024</v>
      </c>
      <c r="S111" s="3" t="inlineStr">
        <is>
          <t>2025发布版（2024指标年）</t>
        </is>
      </c>
      <c r="T111" s="3" t="inlineStr"/>
      <c r="U111" s="3" t="inlineStr"/>
      <c r="V111" s="3" t="inlineStr">
        <is>
          <t>待核实</t>
        </is>
      </c>
      <c r="W111" s="3" t="inlineStr">
        <is>
          <t>待核实</t>
        </is>
      </c>
      <c r="X111" s="3" t="inlineStr">
        <is>
          <t>否</t>
        </is>
      </c>
      <c r="Y111" s="3" t="inlineStr"/>
      <c r="Z111" s="3" t="inlineStr">
        <is>
          <t>https://api.crossref.org/works/10.3390/en13040933</t>
        </is>
      </c>
      <c r="AA111" s="3" t="inlineStr">
        <is>
          <t>2024指标年JCR分区未核实；空白不能当非Q1。需要2025发布版/2024指标年的JCR全部学科导出。</t>
        </is>
      </c>
      <c r="AB111" s="3" t="inlineStr">
        <is>
          <t>original_files/R06196/fulltext/fulltext__published__9fbe84ed55130245.pdf</t>
        </is>
      </c>
      <c r="AC111" s="3" t="inlineStr"/>
      <c r="AD111" s="3" t="inlineStr">
        <is>
          <t>https://github.com/Colliam-Vermilion/FirstCodex/blob/results/ad-oxygen-literature-20261006/results/ad-oxygen-literature-20261006/original_files/R06196/fulltext/fulltext__published__9fbe84ed55130245.pdf</t>
        </is>
      </c>
    </row>
    <row r="112" ht="48" customHeight="1">
      <c r="A112" s="2" t="inlineStr">
        <is>
          <t>R07952</t>
        </is>
      </c>
      <c r="B112" s="2" t="inlineStr">
        <is>
          <t>Intermittent Microaeration Technology to Enhance the Carbon Source Release of Particulate Organic Matter in Domestic Sewage</t>
        </is>
      </c>
      <c r="C112" s="2" t="inlineStr">
        <is>
          <t>2022</t>
        </is>
      </c>
      <c r="D112" s="2" t="inlineStr">
        <is>
          <t>2022</t>
        </is>
      </c>
      <c r="E112" s="2" t="inlineStr">
        <is>
          <t>10.3390/w14121876</t>
        </is>
      </c>
      <c r="F112" s="2" t="inlineStr">
        <is>
          <t>期刊文章</t>
        </is>
      </c>
      <c r="G112" s="2" t="inlineStr">
        <is>
          <t>2 向厌氧水解或产酸阶段供氧</t>
        </is>
      </c>
      <c r="H112" s="2" t="inlineStr">
        <is>
          <t>是</t>
        </is>
      </c>
      <c r="I112" s="2" t="inlineStr">
        <is>
          <t>研究类</t>
        </is>
      </c>
      <c r="J112" s="2" t="inlineStr">
        <is>
          <t>是</t>
        </is>
      </c>
      <c r="K112" s="2" t="inlineStr">
        <is>
          <t>WATER</t>
        </is>
      </c>
      <c r="L112" s="2" t="inlineStr">
        <is>
          <t>Water</t>
        </is>
      </c>
      <c r="M112" s="2" t="inlineStr"/>
      <c r="N112" s="2" t="inlineStr">
        <is>
          <t>2073-4441</t>
        </is>
      </c>
      <c r="O112" s="2" t="inlineStr">
        <is>
          <t>已取得核验全文</t>
        </is>
      </c>
      <c r="P112" s="2" t="inlineStr">
        <is>
          <t>是</t>
        </is>
      </c>
      <c r="Q112" s="2" t="inlineStr">
        <is>
          <t>当前无补充材料原件；沿用既有缺失/无附件证据，不据此认定无附件</t>
        </is>
      </c>
      <c r="R112" s="2" t="n">
        <v>2024</v>
      </c>
      <c r="S112" s="2" t="inlineStr">
        <is>
          <t>2025发布版（2024指标年）</t>
        </is>
      </c>
      <c r="T112" s="2" t="inlineStr">
        <is>
          <t>WATER RESOURCES; ENVIRONMENTAL SCIENCES</t>
        </is>
      </c>
      <c r="U112" s="2" t="inlineStr">
        <is>
          <t>WATER RESOURCES: Q2; ENVIRONMENTAL SCIENCES: Q3</t>
        </is>
      </c>
      <c r="V112" s="2" t="inlineStr">
        <is>
          <t>否</t>
        </is>
      </c>
      <c r="W112" s="2" t="inlineStr">
        <is>
          <t>否</t>
        </is>
      </c>
      <c r="X112" s="2" t="inlineStr">
        <is>
          <t>是</t>
        </is>
      </c>
      <c r="Y112" s="2" t="inlineStr">
        <is>
          <t>https://topj.lib.whu.edu.cn/show.asp?cat=esi&amp;id=12057</t>
        </is>
      </c>
      <c r="Z112" s="2" t="inlineStr">
        <is>
          <t>https://api.crossref.org/works/10.3390/w14121876</t>
        </is>
      </c>
      <c r="AA11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12" s="2" t="inlineStr">
        <is>
          <t>original_files/R07952/fulltext/fulltext__published__f934152c4b018bed.pdf</t>
        </is>
      </c>
      <c r="AC112" s="2" t="inlineStr"/>
      <c r="AD112" s="2" t="inlineStr">
        <is>
          <t>https://github.com/Colliam-Vermilion/FirstCodex/blob/results/ad-oxygen-literature-20261006/results/ad-oxygen-literature-20261006/original_files/R07952/fulltext/fulltext__published__f934152c4b018bed.pdf</t>
        </is>
      </c>
    </row>
    <row r="113" ht="48" customHeight="1">
      <c r="A113" s="3" t="inlineStr">
        <is>
          <t>R08280</t>
        </is>
      </c>
      <c r="B113" s="3" t="inlineStr">
        <is>
          <t>Revealing mechanism of micro-aeration for enhancing volatile fatty acids production from swine manure</t>
        </is>
      </c>
      <c r="C113" s="3" t="inlineStr">
        <is>
          <t>2022</t>
        </is>
      </c>
      <c r="D113" s="3" t="inlineStr">
        <is>
          <t>2022</t>
        </is>
      </c>
      <c r="E113" s="3" t="inlineStr">
        <is>
          <t>10.1016/j.biortech.2022.128140</t>
        </is>
      </c>
      <c r="F113" s="3" t="inlineStr">
        <is>
          <t>期刊文章</t>
        </is>
      </c>
      <c r="G113" s="3" t="inlineStr">
        <is>
          <t>2 向厌氧水解或产酸阶段供氧</t>
        </is>
      </c>
      <c r="H113" s="3" t="inlineStr">
        <is>
          <t>是</t>
        </is>
      </c>
      <c r="I113" s="3" t="inlineStr">
        <is>
          <t>研究类</t>
        </is>
      </c>
      <c r="J113" s="3" t="inlineStr">
        <is>
          <t>是</t>
        </is>
      </c>
      <c r="K113" s="3" t="inlineStr">
        <is>
          <t>BIORESOURCE TECHNOLOGY</t>
        </is>
      </c>
      <c r="L113" s="3" t="inlineStr">
        <is>
          <t>Bioresource Technology</t>
        </is>
      </c>
      <c r="M113" s="3" t="inlineStr">
        <is>
          <t>0960-8524</t>
        </is>
      </c>
      <c r="N113" s="3" t="inlineStr"/>
      <c r="O113" s="3" t="inlineStr">
        <is>
          <t>已取得核验全文</t>
        </is>
      </c>
      <c r="P113" s="3" t="inlineStr">
        <is>
          <t>是</t>
        </is>
      </c>
      <c r="Q113" s="3" t="inlineStr">
        <is>
          <t>已取得1件原格式补充材料；其中1件唯一关联待核实；完整性未确认</t>
        </is>
      </c>
      <c r="R113" s="3" t="n">
        <v>2024</v>
      </c>
      <c r="S113" s="3" t="inlineStr">
        <is>
          <t>2025发布版（2024指标年）</t>
        </is>
      </c>
      <c r="T113" s="3" t="inlineStr">
        <is>
          <t>AGRICULTURAL ENGINEERING; BIOTECHNOLOGY &amp; APPLIED MICROBIOLOGY; ENERGY &amp; FUELS</t>
        </is>
      </c>
      <c r="U113" s="3" t="inlineStr">
        <is>
          <t>AGRICULTURAL ENGINEERING: Q1; BIOTECHNOLOGY &amp; APPLIED MICROBIOLOGY: Q1; ENERGY &amp; FUELS: Q1</t>
        </is>
      </c>
      <c r="V113" s="4" t="inlineStr">
        <is>
          <t>是</t>
        </is>
      </c>
      <c r="W113" s="4" t="inlineStr">
        <is>
          <t>是</t>
        </is>
      </c>
      <c r="X113" s="3" t="inlineStr">
        <is>
          <t>是</t>
        </is>
      </c>
      <c r="Y113" s="3" t="inlineStr">
        <is>
          <t>https://topj.lib.whu.edu.cn/show.asp?cat=zk&amp;id=3976</t>
        </is>
      </c>
      <c r="Z113" s="3" t="inlineStr">
        <is>
          <t>https://api.crossref.org/works/10.1016/j.biortech.2022.128140</t>
        </is>
      </c>
      <c r="AA11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13" s="3" t="inlineStr">
        <is>
          <t>original_files/R08280/fulltext/fulltext__published__e2022315e2e0cead.pdf</t>
        </is>
      </c>
      <c r="AC113" s="3" t="inlineStr">
        <is>
          <t>original_files/R08280/supplementary/supplementary__a1191a34988b74dd.docx</t>
        </is>
      </c>
      <c r="AD113" s="3" t="inlineStr">
        <is>
          <t>https://github.com/Colliam-Vermilion/FirstCodex/blob/results/ad-oxygen-literature-20261006/results/ad-oxygen-literature-20261006/original_files/R08280/fulltext/fulltext__published__e2022315e2e0cead.pdf</t>
        </is>
      </c>
    </row>
    <row r="114" ht="48" customHeight="1">
      <c r="A114" s="2" t="inlineStr">
        <is>
          <t>R08387</t>
        </is>
      </c>
      <c r="B114" s="2" t="inlineStr">
        <is>
          <t>The combination of aerobic and microaerobic promote hydrolysis and acidification of rice straw and pig manure: Balance of insoluble and soluble substrate</t>
        </is>
      </c>
      <c r="C114" s="2" t="inlineStr">
        <is>
          <t>2022</t>
        </is>
      </c>
      <c r="D114" s="2" t="inlineStr">
        <is>
          <t>2022</t>
        </is>
      </c>
      <c r="E114" s="2" t="inlineStr">
        <is>
          <t>10.1016/j.biortech.2022.126880</t>
        </is>
      </c>
      <c r="F114" s="2" t="inlineStr">
        <is>
          <t>期刊文章</t>
        </is>
      </c>
      <c r="G114" s="2" t="inlineStr">
        <is>
          <t>2 向厌氧水解或产酸阶段供氧</t>
        </is>
      </c>
      <c r="H114" s="2" t="inlineStr">
        <is>
          <t>是</t>
        </is>
      </c>
      <c r="I114" s="2" t="inlineStr">
        <is>
          <t>研究类</t>
        </is>
      </c>
      <c r="J114" s="2" t="inlineStr">
        <is>
          <t>是</t>
        </is>
      </c>
      <c r="K114" s="2" t="inlineStr">
        <is>
          <t>BIORESOURCE TECHNOLOGY</t>
        </is>
      </c>
      <c r="L114" s="2" t="inlineStr">
        <is>
          <t>Bioresource Technology</t>
        </is>
      </c>
      <c r="M114" s="2" t="inlineStr">
        <is>
          <t>0960-8524</t>
        </is>
      </c>
      <c r="N114" s="2" t="inlineStr"/>
      <c r="O114" s="2" t="inlineStr">
        <is>
          <t>已取得核验全文</t>
        </is>
      </c>
      <c r="P114" s="2" t="inlineStr">
        <is>
          <t>是</t>
        </is>
      </c>
      <c r="Q114" s="2" t="inlineStr">
        <is>
          <t>已取得1件原格式补充材料；其中0件唯一关联待核实；完整性未确认</t>
        </is>
      </c>
      <c r="R114" s="2" t="n">
        <v>2024</v>
      </c>
      <c r="S114" s="2" t="inlineStr">
        <is>
          <t>2025发布版（2024指标年）</t>
        </is>
      </c>
      <c r="T114" s="2" t="inlineStr">
        <is>
          <t>AGRICULTURAL ENGINEERING; BIOTECHNOLOGY &amp; APPLIED MICROBIOLOGY; ENERGY &amp; FUELS</t>
        </is>
      </c>
      <c r="U114" s="2" t="inlineStr">
        <is>
          <t>AGRICULTURAL ENGINEERING: Q1; BIOTECHNOLOGY &amp; APPLIED MICROBIOLOGY: Q1; ENERGY &amp; FUELS: Q1</t>
        </is>
      </c>
      <c r="V114" s="4" t="inlineStr">
        <is>
          <t>是</t>
        </is>
      </c>
      <c r="W114" s="4" t="inlineStr">
        <is>
          <t>是</t>
        </is>
      </c>
      <c r="X114" s="2" t="inlineStr">
        <is>
          <t>是</t>
        </is>
      </c>
      <c r="Y114" s="2" t="inlineStr">
        <is>
          <t>https://topj.lib.whu.edu.cn/show.asp?cat=zk&amp;id=3976</t>
        </is>
      </c>
      <c r="Z114" s="2" t="inlineStr">
        <is>
          <t>https://api.crossref.org/works/10.1016/j.biortech.2022.126880</t>
        </is>
      </c>
      <c r="AA11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14" s="2" t="inlineStr">
        <is>
          <t>original_files/R08387/fulltext/fulltext__published__b7a8776d6654a870.pdf</t>
        </is>
      </c>
      <c r="AC114" s="2" t="inlineStr">
        <is>
          <t>original_files/R08387/supplementary/supplementary__bc3ec873784fd554.docx</t>
        </is>
      </c>
      <c r="AD114" s="2" t="inlineStr">
        <is>
          <t>https://github.com/Colliam-Vermilion/FirstCodex/blob/results/ad-oxygen-literature-20261006/results/ad-oxygen-literature-20261006/original_files/R08387/fulltext/fulltext__published__b7a8776d6654a870.pdf</t>
        </is>
      </c>
    </row>
    <row r="115" ht="48" customHeight="1">
      <c r="A115" s="3" t="inlineStr">
        <is>
          <t>R09217</t>
        </is>
      </c>
      <c r="B115" s="3" t="inlineStr">
        <is>
          <t>Micro-aeration and leachate recirculation for the acceleration of landfill stabilization: Enhanced hydrolytic acidification by facultative bacteria</t>
        </is>
      </c>
      <c r="C115" s="3" t="inlineStr">
        <is>
          <t>2023</t>
        </is>
      </c>
      <c r="D115" s="3" t="inlineStr">
        <is>
          <t>2023</t>
        </is>
      </c>
      <c r="E115" s="3" t="inlineStr">
        <is>
          <t>10.1016/j.biortech.2023.129615</t>
        </is>
      </c>
      <c r="F115" s="3" t="inlineStr">
        <is>
          <t>期刊文章</t>
        </is>
      </c>
      <c r="G115" s="3" t="inlineStr">
        <is>
          <t>2 向厌氧水解或产酸阶段供氧</t>
        </is>
      </c>
      <c r="H115" s="3" t="inlineStr">
        <is>
          <t>是</t>
        </is>
      </c>
      <c r="I115" s="3" t="inlineStr">
        <is>
          <t>研究类</t>
        </is>
      </c>
      <c r="J115" s="3" t="inlineStr">
        <is>
          <t>是</t>
        </is>
      </c>
      <c r="K115" s="3" t="inlineStr">
        <is>
          <t>BIORESOURCE TECHNOLOGY</t>
        </is>
      </c>
      <c r="L115" s="3" t="inlineStr">
        <is>
          <t>Bioresource Technology</t>
        </is>
      </c>
      <c r="M115" s="3" t="inlineStr">
        <is>
          <t>0960-8524</t>
        </is>
      </c>
      <c r="N115" s="3" t="inlineStr"/>
      <c r="O115" s="3" t="inlineStr">
        <is>
          <t>已取得核验全文</t>
        </is>
      </c>
      <c r="P115" s="3" t="inlineStr">
        <is>
          <t>是</t>
        </is>
      </c>
      <c r="Q115" s="3" t="inlineStr">
        <is>
          <t>已取得1件原格式补充材料；其中0件唯一关联待核实；完整性未确认</t>
        </is>
      </c>
      <c r="R115" s="3" t="n">
        <v>2024</v>
      </c>
      <c r="S115" s="3" t="inlineStr">
        <is>
          <t>2025发布版（2024指标年）</t>
        </is>
      </c>
      <c r="T115" s="3" t="inlineStr">
        <is>
          <t>AGRICULTURAL ENGINEERING; BIOTECHNOLOGY &amp; APPLIED MICROBIOLOGY; ENERGY &amp; FUELS</t>
        </is>
      </c>
      <c r="U115" s="3" t="inlineStr">
        <is>
          <t>AGRICULTURAL ENGINEERING: Q1; BIOTECHNOLOGY &amp; APPLIED MICROBIOLOGY: Q1; ENERGY &amp; FUELS: Q1</t>
        </is>
      </c>
      <c r="V115" s="4" t="inlineStr">
        <is>
          <t>是</t>
        </is>
      </c>
      <c r="W115" s="4" t="inlineStr">
        <is>
          <t>是</t>
        </is>
      </c>
      <c r="X115" s="3" t="inlineStr">
        <is>
          <t>是</t>
        </is>
      </c>
      <c r="Y115" s="3" t="inlineStr">
        <is>
          <t>https://topj.lib.whu.edu.cn/show.asp?cat=zk&amp;id=3976</t>
        </is>
      </c>
      <c r="Z115" s="3" t="inlineStr">
        <is>
          <t>https://api.crossref.org/works/10.1016/j.biortech.2023.129615</t>
        </is>
      </c>
      <c r="AA11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15" s="3" t="inlineStr">
        <is>
          <t>original_files/R09217/fulltext/fulltext__published__dafa2d18d12dbc0d.pdf</t>
        </is>
      </c>
      <c r="AC115" s="3" t="inlineStr">
        <is>
          <t>original_files/R09217/supplementary/supplementary__60cd816ae61a7e9f.docx</t>
        </is>
      </c>
      <c r="AD115" s="3" t="inlineStr">
        <is>
          <t>https://github.com/Colliam-Vermilion/FirstCodex/blob/results/ad-oxygen-literature-20261006/results/ad-oxygen-literature-20261006/original_files/R09217/fulltext/fulltext__published__dafa2d18d12dbc0d.pdf</t>
        </is>
      </c>
    </row>
    <row r="116" ht="48" customHeight="1">
      <c r="A116" s="2" t="inlineStr">
        <is>
          <t>R10090</t>
        </is>
      </c>
      <c r="B116" s="2" t="inlineStr">
        <is>
          <t>Effect of nanobubble water on medium chain carboxylic acids production in anaerobic digestion of cow manure</t>
        </is>
      </c>
      <c r="C116" s="2" t="inlineStr">
        <is>
          <t>2024</t>
        </is>
      </c>
      <c r="D116" s="2" t="inlineStr">
        <is>
          <t>2024</t>
        </is>
      </c>
      <c r="E116" s="2" t="inlineStr">
        <is>
          <t>10.1016/j.wasman.2024.05.029</t>
        </is>
      </c>
      <c r="F116" s="2" t="inlineStr">
        <is>
          <t>期刊文章</t>
        </is>
      </c>
      <c r="G116" s="2" t="inlineStr">
        <is>
          <t>2 向厌氧水解或产酸阶段供氧</t>
        </is>
      </c>
      <c r="H116" s="2" t="inlineStr">
        <is>
          <t>是</t>
        </is>
      </c>
      <c r="I116" s="2" t="inlineStr">
        <is>
          <t>研究类</t>
        </is>
      </c>
      <c r="J116" s="2" t="inlineStr">
        <is>
          <t>是</t>
        </is>
      </c>
      <c r="K116" s="2" t="inlineStr">
        <is>
          <t>Waste Management</t>
        </is>
      </c>
      <c r="L116" s="2" t="inlineStr">
        <is>
          <t>Waste Management</t>
        </is>
      </c>
      <c r="M116" s="2" t="inlineStr">
        <is>
          <t>0956-053X</t>
        </is>
      </c>
      <c r="N116" s="2" t="inlineStr"/>
      <c r="O116" s="2" t="inlineStr">
        <is>
          <t>已取得核验全文</t>
        </is>
      </c>
      <c r="P116" s="2" t="inlineStr">
        <is>
          <t>是</t>
        </is>
      </c>
      <c r="Q116" s="2" t="inlineStr">
        <is>
          <t>已取得1件原格式补充材料；其中0件唯一关联待核实；完整性未确认</t>
        </is>
      </c>
      <c r="R116" s="2" t="n">
        <v>2024</v>
      </c>
      <c r="S116" s="2" t="inlineStr">
        <is>
          <t>2025发布版（2024指标年）</t>
        </is>
      </c>
      <c r="T116" s="2" t="inlineStr">
        <is>
          <t>ENGINEERING, ENVIRONMENTAL; ENVIRONMENTAL SCIENCES</t>
        </is>
      </c>
      <c r="U116" s="2" t="inlineStr">
        <is>
          <t>ENGINEERING, ENVIRONMENTAL: Q1; ENVIRONMENTAL SCIENCES: Q1</t>
        </is>
      </c>
      <c r="V116" s="4" t="inlineStr">
        <is>
          <t>是</t>
        </is>
      </c>
      <c r="W116" s="4" t="inlineStr">
        <is>
          <t>是</t>
        </is>
      </c>
      <c r="X116" s="2" t="inlineStr">
        <is>
          <t>是</t>
        </is>
      </c>
      <c r="Y116" s="2" t="inlineStr">
        <is>
          <t>https://topj.lib.whu.edu.cn/show.asp?cat=zk&amp;id=4000</t>
        </is>
      </c>
      <c r="Z116" s="2" t="inlineStr">
        <is>
          <t>https://api.crossref.org/works/10.1016/j.wasman.2024.05.029</t>
        </is>
      </c>
      <c r="AA11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16" s="2" t="inlineStr">
        <is>
          <t>original_files/R10090/fulltext/fulltext__published__72924daaab38532d.pdf</t>
        </is>
      </c>
      <c r="AC116" s="2" t="inlineStr">
        <is>
          <t>original_files/R10090/supplementary/supplementary__1ac57df885f552db.docx</t>
        </is>
      </c>
      <c r="AD116" s="2" t="inlineStr">
        <is>
          <t>https://github.com/Colliam-Vermilion/FirstCodex/blob/results/ad-oxygen-literature-20261006/results/ad-oxygen-literature-20261006/original_files/R10090/fulltext/fulltext__published__72924daaab38532d.pdf</t>
        </is>
      </c>
    </row>
    <row r="117" ht="48" customHeight="1">
      <c r="A117" s="3" t="inlineStr">
        <is>
          <t>R10377</t>
        </is>
      </c>
      <c r="B117" s="3" t="inlineStr">
        <is>
          <t>Influence of micro-aeration in the production of volatile fatty acids (VFA) from wastewaters with high salinity</t>
        </is>
      </c>
      <c r="C117" s="3" t="inlineStr">
        <is>
          <t>2024</t>
        </is>
      </c>
      <c r="D117" s="3" t="inlineStr">
        <is>
          <t>2024</t>
        </is>
      </c>
      <c r="E117" s="3" t="inlineStr">
        <is>
          <t>10.1016/j.fuel.2024.132566</t>
        </is>
      </c>
      <c r="F117" s="3" t="inlineStr">
        <is>
          <t>期刊文章</t>
        </is>
      </c>
      <c r="G117" s="3" t="inlineStr">
        <is>
          <t>2 向厌氧水解或产酸阶段供氧</t>
        </is>
      </c>
      <c r="H117" s="3" t="inlineStr">
        <is>
          <t>是</t>
        </is>
      </c>
      <c r="I117" s="3" t="inlineStr">
        <is>
          <t>研究类</t>
        </is>
      </c>
      <c r="J117" s="3" t="inlineStr">
        <is>
          <t>是</t>
        </is>
      </c>
      <c r="K117" s="3" t="inlineStr">
        <is>
          <t>Fuel</t>
        </is>
      </c>
      <c r="L117" s="3" t="inlineStr">
        <is>
          <t>Fuel</t>
        </is>
      </c>
      <c r="M117" s="3" t="inlineStr">
        <is>
          <t>0016-2361</t>
        </is>
      </c>
      <c r="N117" s="3" t="inlineStr"/>
      <c r="O117" s="3" t="inlineStr">
        <is>
          <t>已取得核验全文</t>
        </is>
      </c>
      <c r="P117" s="3" t="inlineStr">
        <is>
          <t>是</t>
        </is>
      </c>
      <c r="Q117" s="3" t="inlineStr">
        <is>
          <t>当前无补充材料原件；沿用既有缺失/无附件证据，不据此认定无附件</t>
        </is>
      </c>
      <c r="R117" s="3" t="n">
        <v>2024</v>
      </c>
      <c r="S117" s="3" t="inlineStr">
        <is>
          <t>2025发布版（2024指标年）</t>
        </is>
      </c>
      <c r="T117" s="3" t="inlineStr">
        <is>
          <t>ENERGY &amp; FUELS; ENGINEERING, CHEMICAL</t>
        </is>
      </c>
      <c r="U117" s="3" t="inlineStr">
        <is>
          <t>ENERGY &amp; FUELS: Q1; ENGINEERING, CHEMICAL: Q1</t>
        </is>
      </c>
      <c r="V117" s="4" t="inlineStr">
        <is>
          <t>是</t>
        </is>
      </c>
      <c r="W117" s="4" t="inlineStr">
        <is>
          <t>是</t>
        </is>
      </c>
      <c r="X117" s="3" t="inlineStr">
        <is>
          <t>是</t>
        </is>
      </c>
      <c r="Y117" s="3" t="inlineStr">
        <is>
          <t>https://topj.lib.whu.edu.cn/show.asp?cat=sci&amp;id=5597</t>
        </is>
      </c>
      <c r="Z117" s="3" t="inlineStr">
        <is>
          <t>https://api.crossref.org/works/10.1016/j.fuel.2024.132566</t>
        </is>
      </c>
      <c r="AA11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17" s="3" t="inlineStr">
        <is>
          <t>original_files/R10377/fulltext/fulltext__published__5a2aa4d61f4753eb.pdf</t>
        </is>
      </c>
      <c r="AC117" s="3" t="inlineStr"/>
      <c r="AD117" s="3" t="inlineStr">
        <is>
          <t>https://github.com/Colliam-Vermilion/FirstCodex/blob/results/ad-oxygen-literature-20261006/results/ad-oxygen-literature-20261006/original_files/R10377/fulltext/fulltext__published__5a2aa4d61f4753eb.pdf</t>
        </is>
      </c>
    </row>
    <row r="118" ht="48" customHeight="1">
      <c r="A118" s="2" t="inlineStr">
        <is>
          <t>R11534</t>
        </is>
      </c>
      <c r="B118" s="2" t="inlineStr">
        <is>
          <t>Enhancing hydrolysis acidification process for coal gasification wastewater treatment through micro-aeration strategy: The role of micro-oxygen environment</t>
        </is>
      </c>
      <c r="C118" s="2" t="inlineStr">
        <is>
          <t>2025</t>
        </is>
      </c>
      <c r="D118" s="2" t="inlineStr">
        <is>
          <t>2025</t>
        </is>
      </c>
      <c r="E118" s="2" t="inlineStr">
        <is>
          <t>10.1016/j.watres.2025.123898</t>
        </is>
      </c>
      <c r="F118" s="2" t="inlineStr">
        <is>
          <t>期刊文章</t>
        </is>
      </c>
      <c r="G118" s="2" t="inlineStr">
        <is>
          <t>2 向厌氧水解或产酸阶段供氧</t>
        </is>
      </c>
      <c r="H118" s="2" t="inlineStr">
        <is>
          <t>是</t>
        </is>
      </c>
      <c r="I118" s="2" t="inlineStr">
        <is>
          <t>研究类</t>
        </is>
      </c>
      <c r="J118" s="2" t="inlineStr">
        <is>
          <t>是</t>
        </is>
      </c>
      <c r="K118" s="2" t="inlineStr">
        <is>
          <t>WATER RESEARCH</t>
        </is>
      </c>
      <c r="L118" s="2" t="inlineStr">
        <is>
          <t>Water Research</t>
        </is>
      </c>
      <c r="M118" s="2" t="inlineStr">
        <is>
          <t>0043-1354</t>
        </is>
      </c>
      <c r="N118" s="2" t="inlineStr"/>
      <c r="O118" s="2" t="inlineStr">
        <is>
          <t>已取得核验全文</t>
        </is>
      </c>
      <c r="P118" s="2" t="inlineStr">
        <is>
          <t>是</t>
        </is>
      </c>
      <c r="Q118" s="2" t="inlineStr">
        <is>
          <t>已取得1件原格式补充材料；其中0件唯一关联待核实；完整性未确认</t>
        </is>
      </c>
      <c r="R118" s="2" t="n">
        <v>2024</v>
      </c>
      <c r="S118" s="2" t="inlineStr">
        <is>
          <t>2025发布版（2024指标年）</t>
        </is>
      </c>
      <c r="T118" s="2" t="inlineStr">
        <is>
          <t>WATER RESOURCES; ENGINEERING, ENVIRONMENTAL; ENVIRONMENTAL SCIENCES</t>
        </is>
      </c>
      <c r="U118" s="2" t="inlineStr">
        <is>
          <t>WATER RESOURCES: Q1; ENGINEERING, ENVIRONMENTAL: Q1; ENVIRONMENTAL SCIENCES: Q1</t>
        </is>
      </c>
      <c r="V118" s="4" t="inlineStr">
        <is>
          <t>是</t>
        </is>
      </c>
      <c r="W118" s="4" t="inlineStr">
        <is>
          <t>是</t>
        </is>
      </c>
      <c r="X118" s="2" t="inlineStr">
        <is>
          <t>是</t>
        </is>
      </c>
      <c r="Y118" s="2" t="inlineStr">
        <is>
          <t>https://topj.lib.whu.edu.cn/show.asp?cat=zk&amp;id=3962</t>
        </is>
      </c>
      <c r="Z118" s="2" t="inlineStr">
        <is>
          <t>https://api.crossref.org/works/10.1016/j.watres.2025.123898</t>
        </is>
      </c>
      <c r="AA11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18" s="2" t="inlineStr">
        <is>
          <t>original_files/R11534/fulltext/fulltext__published__599c50defaebcb96.pdf</t>
        </is>
      </c>
      <c r="AC118" s="2" t="inlineStr">
        <is>
          <t>original_files/R11534/supplementary/supplementary__93778a13403ff116.docx</t>
        </is>
      </c>
      <c r="AD118" s="2" t="inlineStr">
        <is>
          <t>https://github.com/Colliam-Vermilion/FirstCodex/blob/results/ad-oxygen-literature-20261006/results/ad-oxygen-literature-20261006/original_files/R11534/fulltext/fulltext__published__599c50defaebcb96.pdf</t>
        </is>
      </c>
    </row>
    <row r="119" ht="48" customHeight="1">
      <c r="A119" s="3" t="inlineStr">
        <is>
          <t>R13086</t>
        </is>
      </c>
      <c r="B119" s="3" t="inlineStr">
        <is>
          <t>Hydrodynamic regulation drives azo dye transformation and hydrolysis acidification by reshaping microbial metabolism in the micro-aerobic hydrolysis acidification reactor</t>
        </is>
      </c>
      <c r="C119" s="3" t="inlineStr">
        <is>
          <t>2026</t>
        </is>
      </c>
      <c r="D119" s="3" t="inlineStr">
        <is>
          <t>2026</t>
        </is>
      </c>
      <c r="E119" s="3" t="inlineStr">
        <is>
          <t>10.1016/j.jhazmat.2026.143745</t>
        </is>
      </c>
      <c r="F119" s="3" t="inlineStr">
        <is>
          <t>期刊文章</t>
        </is>
      </c>
      <c r="G119" s="3" t="inlineStr">
        <is>
          <t>2 向厌氧水解或产酸阶段供氧</t>
        </is>
      </c>
      <c r="H119" s="3" t="inlineStr">
        <is>
          <t>是</t>
        </is>
      </c>
      <c r="I119" s="3" t="inlineStr">
        <is>
          <t>研究类</t>
        </is>
      </c>
      <c r="J119" s="3" t="inlineStr">
        <is>
          <t>是</t>
        </is>
      </c>
      <c r="K119" s="3" t="inlineStr">
        <is>
          <t>JOURNAL OF HAZARDOUS MATERIALS</t>
        </is>
      </c>
      <c r="L119" s="3" t="inlineStr">
        <is>
          <t>Journal of Hazardous Materials</t>
        </is>
      </c>
      <c r="M119" s="3" t="inlineStr">
        <is>
          <t>0304-3894</t>
        </is>
      </c>
      <c r="N119" s="3" t="inlineStr"/>
      <c r="O119" s="3" t="inlineStr">
        <is>
          <t>已取得核验全文</t>
        </is>
      </c>
      <c r="P119" s="3" t="inlineStr">
        <is>
          <t>是</t>
        </is>
      </c>
      <c r="Q119" s="3" t="inlineStr">
        <is>
          <t>已取得1件原格式补充材料；其中0件唯一关联待核实；完整性未确认</t>
        </is>
      </c>
      <c r="R119" s="3" t="n">
        <v>2024</v>
      </c>
      <c r="S119" s="3" t="inlineStr">
        <is>
          <t>2025发布版（2024指标年）</t>
        </is>
      </c>
      <c r="T119" s="3" t="inlineStr">
        <is>
          <t>ENGINEERING, ENVIRONMENTAL; ENVIRONMENTAL SCIENCES</t>
        </is>
      </c>
      <c r="U119" s="3" t="inlineStr">
        <is>
          <t>ENGINEERING, ENVIRONMENTAL: Q1; ENVIRONMENTAL SCIENCES: Q1</t>
        </is>
      </c>
      <c r="V119" s="4" t="inlineStr">
        <is>
          <t>是</t>
        </is>
      </c>
      <c r="W119" s="4" t="inlineStr">
        <is>
          <t>是</t>
        </is>
      </c>
      <c r="X119" s="3" t="inlineStr">
        <is>
          <t>是</t>
        </is>
      </c>
      <c r="Y119" s="3" t="inlineStr">
        <is>
          <t>https://topj.lib.whu.edu.cn/show.asp?cat=sci&amp;id=6955</t>
        </is>
      </c>
      <c r="Z119" s="3" t="inlineStr">
        <is>
          <t>https://api.crossref.org/works/10.1016/j.jhazmat.2026.143745</t>
        </is>
      </c>
      <c r="AA11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19" s="3" t="inlineStr">
        <is>
          <t>original_files/R13086/fulltext/fulltext__published__ebdb6762b8ec6d74.pdf</t>
        </is>
      </c>
      <c r="AC119" s="3" t="inlineStr">
        <is>
          <t>original_files/R13086/supplementary/supplementary__6b9f2e6d4fab85ae.docx</t>
        </is>
      </c>
      <c r="AD119" s="3" t="inlineStr">
        <is>
          <t>https://github.com/Colliam-Vermilion/FirstCodex/blob/results/ad-oxygen-literature-20261006/results/ad-oxygen-literature-20261006/original_files/R13086/fulltext/fulltext__published__ebdb6762b8ec6d74.pdf</t>
        </is>
      </c>
    </row>
    <row r="120" ht="48" customHeight="1">
      <c r="A120" s="2" t="inlineStr">
        <is>
          <t>R13274</t>
        </is>
      </c>
      <c r="B120" s="2" t="inlineStr">
        <is>
          <t>Micro-aeration enhances lactic acid production in food waste fermentation</t>
        </is>
      </c>
      <c r="C120" s="2" t="inlineStr">
        <is>
          <t>2026</t>
        </is>
      </c>
      <c r="D120" s="2" t="inlineStr">
        <is>
          <t>2026</t>
        </is>
      </c>
      <c r="E120" s="2" t="inlineStr">
        <is>
          <t>10.1016/j.biortech.2025.133807</t>
        </is>
      </c>
      <c r="F120" s="2" t="inlineStr">
        <is>
          <t>期刊文章</t>
        </is>
      </c>
      <c r="G120" s="2" t="inlineStr">
        <is>
          <t>2 向厌氧水解或产酸阶段供氧</t>
        </is>
      </c>
      <c r="H120" s="2" t="inlineStr">
        <is>
          <t>是</t>
        </is>
      </c>
      <c r="I120" s="2" t="inlineStr">
        <is>
          <t>研究类</t>
        </is>
      </c>
      <c r="J120" s="2" t="inlineStr">
        <is>
          <t>是</t>
        </is>
      </c>
      <c r="K120" s="2" t="inlineStr">
        <is>
          <t>BIORESOURCE TECHNOLOGY</t>
        </is>
      </c>
      <c r="L120" s="2" t="inlineStr">
        <is>
          <t>Bioresource Technology</t>
        </is>
      </c>
      <c r="M120" s="2" t="inlineStr">
        <is>
          <t>0960-8524</t>
        </is>
      </c>
      <c r="N120" s="2" t="inlineStr"/>
      <c r="O120" s="2" t="inlineStr">
        <is>
          <t>已取得核验全文</t>
        </is>
      </c>
      <c r="P120" s="2" t="inlineStr">
        <is>
          <t>是</t>
        </is>
      </c>
      <c r="Q120" s="2" t="inlineStr">
        <is>
          <t>已取得1件原格式补充材料；其中1件唯一关联待核实；完整性未确认</t>
        </is>
      </c>
      <c r="R120" s="2" t="n">
        <v>2024</v>
      </c>
      <c r="S120" s="2" t="inlineStr">
        <is>
          <t>2025发布版（2024指标年）</t>
        </is>
      </c>
      <c r="T120" s="2" t="inlineStr">
        <is>
          <t>AGRICULTURAL ENGINEERING; BIOTECHNOLOGY &amp; APPLIED MICROBIOLOGY; ENERGY &amp; FUELS</t>
        </is>
      </c>
      <c r="U120" s="2" t="inlineStr">
        <is>
          <t>AGRICULTURAL ENGINEERING: Q1; BIOTECHNOLOGY &amp; APPLIED MICROBIOLOGY: Q1; ENERGY &amp; FUELS: Q1</t>
        </is>
      </c>
      <c r="V120" s="4" t="inlineStr">
        <is>
          <t>是</t>
        </is>
      </c>
      <c r="W120" s="4" t="inlineStr">
        <is>
          <t>是</t>
        </is>
      </c>
      <c r="X120" s="2" t="inlineStr">
        <is>
          <t>是</t>
        </is>
      </c>
      <c r="Y120" s="2" t="inlineStr">
        <is>
          <t>https://topj.lib.whu.edu.cn/show.asp?cat=zk&amp;id=3976</t>
        </is>
      </c>
      <c r="Z120" s="2" t="inlineStr">
        <is>
          <t>https://api.crossref.org/works/10.1016/j.biortech.2025.133807</t>
        </is>
      </c>
      <c r="AA12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20" s="2" t="inlineStr">
        <is>
          <t>original_files/R13274/fulltext/fulltext__published__a01e60567ddc9a8f.pdf</t>
        </is>
      </c>
      <c r="AC120" s="2" t="inlineStr">
        <is>
          <t>original_files/R13274/supplementary/supplementary__ef7b3183c95f4072.xlsx</t>
        </is>
      </c>
      <c r="AD120" s="2" t="inlineStr">
        <is>
          <t>https://github.com/Colliam-Vermilion/FirstCodex/blob/results/ad-oxygen-literature-20261006/results/ad-oxygen-literature-20261006/original_files/R13274/fulltext/fulltext__published__a01e60567ddc9a8f.pdf</t>
        </is>
      </c>
    </row>
    <row r="121" ht="48" customHeight="1">
      <c r="A121" s="3" t="inlineStr">
        <is>
          <t>R00677</t>
        </is>
      </c>
      <c r="B121" s="3" t="inlineStr">
        <is>
          <t>Enhanced hydrolysis and methane yield by applying microaeration pretreatment to the anaerobic co-digestion of brown water and food waste</t>
        </is>
      </c>
      <c r="C121" s="3" t="inlineStr">
        <is>
          <t>2013</t>
        </is>
      </c>
      <c r="D121" s="3" t="inlineStr">
        <is>
          <t>2013</t>
        </is>
      </c>
      <c r="E121" s="3" t="inlineStr">
        <is>
          <t>10.1016/j.wasman.2012.11.013</t>
        </is>
      </c>
      <c r="F121" s="3" t="inlineStr">
        <is>
          <t>期刊文章</t>
        </is>
      </c>
      <c r="G121" s="3" t="inlineStr">
        <is>
          <t>3 独立好氧或微好氧预处理</t>
        </is>
      </c>
      <c r="H121" s="3" t="inlineStr">
        <is>
          <t>是</t>
        </is>
      </c>
      <c r="I121" s="3" t="inlineStr">
        <is>
          <t>研究类</t>
        </is>
      </c>
      <c r="J121" s="3" t="inlineStr">
        <is>
          <t>是</t>
        </is>
      </c>
      <c r="K121" s="3" t="inlineStr">
        <is>
          <t>Waste Management</t>
        </is>
      </c>
      <c r="L121" s="3" t="inlineStr">
        <is>
          <t>Waste Management</t>
        </is>
      </c>
      <c r="M121" s="3" t="inlineStr">
        <is>
          <t>0956-053X</t>
        </is>
      </c>
      <c r="N121" s="3" t="inlineStr"/>
      <c r="O121" s="3" t="inlineStr">
        <is>
          <t>已取得核验全文</t>
        </is>
      </c>
      <c r="P121" s="3" t="inlineStr">
        <is>
          <t>是</t>
        </is>
      </c>
      <c r="Q121" s="3" t="inlineStr">
        <is>
          <t>当前无补充材料原件；沿用既有缺失/无附件证据，不据此认定无附件</t>
        </is>
      </c>
      <c r="R121" s="3" t="n">
        <v>2024</v>
      </c>
      <c r="S121" s="3" t="inlineStr">
        <is>
          <t>2025发布版（2024指标年）</t>
        </is>
      </c>
      <c r="T121" s="3" t="inlineStr">
        <is>
          <t>ENGINEERING, ENVIRONMENTAL; ENVIRONMENTAL SCIENCES</t>
        </is>
      </c>
      <c r="U121" s="3" t="inlineStr">
        <is>
          <t>ENGINEERING, ENVIRONMENTAL: Q1; ENVIRONMENTAL SCIENCES: Q1</t>
        </is>
      </c>
      <c r="V121" s="4" t="inlineStr">
        <is>
          <t>是</t>
        </is>
      </c>
      <c r="W121" s="4" t="inlineStr">
        <is>
          <t>是</t>
        </is>
      </c>
      <c r="X121" s="3" t="inlineStr">
        <is>
          <t>是</t>
        </is>
      </c>
      <c r="Y121" s="3" t="inlineStr">
        <is>
          <t>https://topj.lib.whu.edu.cn/show.asp?cat=zk&amp;id=4000</t>
        </is>
      </c>
      <c r="Z121" s="3" t="inlineStr">
        <is>
          <t>https://api.crossref.org/works/10.1016/j.wasman.2012.11.013</t>
        </is>
      </c>
      <c r="AA12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21" s="3" t="inlineStr">
        <is>
          <t>original_files/R00677/fulltext/fulltext__published__618d438d3f05b66a.pdf</t>
        </is>
      </c>
      <c r="AC121" s="3" t="inlineStr"/>
      <c r="AD121" s="3" t="inlineStr">
        <is>
          <t>https://github.com/Colliam-Vermilion/FirstCodex/blob/results/ad-oxygen-literature-20261006/results/ad-oxygen-literature-20261006/original_files/R00677/fulltext/fulltext__published__618d438d3f05b66a.pdf</t>
        </is>
      </c>
    </row>
    <row r="122" ht="48" customHeight="1">
      <c r="A122" s="2" t="inlineStr">
        <is>
          <t>R01212</t>
        </is>
      </c>
      <c r="B122" s="2" t="inlineStr">
        <is>
          <t>Effects of Pre-aeration on the Anaerobic Digestion of Sewage Sludge</t>
        </is>
      </c>
      <c r="C122" s="2" t="inlineStr">
        <is>
          <t>2014</t>
        </is>
      </c>
      <c r="D122" s="2" t="inlineStr">
        <is>
          <t>2014</t>
        </is>
      </c>
      <c r="E122" s="2" t="inlineStr">
        <is>
          <t>10.4491/eer.2014.19.1.059</t>
        </is>
      </c>
      <c r="F122" s="2" t="inlineStr">
        <is>
          <t>期刊文章</t>
        </is>
      </c>
      <c r="G122" s="2" t="inlineStr">
        <is>
          <t>3 独立好氧或微好氧预处理</t>
        </is>
      </c>
      <c r="H122" s="2" t="inlineStr">
        <is>
          <t>是</t>
        </is>
      </c>
      <c r="I122" s="2" t="inlineStr">
        <is>
          <t>研究类</t>
        </is>
      </c>
      <c r="J122" s="2" t="inlineStr">
        <is>
          <t>是</t>
        </is>
      </c>
      <c r="K122" s="2" t="inlineStr">
        <is>
          <t>ENVIRONMENTAL ENGINEERING RESEARCH</t>
        </is>
      </c>
      <c r="L122" s="2" t="inlineStr">
        <is>
          <t>Environmental Engineering Research</t>
        </is>
      </c>
      <c r="M122" s="2" t="inlineStr">
        <is>
          <t>1226-1025</t>
        </is>
      </c>
      <c r="N122" s="2" t="inlineStr">
        <is>
          <t>2005-968X</t>
        </is>
      </c>
      <c r="O122" s="2" t="inlineStr">
        <is>
          <t>已取得核验全文</t>
        </is>
      </c>
      <c r="P122" s="2" t="inlineStr">
        <is>
          <t>是</t>
        </is>
      </c>
      <c r="Q122" s="2" t="inlineStr">
        <is>
          <t>当前无补充材料原件；沿用既有缺失/无附件证据，不据此认定无附件</t>
        </is>
      </c>
      <c r="R122" s="2" t="n">
        <v>2024</v>
      </c>
      <c r="S122" s="2" t="inlineStr">
        <is>
          <t>2025发布版（2024指标年）</t>
        </is>
      </c>
      <c r="T122" s="2" t="inlineStr">
        <is>
          <t>ENGINEERING, ENVIRONMENTAL; ENVIRONMENTAL SCIENCES</t>
        </is>
      </c>
      <c r="U122" s="2" t="inlineStr">
        <is>
          <t>ENGINEERING, ENVIRONMENTAL: Q3; ENVIRONMENTAL SCIENCES: Q3</t>
        </is>
      </c>
      <c r="V122" s="2" t="inlineStr">
        <is>
          <t>否</t>
        </is>
      </c>
      <c r="W122" s="2" t="inlineStr">
        <is>
          <t>否</t>
        </is>
      </c>
      <c r="X122" s="2" t="inlineStr">
        <is>
          <t>是</t>
        </is>
      </c>
      <c r="Y122" s="2" t="inlineStr">
        <is>
          <t>https://topj.lib.whu.edu.cn/search2.asp?ordertype=&amp;page=18&amp;q=&amp;sea=e&amp;searchtype=esi</t>
        </is>
      </c>
      <c r="Z122" s="2" t="inlineStr">
        <is>
          <t>https://api.crossref.org/works/10.4491/eer.2014.19.1.059</t>
        </is>
      </c>
      <c r="AA122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122" s="2" t="inlineStr">
        <is>
          <t>original_files/R01212/fulltext/fulltext__published__ef235fcb491d4749.pdf</t>
        </is>
      </c>
      <c r="AC122" s="2" t="inlineStr"/>
      <c r="AD122" s="2" t="inlineStr">
        <is>
          <t>https://github.com/Colliam-Vermilion/FirstCodex/blob/results/ad-oxygen-literature-20261006/results/ad-oxygen-literature-20261006/original_files/R01212/fulltext/fulltext__published__ef235fcb491d4749.pdf</t>
        </is>
      </c>
    </row>
    <row r="123" ht="48" customHeight="1">
      <c r="A123" s="3" t="inlineStr">
        <is>
          <t>R01727</t>
        </is>
      </c>
      <c r="B123" s="3" t="inlineStr">
        <is>
          <t>Comparison of thermophilic microaerobic and alkali pretreatment of sugarcane bagasse for anaerobic digestion</t>
        </is>
      </c>
      <c r="C123" s="3" t="inlineStr">
        <is>
          <t>2015</t>
        </is>
      </c>
      <c r="D123" s="3" t="inlineStr">
        <is>
          <t>2015</t>
        </is>
      </c>
      <c r="E123" s="3" t="inlineStr">
        <is>
          <t>10.1039/c5ra10717b</t>
        </is>
      </c>
      <c r="F123" s="3" t="inlineStr">
        <is>
          <t>期刊文章</t>
        </is>
      </c>
      <c r="G123" s="3" t="inlineStr">
        <is>
          <t>3 独立好氧或微好氧预处理</t>
        </is>
      </c>
      <c r="H123" s="3" t="inlineStr">
        <is>
          <t>是</t>
        </is>
      </c>
      <c r="I123" s="3" t="inlineStr">
        <is>
          <t>研究类</t>
        </is>
      </c>
      <c r="J123" s="3" t="inlineStr">
        <is>
          <t>是</t>
        </is>
      </c>
      <c r="K123" s="3" t="inlineStr">
        <is>
          <t>RSC Advances</t>
        </is>
      </c>
      <c r="L123" s="3" t="inlineStr">
        <is>
          <t>RSC Advances</t>
        </is>
      </c>
      <c r="M123" s="3" t="inlineStr"/>
      <c r="N123" s="3" t="inlineStr">
        <is>
          <t>2046-2069</t>
        </is>
      </c>
      <c r="O123" s="3" t="inlineStr">
        <is>
          <t>已取得核验全文</t>
        </is>
      </c>
      <c r="P123" s="3" t="inlineStr">
        <is>
          <t>是</t>
        </is>
      </c>
      <c r="Q123" s="3" t="inlineStr">
        <is>
          <t>已取得1件原格式补充材料；其中1件唯一关联待核实；完整性未确认</t>
        </is>
      </c>
      <c r="R123" s="3" t="n">
        <v>2024</v>
      </c>
      <c r="S123" s="3" t="inlineStr">
        <is>
          <t>2025发布版（2024指标年）</t>
        </is>
      </c>
      <c r="T123" s="3" t="inlineStr"/>
      <c r="U123" s="3" t="inlineStr"/>
      <c r="V123" s="3" t="inlineStr">
        <is>
          <t>待核实</t>
        </is>
      </c>
      <c r="W123" s="3" t="inlineStr">
        <is>
          <t>待核实</t>
        </is>
      </c>
      <c r="X123" s="3" t="inlineStr">
        <is>
          <t>否</t>
        </is>
      </c>
      <c r="Y123" s="3" t="inlineStr"/>
      <c r="Z123" s="3" t="inlineStr">
        <is>
          <t>https://api.crossref.org/works/10.1039/c5ra10717b</t>
        </is>
      </c>
      <c r="AA123" s="3" t="inlineStr">
        <is>
          <t>2024指标年JCR分区未核实；空白不能当非Q1。需要2025发布版/2024指标年的JCR全部学科导出。</t>
        </is>
      </c>
      <c r="AB123" s="3" t="inlineStr">
        <is>
          <t>original_files/R01727/fulltext/fulltext__published__cf60070671c880d0.pdf</t>
        </is>
      </c>
      <c r="AC123" s="3" t="inlineStr">
        <is>
          <t>original_files/R01727/supplementary/supplementary__2b717bb2226270b6.pdf</t>
        </is>
      </c>
      <c r="AD123" s="3" t="inlineStr">
        <is>
          <t>https://github.com/Colliam-Vermilion/FirstCodex/blob/results/ad-oxygen-literature-20261006/results/ad-oxygen-literature-20261006/original_files/R01727/fulltext/fulltext__published__cf60070671c880d0.pdf</t>
        </is>
      </c>
    </row>
    <row r="124" ht="48" customHeight="1">
      <c r="A124" s="2" t="inlineStr">
        <is>
          <t>R02176</t>
        </is>
      </c>
      <c r="B124" s="2" t="inlineStr">
        <is>
          <t>The chemical properties and microbial community characterization of the thermophilic microaerobic pretreatment process</t>
        </is>
      </c>
      <c r="C124" s="2" t="inlineStr">
        <is>
          <t>2015</t>
        </is>
      </c>
      <c r="D124" s="2" t="inlineStr">
        <is>
          <t>2015</t>
        </is>
      </c>
      <c r="E124" s="2" t="inlineStr">
        <is>
          <t>10.1016/j.biortech.2015.09.029</t>
        </is>
      </c>
      <c r="F124" s="2" t="inlineStr">
        <is>
          <t>期刊文章</t>
        </is>
      </c>
      <c r="G124" s="2" t="inlineStr">
        <is>
          <t>3 独立好氧或微好氧预处理</t>
        </is>
      </c>
      <c r="H124" s="2" t="inlineStr">
        <is>
          <t>是</t>
        </is>
      </c>
      <c r="I124" s="2" t="inlineStr">
        <is>
          <t>研究类</t>
        </is>
      </c>
      <c r="J124" s="2" t="inlineStr">
        <is>
          <t>是</t>
        </is>
      </c>
      <c r="K124" s="2" t="inlineStr">
        <is>
          <t>BIORESOURCE TECHNOLOGY</t>
        </is>
      </c>
      <c r="L124" s="2" t="inlineStr">
        <is>
          <t>Bioresource Technology</t>
        </is>
      </c>
      <c r="M124" s="2" t="inlineStr">
        <is>
          <t>0960-8524</t>
        </is>
      </c>
      <c r="N124" s="2" t="inlineStr"/>
      <c r="O124" s="2" t="inlineStr">
        <is>
          <t>已取得核验全文</t>
        </is>
      </c>
      <c r="P124" s="2" t="inlineStr">
        <is>
          <t>是</t>
        </is>
      </c>
      <c r="Q124" s="2" t="inlineStr">
        <is>
          <t>当前无补充材料原件；沿用既有缺失/无附件证据，不据此认定无附件</t>
        </is>
      </c>
      <c r="R124" s="2" t="n">
        <v>2024</v>
      </c>
      <c r="S124" s="2" t="inlineStr">
        <is>
          <t>2025发布版（2024指标年）</t>
        </is>
      </c>
      <c r="T124" s="2" t="inlineStr">
        <is>
          <t>AGRICULTURAL ENGINEERING; BIOTECHNOLOGY &amp; APPLIED MICROBIOLOGY; ENERGY &amp; FUELS</t>
        </is>
      </c>
      <c r="U124" s="2" t="inlineStr">
        <is>
          <t>AGRICULTURAL ENGINEERING: Q1; BIOTECHNOLOGY &amp; APPLIED MICROBIOLOGY: Q1; ENERGY &amp; FUELS: Q1</t>
        </is>
      </c>
      <c r="V124" s="4" t="inlineStr">
        <is>
          <t>是</t>
        </is>
      </c>
      <c r="W124" s="4" t="inlineStr">
        <is>
          <t>是</t>
        </is>
      </c>
      <c r="X124" s="2" t="inlineStr">
        <is>
          <t>是</t>
        </is>
      </c>
      <c r="Y124" s="2" t="inlineStr">
        <is>
          <t>https://topj.lib.whu.edu.cn/show.asp?cat=zk&amp;id=3976</t>
        </is>
      </c>
      <c r="Z124" s="2" t="inlineStr">
        <is>
          <t>https://api.crossref.org/works/10.1016/j.biortech.2015.09.029</t>
        </is>
      </c>
      <c r="AA12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24" s="2" t="inlineStr">
        <is>
          <t>original_files/R02176/fulltext/fulltext__published__9b88e4a9a62a14a8.pdf</t>
        </is>
      </c>
      <c r="AC124" s="2" t="inlineStr"/>
      <c r="AD124" s="2" t="inlineStr">
        <is>
          <t>https://github.com/Colliam-Vermilion/FirstCodex/blob/results/ad-oxygen-literature-20261006/results/ad-oxygen-literature-20261006/original_files/R02176/fulltext/fulltext__published__9b88e4a9a62a14a8.pdf</t>
        </is>
      </c>
    </row>
    <row r="125" ht="48" customHeight="1">
      <c r="A125" s="3" t="inlineStr">
        <is>
          <t>R02188</t>
        </is>
      </c>
      <c r="B125" s="3" t="inlineStr">
        <is>
          <t>The thermophilic (55 °C) microaerobic pretreatment of corn straw for anaerobic digestion</t>
        </is>
      </c>
      <c r="C125" s="3" t="inlineStr">
        <is>
          <t>2015</t>
        </is>
      </c>
      <c r="D125" s="3" t="inlineStr">
        <is>
          <t>2015</t>
        </is>
      </c>
      <c r="E125" s="3" t="inlineStr">
        <is>
          <t>10.1016/j.biortech.2014.10.072</t>
        </is>
      </c>
      <c r="F125" s="3" t="inlineStr">
        <is>
          <t>期刊文章</t>
        </is>
      </c>
      <c r="G125" s="3" t="inlineStr">
        <is>
          <t>3 独立好氧或微好氧预处理</t>
        </is>
      </c>
      <c r="H125" s="3" t="inlineStr">
        <is>
          <t>是</t>
        </is>
      </c>
      <c r="I125" s="3" t="inlineStr">
        <is>
          <t>研究类</t>
        </is>
      </c>
      <c r="J125" s="3" t="inlineStr">
        <is>
          <t>是</t>
        </is>
      </c>
      <c r="K125" s="3" t="inlineStr">
        <is>
          <t>BIORESOURCE TECHNOLOGY</t>
        </is>
      </c>
      <c r="L125" s="3" t="inlineStr">
        <is>
          <t>Bioresource Technology</t>
        </is>
      </c>
      <c r="M125" s="3" t="inlineStr">
        <is>
          <t>0960-8524</t>
        </is>
      </c>
      <c r="N125" s="3" t="inlineStr"/>
      <c r="O125" s="3" t="inlineStr">
        <is>
          <t>已取得核验全文</t>
        </is>
      </c>
      <c r="P125" s="3" t="inlineStr">
        <is>
          <t>是</t>
        </is>
      </c>
      <c r="Q125" s="3" t="inlineStr">
        <is>
          <t>已取得1件原格式补充材料；其中0件唯一关联待核实；完整性未确认</t>
        </is>
      </c>
      <c r="R125" s="3" t="n">
        <v>2024</v>
      </c>
      <c r="S125" s="3" t="inlineStr">
        <is>
          <t>2025发布版（2024指标年）</t>
        </is>
      </c>
      <c r="T125" s="3" t="inlineStr">
        <is>
          <t>AGRICULTURAL ENGINEERING; BIOTECHNOLOGY &amp; APPLIED MICROBIOLOGY; ENERGY &amp; FUELS</t>
        </is>
      </c>
      <c r="U125" s="3" t="inlineStr">
        <is>
          <t>AGRICULTURAL ENGINEERING: Q1; BIOTECHNOLOGY &amp; APPLIED MICROBIOLOGY: Q1; ENERGY &amp; FUELS: Q1</t>
        </is>
      </c>
      <c r="V125" s="4" t="inlineStr">
        <is>
          <t>是</t>
        </is>
      </c>
      <c r="W125" s="4" t="inlineStr">
        <is>
          <t>是</t>
        </is>
      </c>
      <c r="X125" s="3" t="inlineStr">
        <is>
          <t>是</t>
        </is>
      </c>
      <c r="Y125" s="3" t="inlineStr">
        <is>
          <t>https://topj.lib.whu.edu.cn/show.asp?cat=zk&amp;id=3976</t>
        </is>
      </c>
      <c r="Z125" s="3" t="inlineStr">
        <is>
          <t>https://api.crossref.org/works/10.1016/j.biortech.2014.10.072</t>
        </is>
      </c>
      <c r="AA12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25" s="3" t="inlineStr">
        <is>
          <t>original_files/R02188/fulltext/fulltext__published__d71a021f92b210cb.pdf</t>
        </is>
      </c>
      <c r="AC125" s="3" t="inlineStr">
        <is>
          <t>original_files/R02188/supplementary/supplementary__341e3f61107726d5.doc</t>
        </is>
      </c>
      <c r="AD125" s="3" t="inlineStr">
        <is>
          <t>https://github.com/Colliam-Vermilion/FirstCodex/blob/results/ad-oxygen-literature-20261006/results/ad-oxygen-literature-20261006/original_files/R02188/fulltext/fulltext__published__d71a021f92b210cb.pdf</t>
        </is>
      </c>
    </row>
    <row r="126" ht="48" customHeight="1">
      <c r="A126" s="2" t="inlineStr">
        <is>
          <t>R02319</t>
        </is>
      </c>
      <c r="B126" s="2" t="inlineStr">
        <is>
          <t>Assessment of Sludge Solubilization by Aeration and Zero-valent Iron As a Pre-treatment for Anaerobic Digestion</t>
        </is>
      </c>
      <c r="C126" s="2" t="inlineStr">
        <is>
          <t>2016</t>
        </is>
      </c>
      <c r="D126" s="2" t="inlineStr">
        <is>
          <t>2016</t>
        </is>
      </c>
      <c r="E126" s="2" t="inlineStr">
        <is>
          <t>10.17137/korrae.2016.24.3.53</t>
        </is>
      </c>
      <c r="F126" s="2" t="inlineStr">
        <is>
          <t>期刊文章</t>
        </is>
      </c>
      <c r="G126" s="2" t="inlineStr">
        <is>
          <t>3 独立好氧或微好氧预处理</t>
        </is>
      </c>
      <c r="H126" s="2" t="inlineStr">
        <is>
          <t>是</t>
        </is>
      </c>
      <c r="I126" s="2" t="inlineStr">
        <is>
          <t>研究类</t>
        </is>
      </c>
      <c r="J126" s="2" t="inlineStr">
        <is>
          <t>是</t>
        </is>
      </c>
      <c r="K126" s="2" t="inlineStr">
        <is>
          <t>Journal of the Korea Organic Resource Recycling Association</t>
        </is>
      </c>
      <c r="L126" s="2" t="inlineStr">
        <is>
          <t>Journal of the Korea Organic Resource Recycling Association</t>
        </is>
      </c>
      <c r="M126" s="2" t="inlineStr">
        <is>
          <t>1225-6498</t>
        </is>
      </c>
      <c r="N126" s="2" t="inlineStr"/>
      <c r="O126" s="2" t="inlineStr">
        <is>
          <t>已取得核验全文</t>
        </is>
      </c>
      <c r="P126" s="2" t="inlineStr">
        <is>
          <t>是</t>
        </is>
      </c>
      <c r="Q126" s="2" t="inlineStr">
        <is>
          <t>当前无补充材料原件；沿用既有缺失/无附件证据，不据此认定无附件</t>
        </is>
      </c>
      <c r="R126" s="2" t="n">
        <v>2024</v>
      </c>
      <c r="S126" s="2" t="inlineStr">
        <is>
          <t>2025发布版（2024指标年）</t>
        </is>
      </c>
      <c r="T126" s="2" t="inlineStr"/>
      <c r="U126" s="2" t="inlineStr"/>
      <c r="V126" s="2" t="inlineStr">
        <is>
          <t>待核实</t>
        </is>
      </c>
      <c r="W126" s="2" t="inlineStr">
        <is>
          <t>待核实</t>
        </is>
      </c>
      <c r="X126" s="2" t="inlineStr">
        <is>
          <t>否</t>
        </is>
      </c>
      <c r="Y126" s="2" t="inlineStr"/>
      <c r="Z126" s="2" t="inlineStr">
        <is>
          <t>https://api.crossref.org/works/10.17137/korrae.2016.24.3.53</t>
        </is>
      </c>
      <c r="AA126" s="2" t="inlineStr">
        <is>
          <t>2024指标年JCR分区未核实；空白不能当非Q1。需要2025发布版/2024指标年的JCR全部学科导出。</t>
        </is>
      </c>
      <c r="AB126" s="2" t="inlineStr">
        <is>
          <t>original_files/R02319/fulltext/fulltext__version_unverified__bee09adb76fa2153.pdf</t>
        </is>
      </c>
      <c r="AC126" s="2" t="inlineStr"/>
      <c r="AD126" s="2" t="inlineStr">
        <is>
          <t>https://github.com/Colliam-Vermilion/FirstCodex/blob/results/ad-oxygen-literature-20261006/results/ad-oxygen-literature-20261006/original_files/R02319/fulltext/fulltext__version_unverified__bee09adb76fa2153.pdf</t>
        </is>
      </c>
    </row>
    <row r="127" ht="48" customHeight="1">
      <c r="A127" s="3" t="inlineStr">
        <is>
          <t>R02340</t>
        </is>
      </c>
      <c r="B127" s="3" t="inlineStr">
        <is>
          <t>Biogas production enhancement using semi-aerobic pre-aeration in a hybrid bioreactor landfill</t>
        </is>
      </c>
      <c r="C127" s="3" t="inlineStr">
        <is>
          <t>2016</t>
        </is>
      </c>
      <c r="D127" s="3" t="inlineStr">
        <is>
          <t>2016</t>
        </is>
      </c>
      <c r="E127" s="3" t="inlineStr">
        <is>
          <t>10.1016/j.wasman.2015.10.025</t>
        </is>
      </c>
      <c r="F127" s="3" t="inlineStr">
        <is>
          <t>期刊文章</t>
        </is>
      </c>
      <c r="G127" s="3" t="inlineStr">
        <is>
          <t>3 独立好氧或微好氧预处理</t>
        </is>
      </c>
      <c r="H127" s="3" t="inlineStr">
        <is>
          <t>是</t>
        </is>
      </c>
      <c r="I127" s="3" t="inlineStr">
        <is>
          <t>研究类</t>
        </is>
      </c>
      <c r="J127" s="3" t="inlineStr">
        <is>
          <t>是</t>
        </is>
      </c>
      <c r="K127" s="3" t="inlineStr">
        <is>
          <t>Waste Management</t>
        </is>
      </c>
      <c r="L127" s="3" t="inlineStr">
        <is>
          <t>Waste Management</t>
        </is>
      </c>
      <c r="M127" s="3" t="inlineStr">
        <is>
          <t>0956-053X</t>
        </is>
      </c>
      <c r="N127" s="3" t="inlineStr"/>
      <c r="O127" s="3" t="inlineStr">
        <is>
          <t>已取得核验全文</t>
        </is>
      </c>
      <c r="P127" s="3" t="inlineStr">
        <is>
          <t>是</t>
        </is>
      </c>
      <c r="Q127" s="3" t="inlineStr">
        <is>
          <t>当前无补充材料原件；沿用既有缺失/无附件证据，不据此认定无附件</t>
        </is>
      </c>
      <c r="R127" s="3" t="n">
        <v>2024</v>
      </c>
      <c r="S127" s="3" t="inlineStr">
        <is>
          <t>2025发布版（2024指标年）</t>
        </is>
      </c>
      <c r="T127" s="3" t="inlineStr">
        <is>
          <t>ENGINEERING, ENVIRONMENTAL; ENVIRONMENTAL SCIENCES</t>
        </is>
      </c>
      <c r="U127" s="3" t="inlineStr">
        <is>
          <t>ENGINEERING, ENVIRONMENTAL: Q1; ENVIRONMENTAL SCIENCES: Q1</t>
        </is>
      </c>
      <c r="V127" s="4" t="inlineStr">
        <is>
          <t>是</t>
        </is>
      </c>
      <c r="W127" s="4" t="inlineStr">
        <is>
          <t>是</t>
        </is>
      </c>
      <c r="X127" s="3" t="inlineStr">
        <is>
          <t>是</t>
        </is>
      </c>
      <c r="Y127" s="3" t="inlineStr">
        <is>
          <t>https://topj.lib.whu.edu.cn/show.asp?cat=zk&amp;id=4000</t>
        </is>
      </c>
      <c r="Z127" s="3" t="inlineStr">
        <is>
          <t>https://api.crossref.org/works/10.1016/j.wasman.2015.10.025</t>
        </is>
      </c>
      <c r="AA12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27" s="3" t="inlineStr">
        <is>
          <t>original_files/R02340/fulltext/fulltext__published__97fce73e3525cec6.pdf</t>
        </is>
      </c>
      <c r="AC127" s="3" t="inlineStr"/>
      <c r="AD127" s="3" t="inlineStr">
        <is>
          <t>https://github.com/Colliam-Vermilion/FirstCodex/blob/results/ad-oxygen-literature-20261006/results/ad-oxygen-literature-20261006/original_files/R02340/fulltext/fulltext__published__97fce73e3525cec6.pdf</t>
        </is>
      </c>
    </row>
    <row r="128" ht="48" customHeight="1">
      <c r="A128" s="2" t="inlineStr">
        <is>
          <t>R02444</t>
        </is>
      </c>
      <c r="B128" s="2" t="inlineStr">
        <is>
          <t>Effect of Different Mixed Microflora on the Performance of Thermophilic Microaerobic Pretreatment</t>
        </is>
      </c>
      <c r="C128" s="2" t="inlineStr">
        <is>
          <t>2016</t>
        </is>
      </c>
      <c r="D128" s="2" t="inlineStr">
        <is>
          <t>2016</t>
        </is>
      </c>
      <c r="E128" s="2" t="inlineStr">
        <is>
          <t>10.1021/acs.energyfuels.6b00440</t>
        </is>
      </c>
      <c r="F128" s="2" t="inlineStr">
        <is>
          <t>期刊文章</t>
        </is>
      </c>
      <c r="G128" s="2" t="inlineStr">
        <is>
          <t>3 独立好氧或微好氧预处理</t>
        </is>
      </c>
      <c r="H128" s="2" t="inlineStr">
        <is>
          <t>是</t>
        </is>
      </c>
      <c r="I128" s="2" t="inlineStr">
        <is>
          <t>研究类</t>
        </is>
      </c>
      <c r="J128" s="2" t="inlineStr">
        <is>
          <t>是</t>
        </is>
      </c>
      <c r="K128" s="2" t="inlineStr">
        <is>
          <t>ENERGY &amp; FUELS</t>
        </is>
      </c>
      <c r="L128" s="2" t="inlineStr">
        <is>
          <t>Energy &amp;amp; Fuels</t>
        </is>
      </c>
      <c r="M128" s="2" t="inlineStr">
        <is>
          <t>0887-0624</t>
        </is>
      </c>
      <c r="N128" s="2" t="inlineStr">
        <is>
          <t>1520-5029</t>
        </is>
      </c>
      <c r="O128" s="2" t="inlineStr">
        <is>
          <t>已取得核验全文</t>
        </is>
      </c>
      <c r="P128" s="2" t="inlineStr">
        <is>
          <t>是</t>
        </is>
      </c>
      <c r="Q128" s="2" t="inlineStr">
        <is>
          <t>当前无补充材料原件；沿用既有缺失/无附件证据，不据此认定无附件</t>
        </is>
      </c>
      <c r="R128" s="2" t="n">
        <v>2024</v>
      </c>
      <c r="S128" s="2" t="inlineStr">
        <is>
          <t>2025发布版（2024指标年）</t>
        </is>
      </c>
      <c r="T128" s="2" t="inlineStr">
        <is>
          <t>ENERGY &amp; FUELS; ENGINEERING, CHEMICAL</t>
        </is>
      </c>
      <c r="U128" s="2" t="inlineStr">
        <is>
          <t>ENERGY &amp; FUELS: Q2; ENGINEERING, CHEMICAL: Q1</t>
        </is>
      </c>
      <c r="V128" s="4" t="inlineStr">
        <is>
          <t>是</t>
        </is>
      </c>
      <c r="W128" s="2" t="inlineStr">
        <is>
          <t>否</t>
        </is>
      </c>
      <c r="X128" s="2" t="inlineStr">
        <is>
          <t>是</t>
        </is>
      </c>
      <c r="Y128" s="2" t="inlineStr">
        <is>
          <t>https://topj.lib.whu.edu.cn/show.asp?cat=zk&amp;id=5342</t>
        </is>
      </c>
      <c r="Z128" s="2" t="inlineStr">
        <is>
          <t>https://api.crossref.org/works/10.1021/acs.energyfuels.6b00440</t>
        </is>
      </c>
      <c r="AA12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28" s="2" t="inlineStr">
        <is>
          <t>original_files/R02444/fulltext/fulltext__published__a3cb2ae853beb60c.pdf</t>
        </is>
      </c>
      <c r="AC128" s="2" t="inlineStr"/>
      <c r="AD128" s="2" t="inlineStr">
        <is>
          <t>https://github.com/Colliam-Vermilion/FirstCodex/blob/results/ad-oxygen-literature-20261006/results/ad-oxygen-literature-20261006/original_files/R02444/fulltext/fulltext__published__a3cb2ae853beb60c.pdf</t>
        </is>
      </c>
    </row>
    <row r="129" ht="48" customHeight="1">
      <c r="A129" s="3" t="inlineStr">
        <is>
          <t>R03475</t>
        </is>
      </c>
      <c r="B129" s="3" t="inlineStr">
        <is>
          <t>Pre-aeration of food waste to augment acidogenic process at higher organic load: Valorizing biohydrogen, volatile fatty acids and biohythane</t>
        </is>
      </c>
      <c r="C129" s="3" t="inlineStr">
        <is>
          <t>2017</t>
        </is>
      </c>
      <c r="D129" s="3" t="inlineStr">
        <is>
          <t>2017</t>
        </is>
      </c>
      <c r="E129" s="3" t="inlineStr">
        <is>
          <t>10.1016/j.biortech.2017.05.053</t>
        </is>
      </c>
      <c r="F129" s="3" t="inlineStr">
        <is>
          <t>期刊文章</t>
        </is>
      </c>
      <c r="G129" s="3" t="inlineStr">
        <is>
          <t>3 独立好氧或微好氧预处理</t>
        </is>
      </c>
      <c r="H129" s="3" t="inlineStr">
        <is>
          <t>是</t>
        </is>
      </c>
      <c r="I129" s="3" t="inlineStr">
        <is>
          <t>研究类</t>
        </is>
      </c>
      <c r="J129" s="3" t="inlineStr">
        <is>
          <t>是</t>
        </is>
      </c>
      <c r="K129" s="3" t="inlineStr">
        <is>
          <t>BIORESOURCE TECHNOLOGY</t>
        </is>
      </c>
      <c r="L129" s="3" t="inlineStr">
        <is>
          <t>Bioresource Technology</t>
        </is>
      </c>
      <c r="M129" s="3" t="inlineStr">
        <is>
          <t>0960-8524</t>
        </is>
      </c>
      <c r="N129" s="3" t="inlineStr"/>
      <c r="O129" s="3" t="inlineStr">
        <is>
          <t>已取得核验全文</t>
        </is>
      </c>
      <c r="P129" s="3" t="inlineStr">
        <is>
          <t>是</t>
        </is>
      </c>
      <c r="Q129" s="3" t="inlineStr">
        <is>
          <t>已取得1件原格式补充材料；其中1件唯一关联待核实；完整性未确认</t>
        </is>
      </c>
      <c r="R129" s="3" t="n">
        <v>2024</v>
      </c>
      <c r="S129" s="3" t="inlineStr">
        <is>
          <t>2025发布版（2024指标年）</t>
        </is>
      </c>
      <c r="T129" s="3" t="inlineStr">
        <is>
          <t>AGRICULTURAL ENGINEERING; BIOTECHNOLOGY &amp; APPLIED MICROBIOLOGY; ENERGY &amp; FUELS</t>
        </is>
      </c>
      <c r="U129" s="3" t="inlineStr">
        <is>
          <t>AGRICULTURAL ENGINEERING: Q1; BIOTECHNOLOGY &amp; APPLIED MICROBIOLOGY: Q1; ENERGY &amp; FUELS: Q1</t>
        </is>
      </c>
      <c r="V129" s="4" t="inlineStr">
        <is>
          <t>是</t>
        </is>
      </c>
      <c r="W129" s="4" t="inlineStr">
        <is>
          <t>是</t>
        </is>
      </c>
      <c r="X129" s="3" t="inlineStr">
        <is>
          <t>是</t>
        </is>
      </c>
      <c r="Y129" s="3" t="inlineStr">
        <is>
          <t>https://topj.lib.whu.edu.cn/show.asp?cat=zk&amp;id=3976</t>
        </is>
      </c>
      <c r="Z129" s="3" t="inlineStr">
        <is>
          <t>https://api.crossref.org/works/10.1016/j.biortech.2017.05.053</t>
        </is>
      </c>
      <c r="AA12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29" s="3" t="inlineStr">
        <is>
          <t>original_files/R03475/fulltext/fulltext__published__87798503de877f9d.pdf</t>
        </is>
      </c>
      <c r="AC129" s="3" t="inlineStr">
        <is>
          <t>original_files/R03475/supplementary/supplementary__e076e49096bc6bd6.docx</t>
        </is>
      </c>
      <c r="AD129" s="3" t="inlineStr">
        <is>
          <t>https://github.com/Colliam-Vermilion/FirstCodex/blob/results/ad-oxygen-literature-20261006/results/ad-oxygen-literature-20261006/original_files/R03475/fulltext/fulltext__published__87798503de877f9d.pdf</t>
        </is>
      </c>
    </row>
    <row r="130" ht="48" customHeight="1">
      <c r="A130" s="2" t="inlineStr">
        <is>
          <t>R03575</t>
        </is>
      </c>
      <c r="B130" s="2" t="inlineStr">
        <is>
          <t>The effects of pre-aeration and inoculation on solid-state anaerobic digestion of rice straw</t>
        </is>
      </c>
      <c r="C130" s="2" t="inlineStr">
        <is>
          <t>2017</t>
        </is>
      </c>
      <c r="D130" s="2" t="inlineStr">
        <is>
          <t>2017</t>
        </is>
      </c>
      <c r="E130" s="2" t="inlineStr">
        <is>
          <t>10.1016/j.biortech.2016.11.104</t>
        </is>
      </c>
      <c r="F130" s="2" t="inlineStr">
        <is>
          <t>期刊文章</t>
        </is>
      </c>
      <c r="G130" s="2" t="inlineStr">
        <is>
          <t>3 独立好氧或微好氧预处理</t>
        </is>
      </c>
      <c r="H130" s="2" t="inlineStr">
        <is>
          <t>是</t>
        </is>
      </c>
      <c r="I130" s="2" t="inlineStr">
        <is>
          <t>研究类</t>
        </is>
      </c>
      <c r="J130" s="2" t="inlineStr">
        <is>
          <t>是</t>
        </is>
      </c>
      <c r="K130" s="2" t="inlineStr">
        <is>
          <t>BIORESOURCE TECHNOLOGY</t>
        </is>
      </c>
      <c r="L130" s="2" t="inlineStr">
        <is>
          <t>Bioresource Technology</t>
        </is>
      </c>
      <c r="M130" s="2" t="inlineStr">
        <is>
          <t>0960-8524</t>
        </is>
      </c>
      <c r="N130" s="2" t="inlineStr"/>
      <c r="O130" s="2" t="inlineStr">
        <is>
          <t>已取得核验全文</t>
        </is>
      </c>
      <c r="P130" s="2" t="inlineStr">
        <is>
          <t>是</t>
        </is>
      </c>
      <c r="Q130" s="2" t="inlineStr">
        <is>
          <t>当前无补充材料原件；沿用既有缺失/无附件证据，不据此认定无附件</t>
        </is>
      </c>
      <c r="R130" s="2" t="n">
        <v>2024</v>
      </c>
      <c r="S130" s="2" t="inlineStr">
        <is>
          <t>2025发布版（2024指标年）</t>
        </is>
      </c>
      <c r="T130" s="2" t="inlineStr">
        <is>
          <t>AGRICULTURAL ENGINEERING; BIOTECHNOLOGY &amp; APPLIED MICROBIOLOGY; ENERGY &amp; FUELS</t>
        </is>
      </c>
      <c r="U130" s="2" t="inlineStr">
        <is>
          <t>AGRICULTURAL ENGINEERING: Q1; BIOTECHNOLOGY &amp; APPLIED MICROBIOLOGY: Q1; ENERGY &amp; FUELS: Q1</t>
        </is>
      </c>
      <c r="V130" s="4" t="inlineStr">
        <is>
          <t>是</t>
        </is>
      </c>
      <c r="W130" s="4" t="inlineStr">
        <is>
          <t>是</t>
        </is>
      </c>
      <c r="X130" s="2" t="inlineStr">
        <is>
          <t>是</t>
        </is>
      </c>
      <c r="Y130" s="2" t="inlineStr">
        <is>
          <t>https://topj.lib.whu.edu.cn/show.asp?cat=zk&amp;id=3976</t>
        </is>
      </c>
      <c r="Z130" s="2" t="inlineStr">
        <is>
          <t>https://api.crossref.org/works/10.1016/j.biortech.2016.11.104</t>
        </is>
      </c>
      <c r="AA13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30" s="2" t="inlineStr">
        <is>
          <t>original_files/R03575/fulltext/fulltext__published__736bf01b6ba7c6e7.pdf</t>
        </is>
      </c>
      <c r="AC130" s="2" t="inlineStr"/>
      <c r="AD130" s="2" t="inlineStr">
        <is>
          <t>https://github.com/Colliam-Vermilion/FirstCodex/blob/results/ad-oxygen-literature-20261006/results/ad-oxygen-literature-20261006/original_files/R03575/fulltext/fulltext__published__736bf01b6ba7c6e7.pdf</t>
        </is>
      </c>
    </row>
    <row r="131" ht="48" customHeight="1">
      <c r="A131" s="3" t="inlineStr">
        <is>
          <t>R03737</t>
        </is>
      </c>
      <c r="B131" s="3" t="inlineStr">
        <is>
          <t>Biochemical and microbial changes reveal how aerobic pre-treatment impacts anaerobic biodegradability of food waste</t>
        </is>
      </c>
      <c r="C131" s="3" t="inlineStr">
        <is>
          <t>2018</t>
        </is>
      </c>
      <c r="D131" s="3" t="inlineStr">
        <is>
          <t>2018</t>
        </is>
      </c>
      <c r="E131" s="3" t="inlineStr">
        <is>
          <t>10.1016/j.wasman.2018.09.011</t>
        </is>
      </c>
      <c r="F131" s="3" t="inlineStr">
        <is>
          <t>期刊文章</t>
        </is>
      </c>
      <c r="G131" s="3" t="inlineStr">
        <is>
          <t>3 独立好氧或微好氧预处理</t>
        </is>
      </c>
      <c r="H131" s="3" t="inlineStr">
        <is>
          <t>是</t>
        </is>
      </c>
      <c r="I131" s="3" t="inlineStr">
        <is>
          <t>研究类</t>
        </is>
      </c>
      <c r="J131" s="3" t="inlineStr">
        <is>
          <t>是</t>
        </is>
      </c>
      <c r="K131" s="3" t="inlineStr">
        <is>
          <t>Waste Management</t>
        </is>
      </c>
      <c r="L131" s="3" t="inlineStr">
        <is>
          <t>Waste Management</t>
        </is>
      </c>
      <c r="M131" s="3" t="inlineStr">
        <is>
          <t>0956-053X</t>
        </is>
      </c>
      <c r="N131" s="3" t="inlineStr"/>
      <c r="O131" s="3" t="inlineStr">
        <is>
          <t>已取得核验全文</t>
        </is>
      </c>
      <c r="P131" s="3" t="inlineStr">
        <is>
          <t>是</t>
        </is>
      </c>
      <c r="Q131" s="3" t="inlineStr">
        <is>
          <t>当前无补充材料原件；沿用既有缺失/无附件证据，不据此认定无附件</t>
        </is>
      </c>
      <c r="R131" s="3" t="n">
        <v>2024</v>
      </c>
      <c r="S131" s="3" t="inlineStr">
        <is>
          <t>2025发布版（2024指标年）</t>
        </is>
      </c>
      <c r="T131" s="3" t="inlineStr">
        <is>
          <t>ENGINEERING, ENVIRONMENTAL; ENVIRONMENTAL SCIENCES</t>
        </is>
      </c>
      <c r="U131" s="3" t="inlineStr">
        <is>
          <t>ENGINEERING, ENVIRONMENTAL: Q1; ENVIRONMENTAL SCIENCES: Q1</t>
        </is>
      </c>
      <c r="V131" s="4" t="inlineStr">
        <is>
          <t>是</t>
        </is>
      </c>
      <c r="W131" s="4" t="inlineStr">
        <is>
          <t>是</t>
        </is>
      </c>
      <c r="X131" s="3" t="inlineStr">
        <is>
          <t>是</t>
        </is>
      </c>
      <c r="Y131" s="3" t="inlineStr">
        <is>
          <t>https://topj.lib.whu.edu.cn/show.asp?cat=zk&amp;id=4000</t>
        </is>
      </c>
      <c r="Z131" s="3" t="inlineStr">
        <is>
          <t>https://api.crossref.org/works/10.1016/j.wasman.2018.09.011</t>
        </is>
      </c>
      <c r="AA13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31" s="3" t="inlineStr">
        <is>
          <t>original_files/R03737/fulltext/fulltext__published__a01cf0612b37cb24.pdf</t>
        </is>
      </c>
      <c r="AC131" s="3" t="inlineStr"/>
      <c r="AD131" s="3" t="inlineStr">
        <is>
          <t>https://github.com/Colliam-Vermilion/FirstCodex/blob/results/ad-oxygen-literature-20261006/results/ad-oxygen-literature-20261006/original_files/R03737/fulltext/fulltext__published__a01cf0612b37cb24.pdf</t>
        </is>
      </c>
    </row>
    <row r="132" ht="48" customHeight="1">
      <c r="A132" s="2" t="inlineStr">
        <is>
          <t>R04028</t>
        </is>
      </c>
      <c r="B132" s="2" t="inlineStr">
        <is>
          <t>Improved methane production from corn straw by microaerobic pretreatment with a pure bacteria system</t>
        </is>
      </c>
      <c r="C132" s="2" t="inlineStr">
        <is>
          <t>2018</t>
        </is>
      </c>
      <c r="D132" s="2" t="inlineStr">
        <is>
          <t>2018</t>
        </is>
      </c>
      <c r="E132" s="2" t="inlineStr">
        <is>
          <t>10.1016/j.biortech.2018.02.046</t>
        </is>
      </c>
      <c r="F132" s="2" t="inlineStr">
        <is>
          <t>期刊文章</t>
        </is>
      </c>
      <c r="G132" s="2" t="inlineStr">
        <is>
          <t>3 独立好氧或微好氧预处理</t>
        </is>
      </c>
      <c r="H132" s="2" t="inlineStr">
        <is>
          <t>是</t>
        </is>
      </c>
      <c r="I132" s="2" t="inlineStr">
        <is>
          <t>研究类</t>
        </is>
      </c>
      <c r="J132" s="2" t="inlineStr">
        <is>
          <t>是</t>
        </is>
      </c>
      <c r="K132" s="2" t="inlineStr">
        <is>
          <t>BIORESOURCE TECHNOLOGY</t>
        </is>
      </c>
      <c r="L132" s="2" t="inlineStr">
        <is>
          <t>Bioresource Technology</t>
        </is>
      </c>
      <c r="M132" s="2" t="inlineStr">
        <is>
          <t>0960-8524</t>
        </is>
      </c>
      <c r="N132" s="2" t="inlineStr"/>
      <c r="O132" s="2" t="inlineStr">
        <is>
          <t>已取得核验全文</t>
        </is>
      </c>
      <c r="P132" s="2" t="inlineStr">
        <is>
          <t>是</t>
        </is>
      </c>
      <c r="Q132" s="2" t="inlineStr">
        <is>
          <t>当前无补充材料原件；沿用既有缺失/无附件证据，不据此认定无附件</t>
        </is>
      </c>
      <c r="R132" s="2" t="n">
        <v>2024</v>
      </c>
      <c r="S132" s="2" t="inlineStr">
        <is>
          <t>2025发布版（2024指标年）</t>
        </is>
      </c>
      <c r="T132" s="2" t="inlineStr">
        <is>
          <t>AGRICULTURAL ENGINEERING; BIOTECHNOLOGY &amp; APPLIED MICROBIOLOGY; ENERGY &amp; FUELS</t>
        </is>
      </c>
      <c r="U132" s="2" t="inlineStr">
        <is>
          <t>AGRICULTURAL ENGINEERING: Q1; BIOTECHNOLOGY &amp; APPLIED MICROBIOLOGY: Q1; ENERGY &amp; FUELS: Q1</t>
        </is>
      </c>
      <c r="V132" s="4" t="inlineStr">
        <is>
          <t>是</t>
        </is>
      </c>
      <c r="W132" s="4" t="inlineStr">
        <is>
          <t>是</t>
        </is>
      </c>
      <c r="X132" s="2" t="inlineStr">
        <is>
          <t>是</t>
        </is>
      </c>
      <c r="Y132" s="2" t="inlineStr">
        <is>
          <t>https://topj.lib.whu.edu.cn/show.asp?cat=zk&amp;id=3976</t>
        </is>
      </c>
      <c r="Z132" s="2" t="inlineStr">
        <is>
          <t>https://api.crossref.org/works/10.1016/j.biortech.2018.02.046</t>
        </is>
      </c>
      <c r="AA13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32" s="2" t="inlineStr">
        <is>
          <t>original_files/R04028/fulltext/fulltext__published__6c89d60f8df5d2c8.pdf</t>
        </is>
      </c>
      <c r="AC132" s="2" t="inlineStr"/>
      <c r="AD132" s="2" t="inlineStr">
        <is>
          <t>https://github.com/Colliam-Vermilion/FirstCodex/blob/results/ad-oxygen-literature-20261006/results/ad-oxygen-literature-20261006/original_files/R04028/fulltext/fulltext__published__6c89d60f8df5d2c8.pdf</t>
        </is>
      </c>
    </row>
    <row r="133" ht="48" customHeight="1">
      <c r="A133" s="3" t="inlineStr">
        <is>
          <t>R04324</t>
        </is>
      </c>
      <c r="B133" s="3" t="inlineStr">
        <is>
          <t>Stimulation of methane yield rate from food waste by aerobic pre-treatment</t>
        </is>
      </c>
      <c r="C133" s="3" t="inlineStr">
        <is>
          <t>2018</t>
        </is>
      </c>
      <c r="D133" s="3" t="inlineStr">
        <is>
          <t>2018</t>
        </is>
      </c>
      <c r="E133" s="3" t="inlineStr">
        <is>
          <t>10.1016/j.biortech.2018.04.006</t>
        </is>
      </c>
      <c r="F133" s="3" t="inlineStr">
        <is>
          <t>期刊文章</t>
        </is>
      </c>
      <c r="G133" s="3" t="inlineStr">
        <is>
          <t>3 独立好氧或微好氧预处理</t>
        </is>
      </c>
      <c r="H133" s="3" t="inlineStr">
        <is>
          <t>是</t>
        </is>
      </c>
      <c r="I133" s="3" t="inlineStr">
        <is>
          <t>研究类</t>
        </is>
      </c>
      <c r="J133" s="3" t="inlineStr">
        <is>
          <t>是</t>
        </is>
      </c>
      <c r="K133" s="3" t="inlineStr">
        <is>
          <t>BIORESOURCE TECHNOLOGY</t>
        </is>
      </c>
      <c r="L133" s="3" t="inlineStr">
        <is>
          <t>Bioresource Technology</t>
        </is>
      </c>
      <c r="M133" s="3" t="inlineStr">
        <is>
          <t>0960-8524</t>
        </is>
      </c>
      <c r="N133" s="3" t="inlineStr"/>
      <c r="O133" s="3" t="inlineStr">
        <is>
          <t>已取得核验全文</t>
        </is>
      </c>
      <c r="P133" s="3" t="inlineStr">
        <is>
          <t>是</t>
        </is>
      </c>
      <c r="Q133" s="3" t="inlineStr">
        <is>
          <t>当前无补充材料原件；沿用既有缺失/无附件证据，不据此认定无附件</t>
        </is>
      </c>
      <c r="R133" s="3" t="n">
        <v>2024</v>
      </c>
      <c r="S133" s="3" t="inlineStr">
        <is>
          <t>2025发布版（2024指标年）</t>
        </is>
      </c>
      <c r="T133" s="3" t="inlineStr">
        <is>
          <t>AGRICULTURAL ENGINEERING; BIOTECHNOLOGY &amp; APPLIED MICROBIOLOGY; ENERGY &amp; FUELS</t>
        </is>
      </c>
      <c r="U133" s="3" t="inlineStr">
        <is>
          <t>AGRICULTURAL ENGINEERING: Q1; BIOTECHNOLOGY &amp; APPLIED MICROBIOLOGY: Q1; ENERGY &amp; FUELS: Q1</t>
        </is>
      </c>
      <c r="V133" s="4" t="inlineStr">
        <is>
          <t>是</t>
        </is>
      </c>
      <c r="W133" s="4" t="inlineStr">
        <is>
          <t>是</t>
        </is>
      </c>
      <c r="X133" s="3" t="inlineStr">
        <is>
          <t>是</t>
        </is>
      </c>
      <c r="Y133" s="3" t="inlineStr">
        <is>
          <t>https://topj.lib.whu.edu.cn/show.asp?cat=zk&amp;id=3976</t>
        </is>
      </c>
      <c r="Z133" s="3" t="inlineStr">
        <is>
          <t>https://api.crossref.org/works/10.1016/j.biortech.2018.04.006</t>
        </is>
      </c>
      <c r="AA13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33" s="3" t="inlineStr">
        <is>
          <t>original_files/R04324/fulltext/fulltext__published__1590c60360a46d39.pdf</t>
        </is>
      </c>
      <c r="AC133" s="3" t="inlineStr"/>
      <c r="AD133" s="3" t="inlineStr">
        <is>
          <t>https://github.com/Colliam-Vermilion/FirstCodex/blob/results/ad-oxygen-literature-20261006/results/ad-oxygen-literature-20261006/original_files/R04324/fulltext/fulltext__published__1590c60360a46d39.pdf</t>
        </is>
      </c>
    </row>
    <row r="134" ht="48" customHeight="1">
      <c r="A134" s="2" t="inlineStr">
        <is>
          <t>R04912</t>
        </is>
      </c>
      <c r="B134" s="2" t="inlineStr">
        <is>
          <t>KINETIC MODELLING OF GAS GENERATED FROM ANAEROBIC FERMENTATION OF KITCHEN WASTE WITH MICROAEROBIC PRETREATMENT</t>
        </is>
      </c>
      <c r="C134" s="2" t="inlineStr">
        <is>
          <t>2019</t>
        </is>
      </c>
      <c r="D134" s="2" t="inlineStr">
        <is>
          <t>2019</t>
        </is>
      </c>
      <c r="E134" s="2" t="inlineStr">
        <is>
          <t>10.15666/aeer/1705_1067110683</t>
        </is>
      </c>
      <c r="F134" s="2" t="inlineStr">
        <is>
          <t>期刊文章</t>
        </is>
      </c>
      <c r="G134" s="2" t="inlineStr">
        <is>
          <t>3 独立好氧或微好氧预处理</t>
        </is>
      </c>
      <c r="H134" s="2" t="inlineStr">
        <is>
          <t>是</t>
        </is>
      </c>
      <c r="I134" s="2" t="inlineStr">
        <is>
          <t>研究类</t>
        </is>
      </c>
      <c r="J134" s="2" t="inlineStr">
        <is>
          <t>是</t>
        </is>
      </c>
      <c r="K134" s="2" t="inlineStr">
        <is>
          <t>APPLIED ECOLOGY AND ENVIRONMENTAL RESEARCH</t>
        </is>
      </c>
      <c r="L134" s="2" t="inlineStr">
        <is>
          <t>Applied Ecology and Environmental Research</t>
        </is>
      </c>
      <c r="M134" s="2" t="inlineStr">
        <is>
          <t>1589-1623</t>
        </is>
      </c>
      <c r="N134" s="2" t="inlineStr">
        <is>
          <t>1785-0037</t>
        </is>
      </c>
      <c r="O134" s="2" t="inlineStr">
        <is>
          <t>已取得核验全文</t>
        </is>
      </c>
      <c r="P134" s="2" t="inlineStr">
        <is>
          <t>是</t>
        </is>
      </c>
      <c r="Q134" s="2" t="inlineStr">
        <is>
          <t>当前无补充材料原件；沿用既有缺失/无附件证据，不据此认定无附件</t>
        </is>
      </c>
      <c r="R134" s="2" t="n">
        <v>2024</v>
      </c>
      <c r="S134" s="2" t="inlineStr">
        <is>
          <t>2025发布版（2024指标年）</t>
        </is>
      </c>
      <c r="T134" s="2" t="inlineStr">
        <is>
          <t>ECOLOGY; ENVIRONMENTAL SCIENCES</t>
        </is>
      </c>
      <c r="U134" s="2" t="inlineStr">
        <is>
          <t>ECOLOGY: Q4; ENVIRONMENTAL SCIENCES: Q4</t>
        </is>
      </c>
      <c r="V134" s="2" t="inlineStr">
        <is>
          <t>否</t>
        </is>
      </c>
      <c r="W134" s="2" t="inlineStr">
        <is>
          <t>否</t>
        </is>
      </c>
      <c r="X134" s="2" t="inlineStr">
        <is>
          <t>是</t>
        </is>
      </c>
      <c r="Y134" s="2" t="inlineStr">
        <is>
          <t>https://topj.lib.whu.edu.cn/show.asp?cat=sci&amp;id=7203</t>
        </is>
      </c>
      <c r="Z134" s="2" t="inlineStr">
        <is>
          <t>https://api.crossref.org/works/10.15666/aeer/1705_1067110683</t>
        </is>
      </c>
      <c r="AA13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34" s="2" t="inlineStr">
        <is>
          <t>original_files/R04912/fulltext/fulltext__published__ba09ba8854601318.pdf</t>
        </is>
      </c>
      <c r="AC134" s="2" t="inlineStr"/>
      <c r="AD134" s="2" t="inlineStr">
        <is>
          <t>https://github.com/Colliam-Vermilion/FirstCodex/blob/results/ad-oxygen-literature-20261006/results/ad-oxygen-literature-20261006/original_files/R04912/fulltext/fulltext__published__ba09ba8854601318.pdf</t>
        </is>
      </c>
    </row>
    <row r="135" ht="48" customHeight="1">
      <c r="A135" s="3" t="inlineStr">
        <is>
          <t>R05542</t>
        </is>
      </c>
      <c r="B135" s="3" t="inlineStr">
        <is>
          <t>Effect of micro-aerobic process on improvement of anaerobic digestion sewage sludge treatment: flow cytometry and ATP assessment</t>
        </is>
      </c>
      <c r="C135" s="3" t="inlineStr">
        <is>
          <t>2020</t>
        </is>
      </c>
      <c r="D135" s="3" t="inlineStr">
        <is>
          <t>2020</t>
        </is>
      </c>
      <c r="E135" s="3" t="inlineStr">
        <is>
          <t>10.1039/d0ra05540a</t>
        </is>
      </c>
      <c r="F135" s="3" t="inlineStr">
        <is>
          <t>期刊文章</t>
        </is>
      </c>
      <c r="G135" s="3" t="inlineStr">
        <is>
          <t>3 独立好氧或微好氧预处理</t>
        </is>
      </c>
      <c r="H135" s="3" t="inlineStr">
        <is>
          <t>是</t>
        </is>
      </c>
      <c r="I135" s="3" t="inlineStr">
        <is>
          <t>研究类</t>
        </is>
      </c>
      <c r="J135" s="3" t="inlineStr">
        <is>
          <t>是</t>
        </is>
      </c>
      <c r="K135" s="3" t="inlineStr">
        <is>
          <t>RSC Advances</t>
        </is>
      </c>
      <c r="L135" s="3" t="inlineStr">
        <is>
          <t>RSC Advances</t>
        </is>
      </c>
      <c r="M135" s="3" t="inlineStr"/>
      <c r="N135" s="3" t="inlineStr">
        <is>
          <t>2046-2069</t>
        </is>
      </c>
      <c r="O135" s="3" t="inlineStr">
        <is>
          <t>已取得核验全文</t>
        </is>
      </c>
      <c r="P135" s="3" t="inlineStr">
        <is>
          <t>是</t>
        </is>
      </c>
      <c r="Q135" s="3" t="inlineStr">
        <is>
          <t>当前无补充材料原件；沿用既有缺失/无附件证据，不据此认定无附件</t>
        </is>
      </c>
      <c r="R135" s="3" t="n">
        <v>2024</v>
      </c>
      <c r="S135" s="3" t="inlineStr">
        <is>
          <t>2025发布版（2024指标年）</t>
        </is>
      </c>
      <c r="T135" s="3" t="inlineStr"/>
      <c r="U135" s="3" t="inlineStr"/>
      <c r="V135" s="3" t="inlineStr">
        <is>
          <t>待核实</t>
        </is>
      </c>
      <c r="W135" s="3" t="inlineStr">
        <is>
          <t>待核实</t>
        </is>
      </c>
      <c r="X135" s="3" t="inlineStr">
        <is>
          <t>否</t>
        </is>
      </c>
      <c r="Y135" s="3" t="inlineStr"/>
      <c r="Z135" s="3" t="inlineStr">
        <is>
          <t>https://api.crossref.org/works/10.1039/d0ra05540a</t>
        </is>
      </c>
      <c r="AA135" s="3" t="inlineStr">
        <is>
          <t>2024指标年JCR分区未核实；空白不能当非Q1。需要2025发布版/2024指标年的JCR全部学科导出。</t>
        </is>
      </c>
      <c r="AB135" s="3" t="inlineStr">
        <is>
          <t>original_files/R05542/fulltext/fulltext__published__735560cdb2769e25.pdf</t>
        </is>
      </c>
      <c r="AC135" s="3" t="inlineStr"/>
      <c r="AD135" s="3" t="inlineStr">
        <is>
          <t>https://github.com/Colliam-Vermilion/FirstCodex/blob/results/ad-oxygen-literature-20261006/results/ad-oxygen-literature-20261006/original_files/R05542/fulltext/fulltext__published__735560cdb2769e25.pdf</t>
        </is>
      </c>
    </row>
    <row r="136" ht="48" customHeight="1">
      <c r="A136" s="2" t="inlineStr">
        <is>
          <t>R05732</t>
        </is>
      </c>
      <c r="B136" s="2" t="inlineStr">
        <is>
          <t>Improving methane productivity of waste activated sludge by ultrasound and alkali pretreatment in microbial electrolysis cell and anaerobic digestion coupled system</t>
        </is>
      </c>
      <c r="C136" s="2" t="inlineStr">
        <is>
          <t>2020</t>
        </is>
      </c>
      <c r="D136" s="2" t="inlineStr">
        <is>
          <t>2020</t>
        </is>
      </c>
      <c r="E136" s="2" t="inlineStr">
        <is>
          <t>10.1016/j.envres.2019.108863</t>
        </is>
      </c>
      <c r="F136" s="2" t="inlineStr">
        <is>
          <t>期刊文章</t>
        </is>
      </c>
      <c r="G136" s="2" t="inlineStr">
        <is>
          <t>3 独立好氧或微好氧预处理</t>
        </is>
      </c>
      <c r="H136" s="2" t="inlineStr">
        <is>
          <t>是</t>
        </is>
      </c>
      <c r="I136" s="2" t="inlineStr">
        <is>
          <t>研究类</t>
        </is>
      </c>
      <c r="J136" s="2" t="inlineStr">
        <is>
          <t>是</t>
        </is>
      </c>
      <c r="K136" s="2" t="inlineStr">
        <is>
          <t>ENVIRONMENTAL RESEARCH</t>
        </is>
      </c>
      <c r="L136" s="2" t="inlineStr">
        <is>
          <t>Environmental Research</t>
        </is>
      </c>
      <c r="M136" s="2" t="inlineStr">
        <is>
          <t>0013-9351</t>
        </is>
      </c>
      <c r="N136" s="2" t="inlineStr"/>
      <c r="O136" s="2" t="inlineStr">
        <is>
          <t>已取得核验全文</t>
        </is>
      </c>
      <c r="P136" s="2" t="inlineStr">
        <is>
          <t>是</t>
        </is>
      </c>
      <c r="Q136" s="2" t="inlineStr">
        <is>
          <t>当前无补充材料原件；沿用既有缺失/无附件证据，不据此认定无附件</t>
        </is>
      </c>
      <c r="R136" s="2" t="n">
        <v>2024</v>
      </c>
      <c r="S136" s="2" t="inlineStr">
        <is>
          <t>2025发布版（2024指标年）</t>
        </is>
      </c>
      <c r="T136" s="2" t="inlineStr">
        <is>
          <t>ENVIRONMENTAL SCIENCES; PUBLIC, ENVIRONMENTAL &amp; OCCUPATIONAL HEALTH</t>
        </is>
      </c>
      <c r="U136" s="2" t="inlineStr">
        <is>
          <t>ENVIRONMENTAL SCIENCES: Q1; PUBLIC, ENVIRONMENTAL &amp; OCCUPATIONAL HEALTH: Q1</t>
        </is>
      </c>
      <c r="V136" s="4" t="inlineStr">
        <is>
          <t>是</t>
        </is>
      </c>
      <c r="W136" s="4" t="inlineStr">
        <is>
          <t>是</t>
        </is>
      </c>
      <c r="X136" s="2" t="inlineStr">
        <is>
          <t>是</t>
        </is>
      </c>
      <c r="Y136" s="2" t="inlineStr">
        <is>
          <t>https://topj.lib.whu.edu.cn/show.asp?cat=esi&amp;id=3602</t>
        </is>
      </c>
      <c r="Z136" s="2" t="inlineStr">
        <is>
          <t>https://api.crossref.org/works/10.1016/j.envres.2019.108863</t>
        </is>
      </c>
      <c r="AA13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36" s="2" t="inlineStr">
        <is>
          <t>original_files/R05732/fulltext/fulltext__published__078e2afd9876122d.pdf</t>
        </is>
      </c>
      <c r="AC136" s="2" t="inlineStr"/>
      <c r="AD136" s="2" t="inlineStr">
        <is>
          <t>https://github.com/Colliam-Vermilion/FirstCodex/blob/results/ad-oxygen-literature-20261006/results/ad-oxygen-literature-20261006/original_files/R05732/fulltext/fulltext__published__078e2afd9876122d.pdf</t>
        </is>
      </c>
    </row>
    <row r="137" ht="48" customHeight="1">
      <c r="A137" s="3" t="inlineStr">
        <is>
          <t>R06325</t>
        </is>
      </c>
      <c r="B137" s="3" t="inlineStr">
        <is>
          <t>Anaerobic and Microaerobic Pretreatment for Improving Methane Production From Paper Waste in Anaerobic Digestion</t>
        </is>
      </c>
      <c r="C137" s="3" t="inlineStr">
        <is>
          <t>2021</t>
        </is>
      </c>
      <c r="D137" s="3" t="inlineStr">
        <is>
          <t>2021</t>
        </is>
      </c>
      <c r="E137" s="3" t="inlineStr">
        <is>
          <t>10.3389/fmicb.2021.688290</t>
        </is>
      </c>
      <c r="F137" s="3" t="inlineStr">
        <is>
          <t>期刊文章</t>
        </is>
      </c>
      <c r="G137" s="3" t="inlineStr">
        <is>
          <t>3 独立好氧或微好氧预处理</t>
        </is>
      </c>
      <c r="H137" s="3" t="inlineStr">
        <is>
          <t>是</t>
        </is>
      </c>
      <c r="I137" s="3" t="inlineStr">
        <is>
          <t>研究类</t>
        </is>
      </c>
      <c r="J137" s="3" t="inlineStr">
        <is>
          <t>是</t>
        </is>
      </c>
      <c r="K137" s="3" t="inlineStr">
        <is>
          <t>Frontiers in Microbiology</t>
        </is>
      </c>
      <c r="L137" s="3" t="inlineStr">
        <is>
          <t>Frontiers in Microbiology</t>
        </is>
      </c>
      <c r="M137" s="3" t="inlineStr"/>
      <c r="N137" s="3" t="inlineStr">
        <is>
          <t>1664-302X</t>
        </is>
      </c>
      <c r="O137" s="3" t="inlineStr">
        <is>
          <t>已取得核验全文</t>
        </is>
      </c>
      <c r="P137" s="3" t="inlineStr">
        <is>
          <t>是</t>
        </is>
      </c>
      <c r="Q137" s="3" t="inlineStr">
        <is>
          <t>已取得2件原格式补充材料；其中0件唯一关联待核实；完整性未确认</t>
        </is>
      </c>
      <c r="R137" s="3" t="n">
        <v>2024</v>
      </c>
      <c r="S137" s="3" t="inlineStr">
        <is>
          <t>2025发布版（2024指标年）</t>
        </is>
      </c>
      <c r="T137" s="3" t="inlineStr"/>
      <c r="U137" s="3" t="inlineStr"/>
      <c r="V137" s="3" t="inlineStr">
        <is>
          <t>待核实</t>
        </is>
      </c>
      <c r="W137" s="3" t="inlineStr">
        <is>
          <t>待核实</t>
        </is>
      </c>
      <c r="X137" s="3" t="inlineStr">
        <is>
          <t>否</t>
        </is>
      </c>
      <c r="Y137" s="3" t="inlineStr"/>
      <c r="Z137" s="3" t="inlineStr">
        <is>
          <t>https://api.crossref.org/works/10.3389/fmicb.2021.688290</t>
        </is>
      </c>
      <c r="AA137" s="3" t="inlineStr">
        <is>
          <t>2024指标年JCR分区未核实；空白不能当非Q1。需要2025发布版/2024指标年的JCR全部学科导出。</t>
        </is>
      </c>
      <c r="AB137" s="3" t="inlineStr">
        <is>
          <t>original_files/R06325/fulltext/fulltext__published__884c1fc31e96ef38.pdf</t>
        </is>
      </c>
      <c r="AC137" s="3" t="inlineStr">
        <is>
          <t>original_files/R06325/supplementary/supplementary__2ff3d2f5d4062e84.xlsx; original_files/R06325/supplementary/supplementary__60c80a9d02b6781a.docx</t>
        </is>
      </c>
      <c r="AD137" s="3" t="inlineStr">
        <is>
          <t>https://github.com/Colliam-Vermilion/FirstCodex/blob/results/ad-oxygen-literature-20261006/results/ad-oxygen-literature-20261006/original_files/R06325/fulltext/fulltext__published__884c1fc31e96ef38.pdf</t>
        </is>
      </c>
    </row>
    <row r="138" ht="48" customHeight="1">
      <c r="A138" s="2" t="inlineStr">
        <is>
          <t>R06597</t>
        </is>
      </c>
      <c r="B138" s="2" t="inlineStr">
        <is>
          <t>Effect of microaerobic microbial pretreatment on anaerobic digestion of a lignocellulosic substrate under controlled pH conditions</t>
        </is>
      </c>
      <c r="C138" s="2" t="inlineStr">
        <is>
          <t>2021</t>
        </is>
      </c>
      <c r="D138" s="2" t="inlineStr">
        <is>
          <t>2021</t>
        </is>
      </c>
      <c r="E138" s="2" t="inlineStr">
        <is>
          <t>10.1016/j.biortech.2021.124852</t>
        </is>
      </c>
      <c r="F138" s="2" t="inlineStr">
        <is>
          <t>期刊文章</t>
        </is>
      </c>
      <c r="G138" s="2" t="inlineStr">
        <is>
          <t>3 独立好氧或微好氧预处理</t>
        </is>
      </c>
      <c r="H138" s="2" t="inlineStr">
        <is>
          <t>是</t>
        </is>
      </c>
      <c r="I138" s="2" t="inlineStr">
        <is>
          <t>研究类</t>
        </is>
      </c>
      <c r="J138" s="2" t="inlineStr">
        <is>
          <t>是</t>
        </is>
      </c>
      <c r="K138" s="2" t="inlineStr">
        <is>
          <t>BIORESOURCE TECHNOLOGY</t>
        </is>
      </c>
      <c r="L138" s="2" t="inlineStr">
        <is>
          <t>Bioresource Technology</t>
        </is>
      </c>
      <c r="M138" s="2" t="inlineStr">
        <is>
          <t>0960-8524</t>
        </is>
      </c>
      <c r="N138" s="2" t="inlineStr"/>
      <c r="O138" s="2" t="inlineStr">
        <is>
          <t>已取得核验全文</t>
        </is>
      </c>
      <c r="P138" s="2" t="inlineStr">
        <is>
          <t>是</t>
        </is>
      </c>
      <c r="Q138" s="2" t="inlineStr">
        <is>
          <t>当前无补充材料原件；沿用既有缺失/无附件证据，不据此认定无附件</t>
        </is>
      </c>
      <c r="R138" s="2" t="n">
        <v>2024</v>
      </c>
      <c r="S138" s="2" t="inlineStr">
        <is>
          <t>2025发布版（2024指标年）</t>
        </is>
      </c>
      <c r="T138" s="2" t="inlineStr">
        <is>
          <t>AGRICULTURAL ENGINEERING; BIOTECHNOLOGY &amp; APPLIED MICROBIOLOGY; ENERGY &amp; FUELS</t>
        </is>
      </c>
      <c r="U138" s="2" t="inlineStr">
        <is>
          <t>AGRICULTURAL ENGINEERING: Q1; BIOTECHNOLOGY &amp; APPLIED MICROBIOLOGY: Q1; ENERGY &amp; FUELS: Q1</t>
        </is>
      </c>
      <c r="V138" s="4" t="inlineStr">
        <is>
          <t>是</t>
        </is>
      </c>
      <c r="W138" s="4" t="inlineStr">
        <is>
          <t>是</t>
        </is>
      </c>
      <c r="X138" s="2" t="inlineStr">
        <is>
          <t>是</t>
        </is>
      </c>
      <c r="Y138" s="2" t="inlineStr">
        <is>
          <t>https://topj.lib.whu.edu.cn/show.asp?cat=zk&amp;id=3976</t>
        </is>
      </c>
      <c r="Z138" s="2" t="inlineStr">
        <is>
          <t>https://api.crossref.org/works/10.1016/j.biortech.2021.124852</t>
        </is>
      </c>
      <c r="AA13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38" s="2" t="inlineStr">
        <is>
          <t>original_files/R06597/fulltext/fulltext__published__0675c197731a41f1.pdf</t>
        </is>
      </c>
      <c r="AC138" s="2" t="inlineStr"/>
      <c r="AD138" s="2" t="inlineStr">
        <is>
          <t>https://github.com/Colliam-Vermilion/FirstCodex/blob/results/ad-oxygen-literature-20261006/results/ad-oxygen-literature-20261006/original_files/R06597/fulltext/fulltext__published__0675c197731a41f1.pdf</t>
        </is>
      </c>
    </row>
    <row r="139" ht="48" customHeight="1">
      <c r="A139" s="3" t="inlineStr">
        <is>
          <t>R06611</t>
        </is>
      </c>
      <c r="B139" s="3" t="inlineStr">
        <is>
          <t>Effective pretreatment of lignocellulosic co-substrates using barley straw-adapted microbial consortia to enhanced biomethanation by anaerobic digestion</t>
        </is>
      </c>
      <c r="C139" s="3" t="inlineStr">
        <is>
          <t>2021</t>
        </is>
      </c>
      <c r="D139" s="3" t="inlineStr">
        <is>
          <t>2021</t>
        </is>
      </c>
      <c r="E139" s="3" t="inlineStr">
        <is>
          <t>10.1016/j.biortech.2020.124437</t>
        </is>
      </c>
      <c r="F139" s="3" t="inlineStr">
        <is>
          <t>期刊文章</t>
        </is>
      </c>
      <c r="G139" s="3" t="inlineStr">
        <is>
          <t>3 独立好氧或微好氧预处理</t>
        </is>
      </c>
      <c r="H139" s="3" t="inlineStr">
        <is>
          <t>是</t>
        </is>
      </c>
      <c r="I139" s="3" t="inlineStr">
        <is>
          <t>研究类</t>
        </is>
      </c>
      <c r="J139" s="3" t="inlineStr">
        <is>
          <t>是</t>
        </is>
      </c>
      <c r="K139" s="3" t="inlineStr">
        <is>
          <t>BIORESOURCE TECHNOLOGY</t>
        </is>
      </c>
      <c r="L139" s="3" t="inlineStr">
        <is>
          <t>Bioresource Technology</t>
        </is>
      </c>
      <c r="M139" s="3" t="inlineStr">
        <is>
          <t>0960-8524</t>
        </is>
      </c>
      <c r="N139" s="3" t="inlineStr"/>
      <c r="O139" s="3" t="inlineStr">
        <is>
          <t>已取得核验全文</t>
        </is>
      </c>
      <c r="P139" s="3" t="inlineStr">
        <is>
          <t>是</t>
        </is>
      </c>
      <c r="Q139" s="3" t="inlineStr">
        <is>
          <t>当前无补充材料原件；沿用既有缺失/无附件证据，不据此认定无附件</t>
        </is>
      </c>
      <c r="R139" s="3" t="n">
        <v>2024</v>
      </c>
      <c r="S139" s="3" t="inlineStr">
        <is>
          <t>2025发布版（2024指标年）</t>
        </is>
      </c>
      <c r="T139" s="3" t="inlineStr">
        <is>
          <t>AGRICULTURAL ENGINEERING; BIOTECHNOLOGY &amp; APPLIED MICROBIOLOGY; ENERGY &amp; FUELS</t>
        </is>
      </c>
      <c r="U139" s="3" t="inlineStr">
        <is>
          <t>AGRICULTURAL ENGINEERING: Q1; BIOTECHNOLOGY &amp; APPLIED MICROBIOLOGY: Q1; ENERGY &amp; FUELS: Q1</t>
        </is>
      </c>
      <c r="V139" s="4" t="inlineStr">
        <is>
          <t>是</t>
        </is>
      </c>
      <c r="W139" s="4" t="inlineStr">
        <is>
          <t>是</t>
        </is>
      </c>
      <c r="X139" s="3" t="inlineStr">
        <is>
          <t>是</t>
        </is>
      </c>
      <c r="Y139" s="3" t="inlineStr">
        <is>
          <t>https://topj.lib.whu.edu.cn/show.asp?cat=zk&amp;id=3976</t>
        </is>
      </c>
      <c r="Z139" s="3" t="inlineStr">
        <is>
          <t>https://api.crossref.org/works/10.1016/j.biortech.2020.124437</t>
        </is>
      </c>
      <c r="AA13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39" s="3" t="inlineStr">
        <is>
          <t>original_files/R06611/fulltext/fulltext__accepted__b8eb8afdada2a2d0.pdf</t>
        </is>
      </c>
      <c r="AC139" s="3" t="inlineStr"/>
      <c r="AD139" s="3" t="inlineStr">
        <is>
          <t>https://github.com/Colliam-Vermilion/FirstCodex/blob/results/ad-oxygen-literature-20261006/results/ad-oxygen-literature-20261006/original_files/R06611/fulltext/fulltext__accepted__b8eb8afdada2a2d0.pdf</t>
        </is>
      </c>
    </row>
    <row r="140" ht="48" customHeight="1">
      <c r="A140" s="2" t="inlineStr">
        <is>
          <t>R06623</t>
        </is>
      </c>
      <c r="B140" s="2" t="inlineStr">
        <is>
          <t>Effects of different microbial pretreatments on the anaerobic digestion of giant grass under anaerobic and microaerobic conditions</t>
        </is>
      </c>
      <c r="C140" s="2" t="inlineStr">
        <is>
          <t>2021</t>
        </is>
      </c>
      <c r="D140" s="2" t="inlineStr">
        <is>
          <t>2021</t>
        </is>
      </c>
      <c r="E140" s="2" t="inlineStr">
        <is>
          <t>10.1016/j.biortech.2021.125456</t>
        </is>
      </c>
      <c r="F140" s="2" t="inlineStr">
        <is>
          <t>期刊文章</t>
        </is>
      </c>
      <c r="G140" s="2" t="inlineStr">
        <is>
          <t>3 独立好氧或微好氧预处理</t>
        </is>
      </c>
      <c r="H140" s="2" t="inlineStr">
        <is>
          <t>是</t>
        </is>
      </c>
      <c r="I140" s="2" t="inlineStr">
        <is>
          <t>研究类</t>
        </is>
      </c>
      <c r="J140" s="2" t="inlineStr">
        <is>
          <t>是</t>
        </is>
      </c>
      <c r="K140" s="2" t="inlineStr">
        <is>
          <t>BIORESOURCE TECHNOLOGY</t>
        </is>
      </c>
      <c r="L140" s="2" t="inlineStr">
        <is>
          <t>Bioresource Technology</t>
        </is>
      </c>
      <c r="M140" s="2" t="inlineStr">
        <is>
          <t>0960-8524</t>
        </is>
      </c>
      <c r="N140" s="2" t="inlineStr"/>
      <c r="O140" s="2" t="inlineStr">
        <is>
          <t>已取得核验全文</t>
        </is>
      </c>
      <c r="P140" s="2" t="inlineStr">
        <is>
          <t>是</t>
        </is>
      </c>
      <c r="Q140" s="2" t="inlineStr">
        <is>
          <t>已取得1件原格式补充材料；其中1件唯一关联待核实；完整性未确认</t>
        </is>
      </c>
      <c r="R140" s="2" t="n">
        <v>2024</v>
      </c>
      <c r="S140" s="2" t="inlineStr">
        <is>
          <t>2025发布版（2024指标年）</t>
        </is>
      </c>
      <c r="T140" s="2" t="inlineStr">
        <is>
          <t>AGRICULTURAL ENGINEERING; BIOTECHNOLOGY &amp; APPLIED MICROBIOLOGY; ENERGY &amp; FUELS</t>
        </is>
      </c>
      <c r="U140" s="2" t="inlineStr">
        <is>
          <t>AGRICULTURAL ENGINEERING: Q1; BIOTECHNOLOGY &amp; APPLIED MICROBIOLOGY: Q1; ENERGY &amp; FUELS: Q1</t>
        </is>
      </c>
      <c r="V140" s="4" t="inlineStr">
        <is>
          <t>是</t>
        </is>
      </c>
      <c r="W140" s="4" t="inlineStr">
        <is>
          <t>是</t>
        </is>
      </c>
      <c r="X140" s="2" t="inlineStr">
        <is>
          <t>是</t>
        </is>
      </c>
      <c r="Y140" s="2" t="inlineStr">
        <is>
          <t>https://topj.lib.whu.edu.cn/show.asp?cat=zk&amp;id=3976</t>
        </is>
      </c>
      <c r="Z140" s="2" t="inlineStr">
        <is>
          <t>https://api.crossref.org/works/10.1016/j.biortech.2021.125456</t>
        </is>
      </c>
      <c r="AA14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40" s="2" t="inlineStr">
        <is>
          <t>original_files/R06623/fulltext/fulltext__published__b851282fe77da6cc.pdf</t>
        </is>
      </c>
      <c r="AC140" s="2" t="inlineStr">
        <is>
          <t>original_files/R06623/supplementary/supplementary__0026b62bc0e14fd9.docx</t>
        </is>
      </c>
      <c r="AD140" s="2" t="inlineStr">
        <is>
          <t>https://github.com/Colliam-Vermilion/FirstCodex/blob/results/ad-oxygen-literature-20261006/results/ad-oxygen-literature-20261006/original_files/R06623/fulltext/fulltext__published__b851282fe77da6cc.pdf</t>
        </is>
      </c>
    </row>
    <row r="141" ht="48" customHeight="1">
      <c r="A141" s="3" t="inlineStr">
        <is>
          <t>R07238</t>
        </is>
      </c>
      <c r="B141" s="3" t="inlineStr">
        <is>
          <t>The influence of combined low-strength ultrasonics and micro-aerobic pretreatment process on methane generation and sludge digestion: Lipase enzyme, microbial activation, and energy yield</t>
        </is>
      </c>
      <c r="C141" s="3" t="inlineStr">
        <is>
          <t>2021</t>
        </is>
      </c>
      <c r="D141" s="3" t="inlineStr">
        <is>
          <t>2021</t>
        </is>
      </c>
      <c r="E141" s="3" t="inlineStr">
        <is>
          <t>10.1016/j.ultsonch.2021.105531</t>
        </is>
      </c>
      <c r="F141" s="3" t="inlineStr">
        <is>
          <t>期刊文章</t>
        </is>
      </c>
      <c r="G141" s="3" t="inlineStr">
        <is>
          <t>3 独立好氧或微好氧预处理</t>
        </is>
      </c>
      <c r="H141" s="3" t="inlineStr">
        <is>
          <t>是</t>
        </is>
      </c>
      <c r="I141" s="3" t="inlineStr">
        <is>
          <t>研究类</t>
        </is>
      </c>
      <c r="J141" s="3" t="inlineStr">
        <is>
          <t>是</t>
        </is>
      </c>
      <c r="K141" s="3" t="inlineStr">
        <is>
          <t>ULTRASONICS SONOCHEMISTRY</t>
        </is>
      </c>
      <c r="L141" s="3" t="inlineStr">
        <is>
          <t>Ultrasonics Sonochemistry</t>
        </is>
      </c>
      <c r="M141" s="3" t="inlineStr">
        <is>
          <t>1350-4177</t>
        </is>
      </c>
      <c r="N141" s="3" t="inlineStr"/>
      <c r="O141" s="3" t="inlineStr">
        <is>
          <t>已取得核验全文</t>
        </is>
      </c>
      <c r="P141" s="3" t="inlineStr">
        <is>
          <t>是</t>
        </is>
      </c>
      <c r="Q141" s="3" t="inlineStr">
        <is>
          <t>已取得2件原格式补充材料；其中0件唯一关联待核实；完整性未确认</t>
        </is>
      </c>
      <c r="R141" s="3" t="n">
        <v>2024</v>
      </c>
      <c r="S141" s="3" t="inlineStr">
        <is>
          <t>2025发布版（2024指标年）</t>
        </is>
      </c>
      <c r="T141" s="3" t="inlineStr">
        <is>
          <t>ACOUSTICS; CHEMISTRY, MULTIDISCIPLINARY</t>
        </is>
      </c>
      <c r="U141" s="3" t="inlineStr">
        <is>
          <t>ACOUSTICS: Q1; CHEMISTRY, MULTIDISCIPLINARY: Q1</t>
        </is>
      </c>
      <c r="V141" s="4" t="inlineStr">
        <is>
          <t>是</t>
        </is>
      </c>
      <c r="W141" s="4" t="inlineStr">
        <is>
          <t>是</t>
        </is>
      </c>
      <c r="X141" s="3" t="inlineStr">
        <is>
          <t>是</t>
        </is>
      </c>
      <c r="Y141" s="3" t="inlineStr">
        <is>
          <t>https://topj.lib.whu.edu.cn/show.asp?cat=sci&amp;id=3541</t>
        </is>
      </c>
      <c r="Z141" s="3" t="inlineStr">
        <is>
          <t>https://api.crossref.org/works/10.1016/j.ultsonch.2021.105531</t>
        </is>
      </c>
      <c r="AA14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41" s="3" t="inlineStr">
        <is>
          <t>original_files/R07238/fulltext/fulltext__published__26c38d1631747ddc.pdf</t>
        </is>
      </c>
      <c r="AC141" s="3" t="inlineStr">
        <is>
          <t>original_files/R07238/supplementary/supplementary__0b7925ad1ed9c793.docx; original_files/R07238/supplementary/supplementary__f346f9bdcc964013.zip</t>
        </is>
      </c>
      <c r="AD141" s="3" t="inlineStr">
        <is>
          <t>https://github.com/Colliam-Vermilion/FirstCodex/blob/results/ad-oxygen-literature-20261006/results/ad-oxygen-literature-20261006/original_files/R07238/fulltext/fulltext__published__26c38d1631747ddc.pdf</t>
        </is>
      </c>
    </row>
    <row r="142" ht="48" customHeight="1">
      <c r="A142" s="2" t="inlineStr">
        <is>
          <t>R07641</t>
        </is>
      </c>
      <c r="B142" s="2" t="inlineStr">
        <is>
          <t>Determination of the biochemical methane potential of food waste after aerobic storage and aeration pretreatment</t>
        </is>
      </c>
      <c r="C142" s="2" t="inlineStr">
        <is>
          <t>2022</t>
        </is>
      </c>
      <c r="D142" s="2" t="inlineStr">
        <is>
          <t>2022</t>
        </is>
      </c>
      <c r="E142" s="2" t="inlineStr">
        <is>
          <t>10.1002/bbb.2414</t>
        </is>
      </c>
      <c r="F142" s="2" t="inlineStr">
        <is>
          <t>期刊文章</t>
        </is>
      </c>
      <c r="G142" s="2" t="inlineStr">
        <is>
          <t>3 独立好氧或微好氧预处理</t>
        </is>
      </c>
      <c r="H142" s="2" t="inlineStr">
        <is>
          <t>是</t>
        </is>
      </c>
      <c r="I142" s="2" t="inlineStr">
        <is>
          <t>研究类</t>
        </is>
      </c>
      <c r="J142" s="2" t="inlineStr">
        <is>
          <t>是</t>
        </is>
      </c>
      <c r="K142" s="2" t="inlineStr">
        <is>
          <t>Biofuels, Bioproducts and Biorefining</t>
        </is>
      </c>
      <c r="L142" s="2" t="inlineStr">
        <is>
          <t>Biofuels, Bioproducts and Biorefining</t>
        </is>
      </c>
      <c r="M142" s="2" t="inlineStr">
        <is>
          <t>1932-104X</t>
        </is>
      </c>
      <c r="N142" s="2" t="inlineStr">
        <is>
          <t>1932-1031</t>
        </is>
      </c>
      <c r="O142" s="2" t="inlineStr">
        <is>
          <t>已取得核验全文</t>
        </is>
      </c>
      <c r="P142" s="2" t="inlineStr">
        <is>
          <t>是</t>
        </is>
      </c>
      <c r="Q142" s="2" t="inlineStr">
        <is>
          <t>当前无补充材料原件；沿用既有缺失/无附件证据，不据此认定无附件</t>
        </is>
      </c>
      <c r="R142" s="2" t="n">
        <v>2024</v>
      </c>
      <c r="S142" s="2" t="inlineStr">
        <is>
          <t>2025发布版（2024指标年）</t>
        </is>
      </c>
      <c r="T142" s="2" t="inlineStr"/>
      <c r="U142" s="2" t="inlineStr"/>
      <c r="V142" s="2" t="inlineStr">
        <is>
          <t>待核实</t>
        </is>
      </c>
      <c r="W142" s="2" t="inlineStr">
        <is>
          <t>待核实</t>
        </is>
      </c>
      <c r="X142" s="2" t="inlineStr">
        <is>
          <t>否</t>
        </is>
      </c>
      <c r="Y142" s="2" t="inlineStr"/>
      <c r="Z142" s="2" t="inlineStr">
        <is>
          <t>https://api.crossref.org/works/10.1002/bbb.2414</t>
        </is>
      </c>
      <c r="AA142" s="2" t="inlineStr">
        <is>
          <t>2024指标年JCR分区未核实；空白不能当非Q1。需要2025发布版/2024指标年的JCR全部学科导出。</t>
        </is>
      </c>
      <c r="AB142" s="2" t="inlineStr">
        <is>
          <t>original_files/R07641/fulltext/fulltext__published__1d41d189d5d994e9.pdf</t>
        </is>
      </c>
      <c r="AC142" s="2" t="inlineStr"/>
      <c r="AD142" s="2" t="inlineStr">
        <is>
          <t>https://github.com/Colliam-Vermilion/FirstCodex/blob/results/ad-oxygen-literature-20261006/results/ad-oxygen-literature-20261006/original_files/R07641/fulltext/fulltext__published__1d41d189d5d994e9.pdf</t>
        </is>
      </c>
    </row>
    <row r="143" ht="48" customHeight="1">
      <c r="A143" s="3" t="inlineStr">
        <is>
          <t>R08016</t>
        </is>
      </c>
      <c r="B143" s="3" t="inlineStr">
        <is>
          <t>Micro-Aerobic Pre-Treatment vs. Thermal Pre-Treatment of Waste Activated Sludge for Its Subsequent Anaerobic Digestion in Semi-Continuous Digesters: A Comparative Study</t>
        </is>
      </c>
      <c r="C143" s="3" t="inlineStr">
        <is>
          <t>2022</t>
        </is>
      </c>
      <c r="D143" s="3" t="inlineStr">
        <is>
          <t>2022</t>
        </is>
      </c>
      <c r="E143" s="3" t="inlineStr">
        <is>
          <t>10.3390/fermentation8100565</t>
        </is>
      </c>
      <c r="F143" s="3" t="inlineStr">
        <is>
          <t>期刊文章</t>
        </is>
      </c>
      <c r="G143" s="3" t="inlineStr">
        <is>
          <t>3 独立好氧或微好氧预处理</t>
        </is>
      </c>
      <c r="H143" s="3" t="inlineStr">
        <is>
          <t>是</t>
        </is>
      </c>
      <c r="I143" s="3" t="inlineStr">
        <is>
          <t>研究类</t>
        </is>
      </c>
      <c r="J143" s="3" t="inlineStr">
        <is>
          <t>是</t>
        </is>
      </c>
      <c r="K143" s="3" t="inlineStr">
        <is>
          <t>Fermentation</t>
        </is>
      </c>
      <c r="L143" s="3" t="inlineStr">
        <is>
          <t>Fermentation</t>
        </is>
      </c>
      <c r="M143" s="3" t="inlineStr"/>
      <c r="N143" s="3" t="inlineStr">
        <is>
          <t>2311-5637</t>
        </is>
      </c>
      <c r="O143" s="3" t="inlineStr">
        <is>
          <t>已取得核验全文</t>
        </is>
      </c>
      <c r="P143" s="3" t="inlineStr">
        <is>
          <t>是</t>
        </is>
      </c>
      <c r="Q143" s="3" t="inlineStr">
        <is>
          <t>当前无补充材料原件；沿用既有缺失/无附件证据，不据此认定无附件</t>
        </is>
      </c>
      <c r="R143" s="3" t="n">
        <v>2024</v>
      </c>
      <c r="S143" s="3" t="inlineStr">
        <is>
          <t>2025发布版（2024指标年）</t>
        </is>
      </c>
      <c r="T143" s="3" t="inlineStr"/>
      <c r="U143" s="3" t="inlineStr"/>
      <c r="V143" s="3" t="inlineStr">
        <is>
          <t>待核实</t>
        </is>
      </c>
      <c r="W143" s="3" t="inlineStr">
        <is>
          <t>待核实</t>
        </is>
      </c>
      <c r="X143" s="3" t="inlineStr">
        <is>
          <t>否</t>
        </is>
      </c>
      <c r="Y143" s="3" t="inlineStr"/>
      <c r="Z143" s="3" t="inlineStr">
        <is>
          <t>https://api.crossref.org/works/10.3390/fermentation8100565</t>
        </is>
      </c>
      <c r="AA143" s="3" t="inlineStr">
        <is>
          <t>2024指标年JCR分区未核实；空白不能当非Q1。需要2025发布版/2024指标年的JCR全部学科导出。</t>
        </is>
      </c>
      <c r="AB143" s="3" t="inlineStr">
        <is>
          <t>original_files/R08016/fulltext/fulltext__published__50ed49bc2c646167.pdf</t>
        </is>
      </c>
      <c r="AC143" s="3" t="inlineStr"/>
      <c r="AD143" s="3" t="inlineStr">
        <is>
          <t>https://github.com/Colliam-Vermilion/FirstCodex/blob/results/ad-oxygen-literature-20261006/results/ad-oxygen-literature-20261006/original_files/R08016/fulltext/fulltext__published__50ed49bc2c646167.pdf</t>
        </is>
      </c>
    </row>
    <row r="144" ht="48" customHeight="1">
      <c r="A144" s="2" t="inlineStr">
        <is>
          <t>R10673</t>
        </is>
      </c>
      <c r="B144" s="2" t="inlineStr">
        <is>
          <t>Performance and mechanism of various microaerobic pretreatments on anaerobic digestion of tobacco straw</t>
        </is>
      </c>
      <c r="C144" s="2" t="inlineStr">
        <is>
          <t>2024</t>
        </is>
      </c>
      <c r="D144" s="2" t="inlineStr">
        <is>
          <t>2024</t>
        </is>
      </c>
      <c r="E144" s="2" t="inlineStr">
        <is>
          <t>10.1016/j.biortech.2023.130092</t>
        </is>
      </c>
      <c r="F144" s="2" t="inlineStr">
        <is>
          <t>期刊文章</t>
        </is>
      </c>
      <c r="G144" s="2" t="inlineStr">
        <is>
          <t>3 独立好氧或微好氧预处理</t>
        </is>
      </c>
      <c r="H144" s="2" t="inlineStr">
        <is>
          <t>是</t>
        </is>
      </c>
      <c r="I144" s="2" t="inlineStr">
        <is>
          <t>研究类</t>
        </is>
      </c>
      <c r="J144" s="2" t="inlineStr">
        <is>
          <t>是</t>
        </is>
      </c>
      <c r="K144" s="2" t="inlineStr">
        <is>
          <t>BIORESOURCE TECHNOLOGY</t>
        </is>
      </c>
      <c r="L144" s="2" t="inlineStr">
        <is>
          <t>Bioresource Technology</t>
        </is>
      </c>
      <c r="M144" s="2" t="inlineStr">
        <is>
          <t>0960-8524</t>
        </is>
      </c>
      <c r="N144" s="2" t="inlineStr"/>
      <c r="O144" s="2" t="inlineStr">
        <is>
          <t>已取得核验全文</t>
        </is>
      </c>
      <c r="P144" s="2" t="inlineStr">
        <is>
          <t>是</t>
        </is>
      </c>
      <c r="Q144" s="2" t="inlineStr">
        <is>
          <t>已取得1件原格式补充材料；其中1件唯一关联待核实；完整性未确认</t>
        </is>
      </c>
      <c r="R144" s="2" t="n">
        <v>2024</v>
      </c>
      <c r="S144" s="2" t="inlineStr">
        <is>
          <t>2025发布版（2024指标年）</t>
        </is>
      </c>
      <c r="T144" s="2" t="inlineStr">
        <is>
          <t>AGRICULTURAL ENGINEERING; BIOTECHNOLOGY &amp; APPLIED MICROBIOLOGY; ENERGY &amp; FUELS</t>
        </is>
      </c>
      <c r="U144" s="2" t="inlineStr">
        <is>
          <t>AGRICULTURAL ENGINEERING: Q1; BIOTECHNOLOGY &amp; APPLIED MICROBIOLOGY: Q1; ENERGY &amp; FUELS: Q1</t>
        </is>
      </c>
      <c r="V144" s="4" t="inlineStr">
        <is>
          <t>是</t>
        </is>
      </c>
      <c r="W144" s="4" t="inlineStr">
        <is>
          <t>是</t>
        </is>
      </c>
      <c r="X144" s="2" t="inlineStr">
        <is>
          <t>是</t>
        </is>
      </c>
      <c r="Y144" s="2" t="inlineStr">
        <is>
          <t>https://topj.lib.whu.edu.cn/show.asp?cat=zk&amp;id=3976</t>
        </is>
      </c>
      <c r="Z144" s="2" t="inlineStr">
        <is>
          <t>https://api.crossref.org/works/10.1016/j.biortech.2023.130092</t>
        </is>
      </c>
      <c r="AA14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44" s="2" t="inlineStr">
        <is>
          <t>original_files/R10673/fulltext/fulltext__published__1e69a66f1487f499.pdf</t>
        </is>
      </c>
      <c r="AC144" s="2" t="inlineStr">
        <is>
          <t>original_files/R10673/supplementary/supplementary__a19650cbbe3bc845.docx</t>
        </is>
      </c>
      <c r="AD144" s="2" t="inlineStr">
        <is>
          <t>https://github.com/Colliam-Vermilion/FirstCodex/blob/results/ad-oxygen-literature-20261006/results/ad-oxygen-literature-20261006/original_files/R10673/fulltext/fulltext__published__1e69a66f1487f499.pdf</t>
        </is>
      </c>
    </row>
    <row r="145" ht="48" customHeight="1">
      <c r="A145" s="3" t="inlineStr">
        <is>
          <t>R11094</t>
        </is>
      </c>
      <c r="B145" s="3" t="inlineStr">
        <is>
          <t>Aeration promotes Proteobacteria over Firmicutes in macerated food waste, resulting in superior anaerobic digestion efficiency</t>
        </is>
      </c>
      <c r="C145" s="3" t="inlineStr">
        <is>
          <t>2025</t>
        </is>
      </c>
      <c r="D145" s="3" t="inlineStr">
        <is>
          <t>2025</t>
        </is>
      </c>
      <c r="E145" s="3" t="inlineStr">
        <is>
          <t>10.1093/femsle/fnaf001</t>
        </is>
      </c>
      <c r="F145" s="3" t="inlineStr">
        <is>
          <t>期刊文章</t>
        </is>
      </c>
      <c r="G145" s="3" t="inlineStr">
        <is>
          <t>3 独立好氧或微好氧预处理</t>
        </is>
      </c>
      <c r="H145" s="3" t="inlineStr">
        <is>
          <t>是</t>
        </is>
      </c>
      <c r="I145" s="3" t="inlineStr">
        <is>
          <t>研究类</t>
        </is>
      </c>
      <c r="J145" s="3" t="inlineStr">
        <is>
          <t>是</t>
        </is>
      </c>
      <c r="K145" s="3" t="inlineStr">
        <is>
          <t>FEMS MICROBIOLOGY LETTERS</t>
        </is>
      </c>
      <c r="L145" s="3" t="inlineStr">
        <is>
          <t>FEMS Microbiology Letters</t>
        </is>
      </c>
      <c r="M145" s="3" t="inlineStr"/>
      <c r="N145" s="3" t="inlineStr">
        <is>
          <t>1574-6968</t>
        </is>
      </c>
      <c r="O145" s="3" t="inlineStr">
        <is>
          <t>已取得核验全文</t>
        </is>
      </c>
      <c r="P145" s="3" t="inlineStr">
        <is>
          <t>是</t>
        </is>
      </c>
      <c r="Q145" s="3" t="inlineStr">
        <is>
          <t>已取得3件原格式补充材料；其中3件唯一关联待核实；完整性未确认</t>
        </is>
      </c>
      <c r="R145" s="3" t="n">
        <v>2024</v>
      </c>
      <c r="S145" s="3" t="inlineStr">
        <is>
          <t>2025发布版（2024指标年）</t>
        </is>
      </c>
      <c r="T145" s="3" t="inlineStr">
        <is>
          <t>MICROBIOLOGY</t>
        </is>
      </c>
      <c r="U145" s="3" t="inlineStr">
        <is>
          <t>MICROBIOLOGY: Q3</t>
        </is>
      </c>
      <c r="V145" s="3" t="inlineStr">
        <is>
          <t>否</t>
        </is>
      </c>
      <c r="W145" s="3" t="inlineStr">
        <is>
          <t>否</t>
        </is>
      </c>
      <c r="X145" s="3" t="inlineStr">
        <is>
          <t>是</t>
        </is>
      </c>
      <c r="Y145" s="3" t="inlineStr">
        <is>
          <t>https://topj.lib.whu.edu.cn/show.asp?cat=sci&amp;id=11185</t>
        </is>
      </c>
      <c r="Z145" s="3" t="inlineStr">
        <is>
          <t>https://api.crossref.org/works/10.1093/femsle/fnaf001</t>
        </is>
      </c>
      <c r="AA14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45" s="3" t="inlineStr">
        <is>
          <t>original_files/R11094/fulltext/fulltext__published__d958eb121e895b70.pdf</t>
        </is>
      </c>
      <c r="AC145" s="3" t="inlineStr">
        <is>
          <t>original_files/R11094/supplementary/supplementary__13b62e160ec9e90b.jpg; original_files/R11094/supplementary/supplementary__2b58ff09571434e8.jpg; original_files/R11094/supplementary/supplementary__feba3d05f4f0587d.jpg</t>
        </is>
      </c>
      <c r="AD145" s="3" t="inlineStr">
        <is>
          <t>https://github.com/Colliam-Vermilion/FirstCodex/blob/results/ad-oxygen-literature-20261006/results/ad-oxygen-literature-20261006/original_files/R11094/fulltext/fulltext__published__d958eb121e895b70.pdf</t>
        </is>
      </c>
    </row>
    <row r="146" ht="48" customHeight="1">
      <c r="A146" s="2" t="inlineStr">
        <is>
          <t>R11535</t>
        </is>
      </c>
      <c r="B146" s="2" t="inlineStr">
        <is>
          <t>Enhancing mesophilic methanogenesis in oleate-rich environments through optimized micro-aeration pretreatment</t>
        </is>
      </c>
      <c r="C146" s="2" t="inlineStr">
        <is>
          <t>2025</t>
        </is>
      </c>
      <c r="D146" s="2" t="inlineStr">
        <is>
          <t>2025</t>
        </is>
      </c>
      <c r="E146" s="2" t="inlineStr">
        <is>
          <t>10.1016/j.wasman.2024.12.005</t>
        </is>
      </c>
      <c r="F146" s="2" t="inlineStr">
        <is>
          <t>期刊文章</t>
        </is>
      </c>
      <c r="G146" s="2" t="inlineStr">
        <is>
          <t>3 独立好氧或微好氧预处理</t>
        </is>
      </c>
      <c r="H146" s="2" t="inlineStr">
        <is>
          <t>是</t>
        </is>
      </c>
      <c r="I146" s="2" t="inlineStr">
        <is>
          <t>研究类</t>
        </is>
      </c>
      <c r="J146" s="2" t="inlineStr">
        <is>
          <t>是</t>
        </is>
      </c>
      <c r="K146" s="2" t="inlineStr">
        <is>
          <t>Waste Management</t>
        </is>
      </c>
      <c r="L146" s="2" t="inlineStr">
        <is>
          <t>Waste Management</t>
        </is>
      </c>
      <c r="M146" s="2" t="inlineStr">
        <is>
          <t>0956-053X</t>
        </is>
      </c>
      <c r="N146" s="2" t="inlineStr"/>
      <c r="O146" s="2" t="inlineStr">
        <is>
          <t>已取得核验全文</t>
        </is>
      </c>
      <c r="P146" s="2" t="inlineStr">
        <is>
          <t>是</t>
        </is>
      </c>
      <c r="Q146" s="2" t="inlineStr">
        <is>
          <t>当前无补充材料原件；沿用既有缺失/无附件证据，不据此认定无附件</t>
        </is>
      </c>
      <c r="R146" s="2" t="n">
        <v>2024</v>
      </c>
      <c r="S146" s="2" t="inlineStr">
        <is>
          <t>2025发布版（2024指标年）</t>
        </is>
      </c>
      <c r="T146" s="2" t="inlineStr">
        <is>
          <t>ENGINEERING, ENVIRONMENTAL; ENVIRONMENTAL SCIENCES</t>
        </is>
      </c>
      <c r="U146" s="2" t="inlineStr">
        <is>
          <t>ENGINEERING, ENVIRONMENTAL: Q1; ENVIRONMENTAL SCIENCES: Q1</t>
        </is>
      </c>
      <c r="V146" s="4" t="inlineStr">
        <is>
          <t>是</t>
        </is>
      </c>
      <c r="W146" s="4" t="inlineStr">
        <is>
          <t>是</t>
        </is>
      </c>
      <c r="X146" s="2" t="inlineStr">
        <is>
          <t>是</t>
        </is>
      </c>
      <c r="Y146" s="2" t="inlineStr">
        <is>
          <t>https://topj.lib.whu.edu.cn/show.asp?cat=zk&amp;id=4000</t>
        </is>
      </c>
      <c r="Z146" s="2" t="inlineStr">
        <is>
          <t>https://api.crossref.org/works/10.1016/j.wasman.2024.12.005</t>
        </is>
      </c>
      <c r="AA14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46" s="2" t="inlineStr">
        <is>
          <t>original_files/R11535/fulltext/fulltext__published__e661a51c0976e034.pdf</t>
        </is>
      </c>
      <c r="AC146" s="2" t="inlineStr"/>
      <c r="AD146" s="2" t="inlineStr">
        <is>
          <t>https://github.com/Colliam-Vermilion/FirstCodex/blob/results/ad-oxygen-literature-20261006/results/ad-oxygen-literature-20261006/original_files/R11535/fulltext/fulltext__published__e661a51c0976e034.pdf</t>
        </is>
      </c>
    </row>
    <row r="147" ht="48" customHeight="1">
      <c r="A147" s="3" t="inlineStr">
        <is>
          <t>R01985</t>
        </is>
      </c>
      <c r="B147" s="3" t="inlineStr">
        <is>
          <t>Microaeration for hydrogen sulfide removal during anaerobic treatment: a review</t>
        </is>
      </c>
      <c r="C147" s="3" t="inlineStr">
        <is>
          <t>2015</t>
        </is>
      </c>
      <c r="D147" s="3" t="inlineStr">
        <is>
          <t>2015</t>
        </is>
      </c>
      <c r="E147" s="3" t="inlineStr">
        <is>
          <t>10.1007/s11157-015-9386-2</t>
        </is>
      </c>
      <c r="F147" s="3" t="inlineStr">
        <is>
          <t>综述</t>
        </is>
      </c>
      <c r="G147" s="3" t="inlineStr">
        <is>
          <t>4 综述</t>
        </is>
      </c>
      <c r="H147" s="3" t="inlineStr">
        <is>
          <t>是</t>
        </is>
      </c>
      <c r="I147" s="3" t="inlineStr">
        <is>
          <t>综述</t>
        </is>
      </c>
      <c r="J147" s="3" t="inlineStr">
        <is>
          <t>是</t>
        </is>
      </c>
      <c r="K147" s="3" t="inlineStr">
        <is>
          <t>Reviews in Environmental Science and Bio/Technology</t>
        </is>
      </c>
      <c r="L147" s="3" t="inlineStr">
        <is>
          <t>Reviews in Environmental Science and Bio/Technology</t>
        </is>
      </c>
      <c r="M147" s="3" t="inlineStr">
        <is>
          <t>1569-1705</t>
        </is>
      </c>
      <c r="N147" s="3" t="inlineStr">
        <is>
          <t>1572-9826</t>
        </is>
      </c>
      <c r="O147" s="3" t="inlineStr">
        <is>
          <t>已取得核验全文</t>
        </is>
      </c>
      <c r="P147" s="3" t="inlineStr">
        <is>
          <t>是</t>
        </is>
      </c>
      <c r="Q147" s="3" t="inlineStr">
        <is>
          <t>当前无补充材料原件；沿用既有缺失/无附件证据，不据此认定无附件</t>
        </is>
      </c>
      <c r="R147" s="3" t="n">
        <v>2024</v>
      </c>
      <c r="S147" s="3" t="inlineStr">
        <is>
          <t>2025发布版（2024指标年）</t>
        </is>
      </c>
      <c r="T147" s="3" t="inlineStr"/>
      <c r="U147" s="3" t="inlineStr"/>
      <c r="V147" s="3" t="inlineStr">
        <is>
          <t>待核实</t>
        </is>
      </c>
      <c r="W147" s="3" t="inlineStr">
        <is>
          <t>待核实</t>
        </is>
      </c>
      <c r="X147" s="3" t="inlineStr">
        <is>
          <t>否</t>
        </is>
      </c>
      <c r="Y147" s="3" t="inlineStr"/>
      <c r="Z147" s="3" t="inlineStr">
        <is>
          <t>https://api.crossref.org/works/10.1007/s11157-015-9386-2</t>
        </is>
      </c>
      <c r="AA147" s="3" t="inlineStr">
        <is>
          <t>2024指标年JCR分区未核实；空白不能当非Q1。需要2025发布版/2024指标年的JCR全部学科导出。</t>
        </is>
      </c>
      <c r="AB147" s="3" t="inlineStr">
        <is>
          <t>original_files/R01985/fulltext/fulltext__published__eefabc47a4bbce22.pdf</t>
        </is>
      </c>
      <c r="AC147" s="3" t="inlineStr"/>
      <c r="AD147" s="3" t="inlineStr">
        <is>
          <t>https://github.com/Colliam-Vermilion/FirstCodex/blob/results/ad-oxygen-literature-20261006/results/ad-oxygen-literature-20261006/original_files/R01985/fulltext/fulltext__published__eefabc47a4bbce22.pdf</t>
        </is>
      </c>
    </row>
    <row r="148" ht="48" customHeight="1">
      <c r="A148" s="2" t="inlineStr">
        <is>
          <t>R02282</t>
        </is>
      </c>
      <c r="B148" s="2" t="inlineStr">
        <is>
          <t>Advances in the biological removal of sulphides from aqueous phase in anaerobic processes: A review</t>
        </is>
      </c>
      <c r="C148" s="2" t="inlineStr">
        <is>
          <t>2016</t>
        </is>
      </c>
      <c r="D148" s="2" t="inlineStr">
        <is>
          <t>2016</t>
        </is>
      </c>
      <c r="E148" s="2" t="inlineStr">
        <is>
          <t>10.1139/er-2015-0046</t>
        </is>
      </c>
      <c r="F148" s="2" t="inlineStr">
        <is>
          <t>综述</t>
        </is>
      </c>
      <c r="G148" s="2" t="inlineStr">
        <is>
          <t>4 综述</t>
        </is>
      </c>
      <c r="H148" s="2" t="inlineStr">
        <is>
          <t>是</t>
        </is>
      </c>
      <c r="I148" s="2" t="inlineStr">
        <is>
          <t>综述</t>
        </is>
      </c>
      <c r="J148" s="2" t="inlineStr">
        <is>
          <t>是</t>
        </is>
      </c>
      <c r="K148" s="2" t="inlineStr">
        <is>
          <t>ENVIRONMENTAL REVIEWS</t>
        </is>
      </c>
      <c r="L148" s="2" t="inlineStr">
        <is>
          <t>Environmental Reviews</t>
        </is>
      </c>
      <c r="M148" s="2" t="inlineStr">
        <is>
          <t>1181-8700</t>
        </is>
      </c>
      <c r="N148" s="2" t="inlineStr">
        <is>
          <t>1208-6053</t>
        </is>
      </c>
      <c r="O148" s="2" t="inlineStr">
        <is>
          <t>已取得核验全文</t>
        </is>
      </c>
      <c r="P148" s="2" t="inlineStr">
        <is>
          <t>是</t>
        </is>
      </c>
      <c r="Q148" s="2" t="inlineStr">
        <is>
          <t>当前无补充材料原件；沿用既有缺失/无附件证据，不据此认定无附件</t>
        </is>
      </c>
      <c r="R148" s="2" t="n">
        <v>2024</v>
      </c>
      <c r="S148" s="2" t="inlineStr">
        <is>
          <t>2025发布版（2024指标年）</t>
        </is>
      </c>
      <c r="T148" s="2" t="inlineStr">
        <is>
          <t>ENVIRONMENTAL SCIENCES</t>
        </is>
      </c>
      <c r="U148" s="2" t="inlineStr">
        <is>
          <t>ENVIRONMENTAL SCIENCES: Q1</t>
        </is>
      </c>
      <c r="V148" s="4" t="inlineStr">
        <is>
          <t>是</t>
        </is>
      </c>
      <c r="W148" s="4" t="inlineStr">
        <is>
          <t>是</t>
        </is>
      </c>
      <c r="X148" s="2" t="inlineStr">
        <is>
          <t>是</t>
        </is>
      </c>
      <c r="Y148" s="2" t="inlineStr">
        <is>
          <t>https://topj.lib.whu.edu.cn/searchxk1.asp?ordertype=&amp;page=6&amp;q=&amp;xk=488</t>
        </is>
      </c>
      <c r="Z148" s="2" t="inlineStr">
        <is>
          <t>https://api.crossref.org/works/10.1139/er-2015-0046</t>
        </is>
      </c>
      <c r="AA148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148" s="2" t="inlineStr">
        <is>
          <t>original_files/R02282/fulltext/fulltext__version_unverified__e709439b748e7938.pdf</t>
        </is>
      </c>
      <c r="AC148" s="2" t="inlineStr"/>
      <c r="AD148" s="2" t="inlineStr">
        <is>
          <t>https://github.com/Colliam-Vermilion/FirstCodex/blob/results/ad-oxygen-literature-20261006/results/ad-oxygen-literature-20261006/original_files/R02282/fulltext/fulltext__version_unverified__e709439b748e7938.pdf</t>
        </is>
      </c>
    </row>
    <row r="149" ht="48" customHeight="1">
      <c r="A149" s="3" t="inlineStr">
        <is>
          <t>R02863</t>
        </is>
      </c>
      <c r="B149" s="3" t="inlineStr">
        <is>
          <t>Transformations, Inhibition and Inhibition Control Methods of Sulfur in Sludge Anaerobic Digestion: A Review</t>
        </is>
      </c>
      <c r="C149" s="3" t="inlineStr">
        <is>
          <t>2016</t>
        </is>
      </c>
      <c r="D149" s="3" t="inlineStr">
        <is>
          <t>2016</t>
        </is>
      </c>
      <c r="E149" s="3" t="inlineStr">
        <is>
          <t>10.2174/1385272820666160513152913</t>
        </is>
      </c>
      <c r="F149" s="3" t="inlineStr">
        <is>
          <t>综述</t>
        </is>
      </c>
      <c r="G149" s="3" t="inlineStr">
        <is>
          <t>4 综述</t>
        </is>
      </c>
      <c r="H149" s="3" t="inlineStr">
        <is>
          <t>是</t>
        </is>
      </c>
      <c r="I149" s="3" t="inlineStr">
        <is>
          <t>综述</t>
        </is>
      </c>
      <c r="J149" s="3" t="inlineStr">
        <is>
          <t>是</t>
        </is>
      </c>
      <c r="K149" s="3" t="inlineStr">
        <is>
          <t>Current Organic Chemistry</t>
        </is>
      </c>
      <c r="L149" s="3" t="inlineStr">
        <is>
          <t>Current Organic Chemistry</t>
        </is>
      </c>
      <c r="M149" s="3" t="inlineStr">
        <is>
          <t>1385-2728</t>
        </is>
      </c>
      <c r="N149" s="3" t="inlineStr"/>
      <c r="O149" s="3" t="inlineStr">
        <is>
          <t>未取得全文</t>
        </is>
      </c>
      <c r="P149" s="3" t="inlineStr">
        <is>
          <t>否</t>
        </is>
      </c>
      <c r="Q149" s="3" t="inlineStr">
        <is>
          <t>当前无补充材料原件；沿用既有缺失/无附件证据，不据此认定无附件</t>
        </is>
      </c>
      <c r="R149" s="3" t="n">
        <v>2024</v>
      </c>
      <c r="S149" s="3" t="inlineStr">
        <is>
          <t>2025发布版（2024指标年）</t>
        </is>
      </c>
      <c r="T149" s="3" t="inlineStr"/>
      <c r="U149" s="3" t="inlineStr"/>
      <c r="V149" s="3" t="inlineStr">
        <is>
          <t>待核实</t>
        </is>
      </c>
      <c r="W149" s="3" t="inlineStr">
        <is>
          <t>待核实</t>
        </is>
      </c>
      <c r="X149" s="3" t="inlineStr">
        <is>
          <t>否</t>
        </is>
      </c>
      <c r="Y149" s="3" t="inlineStr"/>
      <c r="Z149" s="3" t="inlineStr">
        <is>
          <t>https://api.crossref.org/works/10.2174/1385272820666160513152913</t>
        </is>
      </c>
      <c r="AA149" s="3" t="inlineStr">
        <is>
          <t>2024指标年JCR分区未核实；空白不能当非Q1。需要2025发布版/2024指标年的JCR全部学科导出。</t>
        </is>
      </c>
      <c r="AB149" s="3" t="inlineStr"/>
      <c r="AC149" s="3" t="inlineStr"/>
      <c r="AD149" s="3" t="inlineStr"/>
    </row>
    <row r="150" ht="48" customHeight="1">
      <c r="A150" s="2" t="inlineStr">
        <is>
          <t>R03477</t>
        </is>
      </c>
      <c r="B150" s="2" t="inlineStr">
        <is>
          <t>Pretreatment methods of lignocellulosic biomass for anaerobic digestion</t>
        </is>
      </c>
      <c r="C150" s="2" t="inlineStr">
        <is>
          <t>2017</t>
        </is>
      </c>
      <c r="D150" s="2" t="inlineStr">
        <is>
          <t>2017</t>
        </is>
      </c>
      <c r="E150" s="2" t="inlineStr">
        <is>
          <t>10.1186/s13568-017-0375-4</t>
        </is>
      </c>
      <c r="F150" s="2" t="inlineStr">
        <is>
          <t>综述</t>
        </is>
      </c>
      <c r="G150" s="2" t="inlineStr">
        <is>
          <t>4 综述</t>
        </is>
      </c>
      <c r="H150" s="2" t="inlineStr">
        <is>
          <t>是</t>
        </is>
      </c>
      <c r="I150" s="2" t="inlineStr">
        <is>
          <t>综述</t>
        </is>
      </c>
      <c r="J150" s="2" t="inlineStr">
        <is>
          <t>是</t>
        </is>
      </c>
      <c r="K150" s="2" t="inlineStr">
        <is>
          <t>AMB Express</t>
        </is>
      </c>
      <c r="L150" s="2" t="inlineStr">
        <is>
          <t>AMB Express</t>
        </is>
      </c>
      <c r="M150" s="2" t="inlineStr"/>
      <c r="N150" s="2" t="inlineStr">
        <is>
          <t>2191-0855</t>
        </is>
      </c>
      <c r="O150" s="2" t="inlineStr">
        <is>
          <t>已取得核验全文</t>
        </is>
      </c>
      <c r="P150" s="2" t="inlineStr">
        <is>
          <t>是</t>
        </is>
      </c>
      <c r="Q150" s="2" t="inlineStr">
        <is>
          <t>当前无补充材料原件；沿用既有缺失/无附件证据，不据此认定无附件</t>
        </is>
      </c>
      <c r="R150" s="2" t="n">
        <v>2024</v>
      </c>
      <c r="S150" s="2" t="inlineStr">
        <is>
          <t>2025发布版（2024指标年）</t>
        </is>
      </c>
      <c r="T150" s="2" t="inlineStr">
        <is>
          <t>BIOTECHNOLOGY &amp; APPLIED MICROBIOLOGY</t>
        </is>
      </c>
      <c r="U150" s="2" t="inlineStr">
        <is>
          <t>BIOTECHNOLOGY &amp; APPLIED MICROBIOLOGY: Q2</t>
        </is>
      </c>
      <c r="V150" s="2" t="inlineStr">
        <is>
          <t>否</t>
        </is>
      </c>
      <c r="W150" s="2" t="inlineStr">
        <is>
          <t>否</t>
        </is>
      </c>
      <c r="X150" s="2" t="inlineStr">
        <is>
          <t>是</t>
        </is>
      </c>
      <c r="Y150" s="2" t="inlineStr">
        <is>
          <t>https://topj.lib.whu.edu.cn/show.asp?cat=zk&amp;id=6651</t>
        </is>
      </c>
      <c r="Z150" s="2" t="inlineStr">
        <is>
          <t>https://api.crossref.org/works/10.1186/s13568-017-0375-4</t>
        </is>
      </c>
      <c r="AA15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50" s="2" t="inlineStr">
        <is>
          <t>original_files/R03477/fulltext/fulltext__published__79583f4a64fb2fbb.pdf</t>
        </is>
      </c>
      <c r="AC150" s="2" t="inlineStr"/>
      <c r="AD150" s="2" t="inlineStr">
        <is>
          <t>https://github.com/Colliam-Vermilion/FirstCodex/blob/results/ad-oxygen-literature-20261006/results/ad-oxygen-literature-20261006/original_files/R03477/fulltext/fulltext__published__79583f4a64fb2fbb.pdf</t>
        </is>
      </c>
    </row>
    <row r="151" ht="48" customHeight="1">
      <c r="A151" s="3" t="inlineStr">
        <is>
          <t>R03657</t>
        </is>
      </c>
      <c r="B151" s="3" t="inlineStr">
        <is>
          <t>A little breath of fresh air into an anaerobic system: How microaeration facilitates anaerobic digestion process</t>
        </is>
      </c>
      <c r="C151" s="3" t="inlineStr">
        <is>
          <t>2018</t>
        </is>
      </c>
      <c r="D151" s="3" t="inlineStr">
        <is>
          <t>2018</t>
        </is>
      </c>
      <c r="E151" s="3" t="inlineStr">
        <is>
          <t>10.1016/j.biotechadv.2018.08.007</t>
        </is>
      </c>
      <c r="F151" s="3" t="inlineStr">
        <is>
          <t>综述</t>
        </is>
      </c>
      <c r="G151" s="3" t="inlineStr">
        <is>
          <t>4 综述</t>
        </is>
      </c>
      <c r="H151" s="3" t="inlineStr">
        <is>
          <t>是</t>
        </is>
      </c>
      <c r="I151" s="3" t="inlineStr">
        <is>
          <t>综述</t>
        </is>
      </c>
      <c r="J151" s="3" t="inlineStr">
        <is>
          <t>是</t>
        </is>
      </c>
      <c r="K151" s="3" t="inlineStr">
        <is>
          <t>BIOTECHNOLOGY ADVANCES</t>
        </is>
      </c>
      <c r="L151" s="3" t="inlineStr">
        <is>
          <t>Biotechnology Advances</t>
        </is>
      </c>
      <c r="M151" s="3" t="inlineStr">
        <is>
          <t>0734-9750</t>
        </is>
      </c>
      <c r="N151" s="3" t="inlineStr"/>
      <c r="O151" s="3" t="inlineStr">
        <is>
          <t>已取得核验全文</t>
        </is>
      </c>
      <c r="P151" s="3" t="inlineStr">
        <is>
          <t>是</t>
        </is>
      </c>
      <c r="Q151" s="3" t="inlineStr">
        <is>
          <t>当前无补充材料原件；沿用既有缺失/无附件证据，不据此认定无附件</t>
        </is>
      </c>
      <c r="R151" s="3" t="n">
        <v>2024</v>
      </c>
      <c r="S151" s="3" t="inlineStr">
        <is>
          <t>2025发布版（2024指标年）</t>
        </is>
      </c>
      <c r="T151" s="3" t="inlineStr">
        <is>
          <t>BIOTECHNOLOGY &amp; APPLIED MICROBIOLOGY</t>
        </is>
      </c>
      <c r="U151" s="3" t="inlineStr">
        <is>
          <t>BIOTECHNOLOGY &amp; APPLIED MICROBIOLOGY: Q1</t>
        </is>
      </c>
      <c r="V151" s="4" t="inlineStr">
        <is>
          <t>是</t>
        </is>
      </c>
      <c r="W151" s="4" t="inlineStr">
        <is>
          <t>是</t>
        </is>
      </c>
      <c r="X151" s="3" t="inlineStr">
        <is>
          <t>是</t>
        </is>
      </c>
      <c r="Y151" s="3" t="inlineStr">
        <is>
          <t>https://topj.lib.whu.edu.cn/show.asp?cat=sci&amp;id=2745</t>
        </is>
      </c>
      <c r="Z151" s="3" t="inlineStr">
        <is>
          <t>https://api.crossref.org/works/10.1016/j.biotechadv.2018.08.007</t>
        </is>
      </c>
      <c r="AA15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51" s="3" t="inlineStr">
        <is>
          <t>original_files/R03657/fulltext/fulltext__published__8b0a0f5e474d6cc6.pdf</t>
        </is>
      </c>
      <c r="AC151" s="3" t="inlineStr"/>
      <c r="AD151" s="3" t="inlineStr">
        <is>
          <t>https://github.com/Colliam-Vermilion/FirstCodex/blob/results/ad-oxygen-literature-20261006/results/ad-oxygen-literature-20261006/original_files/R03657/fulltext/fulltext__published__8b0a0f5e474d6cc6.pdf</t>
        </is>
      </c>
    </row>
    <row r="152" ht="48" customHeight="1">
      <c r="A152" s="2" t="inlineStr">
        <is>
          <t>R06069</t>
        </is>
      </c>
      <c r="B152" s="2" t="inlineStr">
        <is>
          <t>Review on microaeration-based anaerobic digestion: State of the art, challenges, and prospectives</t>
        </is>
      </c>
      <c r="C152" s="2" t="inlineStr">
        <is>
          <t>2020</t>
        </is>
      </c>
      <c r="D152" s="2" t="inlineStr">
        <is>
          <t>2020</t>
        </is>
      </c>
      <c r="E152" s="2" t="inlineStr">
        <is>
          <t>10.1016/j.scitotenv.2019.136388</t>
        </is>
      </c>
      <c r="F152" s="2" t="inlineStr">
        <is>
          <t>综述</t>
        </is>
      </c>
      <c r="G152" s="2" t="inlineStr">
        <is>
          <t>4 综述</t>
        </is>
      </c>
      <c r="H152" s="2" t="inlineStr">
        <is>
          <t>是</t>
        </is>
      </c>
      <c r="I152" s="2" t="inlineStr">
        <is>
          <t>综述</t>
        </is>
      </c>
      <c r="J152" s="2" t="inlineStr">
        <is>
          <t>是</t>
        </is>
      </c>
      <c r="K152" s="2" t="inlineStr">
        <is>
          <t>Science of The Total Environment</t>
        </is>
      </c>
      <c r="L152" s="2" t="inlineStr">
        <is>
          <t>Science of The Total Environment</t>
        </is>
      </c>
      <c r="M152" s="2" t="inlineStr">
        <is>
          <t>0048-9697</t>
        </is>
      </c>
      <c r="N152" s="2" t="inlineStr"/>
      <c r="O152" s="2" t="inlineStr">
        <is>
          <t>已取得核验全文</t>
        </is>
      </c>
      <c r="P152" s="2" t="inlineStr">
        <is>
          <t>是</t>
        </is>
      </c>
      <c r="Q152" s="2" t="inlineStr">
        <is>
          <t>当前无补充材料原件；沿用既有缺失/无附件证据，不据此认定无附件</t>
        </is>
      </c>
      <c r="R152" s="2" t="n">
        <v>2024</v>
      </c>
      <c r="S152" s="2" t="inlineStr">
        <is>
          <t>2025发布版（2024指标年）</t>
        </is>
      </c>
      <c r="T152" s="2" t="inlineStr">
        <is>
          <t>ENVIRONMENTAL SCIENCES</t>
        </is>
      </c>
      <c r="U152" s="2" t="inlineStr">
        <is>
          <t>ENVIRONMENTAL SCIENCES: Q1</t>
        </is>
      </c>
      <c r="V152" s="4" t="inlineStr">
        <is>
          <t>是</t>
        </is>
      </c>
      <c r="W152" s="4" t="inlineStr">
        <is>
          <t>是</t>
        </is>
      </c>
      <c r="X152" s="2" t="inlineStr">
        <is>
          <t>是</t>
        </is>
      </c>
      <c r="Y152" s="2" t="inlineStr">
        <is>
          <t>https://topj.lib.whu.edu.cn/show.asp?cat=zk&amp;id=4001</t>
        </is>
      </c>
      <c r="Z152" s="2" t="inlineStr">
        <is>
          <t>https://api.crossref.org/works/10.1016/j.scitotenv.2019.136388</t>
        </is>
      </c>
      <c r="AA15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52" s="2" t="inlineStr">
        <is>
          <t>original_files/R06069/fulltext/fulltext__published__8d8b0c609086c78d.pdf</t>
        </is>
      </c>
      <c r="AC152" s="2" t="inlineStr"/>
      <c r="AD152" s="2" t="inlineStr">
        <is>
          <t>https://github.com/Colliam-Vermilion/FirstCodex/blob/results/ad-oxygen-literature-20261006/results/ad-oxygen-literature-20261006/original_files/R06069/fulltext/fulltext__published__8d8b0c609086c78d.pdf</t>
        </is>
      </c>
    </row>
    <row r="153" ht="48" customHeight="1">
      <c r="A153" s="3" t="inlineStr">
        <is>
          <t>R06737</t>
        </is>
      </c>
      <c r="B153" s="3" t="inlineStr">
        <is>
          <t>Genomic driven factors enhance biocatalyst-related cellulolysis potential in anaerobic digestion</t>
        </is>
      </c>
      <c r="C153" s="3" t="inlineStr">
        <is>
          <t>2021</t>
        </is>
      </c>
      <c r="D153" s="3" t="inlineStr">
        <is>
          <t>2021</t>
        </is>
      </c>
      <c r="E153" s="3" t="inlineStr">
        <is>
          <t>10.1016/j.biortech.2021.125148</t>
        </is>
      </c>
      <c r="F153" s="3" t="inlineStr">
        <is>
          <t>综述</t>
        </is>
      </c>
      <c r="G153" s="3" t="inlineStr">
        <is>
          <t>4 综述</t>
        </is>
      </c>
      <c r="H153" s="3" t="inlineStr">
        <is>
          <t>是</t>
        </is>
      </c>
      <c r="I153" s="3" t="inlineStr">
        <is>
          <t>综述</t>
        </is>
      </c>
      <c r="J153" s="3" t="inlineStr">
        <is>
          <t>是</t>
        </is>
      </c>
      <c r="K153" s="3" t="inlineStr">
        <is>
          <t>BIORESOURCE TECHNOLOGY</t>
        </is>
      </c>
      <c r="L153" s="3" t="inlineStr">
        <is>
          <t>Bioresource Technology</t>
        </is>
      </c>
      <c r="M153" s="3" t="inlineStr">
        <is>
          <t>0960-8524</t>
        </is>
      </c>
      <c r="N153" s="3" t="inlineStr"/>
      <c r="O153" s="3" t="inlineStr">
        <is>
          <t>已取得核验全文</t>
        </is>
      </c>
      <c r="P153" s="3" t="inlineStr">
        <is>
          <t>是</t>
        </is>
      </c>
      <c r="Q153" s="3" t="inlineStr">
        <is>
          <t>当前无补充材料原件；沿用既有缺失/无附件证据，不据此认定无附件</t>
        </is>
      </c>
      <c r="R153" s="3" t="n">
        <v>2024</v>
      </c>
      <c r="S153" s="3" t="inlineStr">
        <is>
          <t>2025发布版（2024指标年）</t>
        </is>
      </c>
      <c r="T153" s="3" t="inlineStr">
        <is>
          <t>AGRICULTURAL ENGINEERING; BIOTECHNOLOGY &amp; APPLIED MICROBIOLOGY; ENERGY &amp; FUELS</t>
        </is>
      </c>
      <c r="U153" s="3" t="inlineStr">
        <is>
          <t>AGRICULTURAL ENGINEERING: Q1; BIOTECHNOLOGY &amp; APPLIED MICROBIOLOGY: Q1; ENERGY &amp; FUELS: Q1</t>
        </is>
      </c>
      <c r="V153" s="4" t="inlineStr">
        <is>
          <t>是</t>
        </is>
      </c>
      <c r="W153" s="4" t="inlineStr">
        <is>
          <t>是</t>
        </is>
      </c>
      <c r="X153" s="3" t="inlineStr">
        <is>
          <t>是</t>
        </is>
      </c>
      <c r="Y153" s="3" t="inlineStr">
        <is>
          <t>https://topj.lib.whu.edu.cn/show.asp?cat=zk&amp;id=3976</t>
        </is>
      </c>
      <c r="Z153" s="3" t="inlineStr">
        <is>
          <t>https://api.crossref.org/works/10.1016/j.biortech.2021.125148</t>
        </is>
      </c>
      <c r="AA15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53" s="3" t="inlineStr">
        <is>
          <t>original_files/R06737/fulltext/fulltext__published__32eabc0a46b31862.pdf</t>
        </is>
      </c>
      <c r="AC153" s="3" t="inlineStr"/>
      <c r="AD153" s="3" t="inlineStr">
        <is>
          <t>https://github.com/Colliam-Vermilion/FirstCodex/blob/results/ad-oxygen-literature-20261006/results/ad-oxygen-literature-20261006/original_files/R06737/fulltext/fulltext__published__32eabc0a46b31862.pdf</t>
        </is>
      </c>
    </row>
    <row r="154" ht="48" customHeight="1">
      <c r="A154" s="2" t="inlineStr">
        <is>
          <t>R06744</t>
        </is>
      </c>
      <c r="B154" s="2" t="inlineStr">
        <is>
          <t>High-Solid Anaerobic Digestion: Reviewing Strategies for Increasing Reactor Performance</t>
        </is>
      </c>
      <c r="C154" s="2" t="inlineStr">
        <is>
          <t>2021</t>
        </is>
      </c>
      <c r="D154" s="2" t="inlineStr">
        <is>
          <t>2021</t>
        </is>
      </c>
      <c r="E154" s="2" t="inlineStr">
        <is>
          <t>10.3390/environments8080080</t>
        </is>
      </c>
      <c r="F154" s="2" t="inlineStr">
        <is>
          <t>综述</t>
        </is>
      </c>
      <c r="G154" s="2" t="inlineStr">
        <is>
          <t>4 综述</t>
        </is>
      </c>
      <c r="H154" s="2" t="inlineStr">
        <is>
          <t>是</t>
        </is>
      </c>
      <c r="I154" s="2" t="inlineStr">
        <is>
          <t>综述</t>
        </is>
      </c>
      <c r="J154" s="2" t="inlineStr">
        <is>
          <t>是</t>
        </is>
      </c>
      <c r="K154" s="2" t="inlineStr">
        <is>
          <t>Environments</t>
        </is>
      </c>
      <c r="L154" s="2" t="inlineStr">
        <is>
          <t>Environments</t>
        </is>
      </c>
      <c r="M154" s="2" t="inlineStr"/>
      <c r="N154" s="2" t="inlineStr">
        <is>
          <t>2076-3298</t>
        </is>
      </c>
      <c r="O154" s="2" t="inlineStr">
        <is>
          <t>已取得核验全文</t>
        </is>
      </c>
      <c r="P154" s="2" t="inlineStr">
        <is>
          <t>是</t>
        </is>
      </c>
      <c r="Q154" s="2" t="inlineStr">
        <is>
          <t>当前无补充材料原件；沿用既有缺失/无附件证据，不据此认定无附件</t>
        </is>
      </c>
      <c r="R154" s="2" t="n">
        <v>2024</v>
      </c>
      <c r="S154" s="2" t="inlineStr">
        <is>
          <t>2025发布版（2024指标年）</t>
        </is>
      </c>
      <c r="T154" s="2" t="inlineStr"/>
      <c r="U154" s="2" t="inlineStr"/>
      <c r="V154" s="2" t="inlineStr">
        <is>
          <t>待核实</t>
        </is>
      </c>
      <c r="W154" s="2" t="inlineStr">
        <is>
          <t>待核实</t>
        </is>
      </c>
      <c r="X154" s="2" t="inlineStr">
        <is>
          <t>否</t>
        </is>
      </c>
      <c r="Y154" s="2" t="inlineStr"/>
      <c r="Z154" s="2" t="inlineStr">
        <is>
          <t>https://api.crossref.org/works/10.3390/environments8080080</t>
        </is>
      </c>
      <c r="AA154" s="2" t="inlineStr">
        <is>
          <t>2024指标年JCR分区未核实；空白不能当非Q1。需要2025发布版/2024指标年的JCR全部学科导出。</t>
        </is>
      </c>
      <c r="AB154" s="2" t="inlineStr">
        <is>
          <t>original_files/R06744/fulltext/fulltext__published__f0e1e40d3fdab816.pdf</t>
        </is>
      </c>
      <c r="AC154" s="2" t="inlineStr"/>
      <c r="AD154" s="2" t="inlineStr">
        <is>
          <t>https://github.com/Colliam-Vermilion/FirstCodex/blob/results/ad-oxygen-literature-20261006/results/ad-oxygen-literature-20261006/original_files/R06744/fulltext/fulltext__published__f0e1e40d3fdab816.pdf</t>
        </is>
      </c>
    </row>
    <row r="155" ht="48" customHeight="1">
      <c r="A155" s="3" t="inlineStr">
        <is>
          <t>R06967</t>
        </is>
      </c>
      <c r="B155" s="3" t="inlineStr">
        <is>
          <t>Nanobubble technology in anaerobic digestion: A review</t>
        </is>
      </c>
      <c r="C155" s="3" t="inlineStr">
        <is>
          <t>2021</t>
        </is>
      </c>
      <c r="D155" s="3" t="inlineStr">
        <is>
          <t>2021</t>
        </is>
      </c>
      <c r="E155" s="3" t="inlineStr">
        <is>
          <t>10.1016/j.biortech.2021.124916</t>
        </is>
      </c>
      <c r="F155" s="3" t="inlineStr">
        <is>
          <t>综述</t>
        </is>
      </c>
      <c r="G155" s="3" t="inlineStr">
        <is>
          <t>4 综述</t>
        </is>
      </c>
      <c r="H155" s="3" t="inlineStr">
        <is>
          <t>是</t>
        </is>
      </c>
      <c r="I155" s="3" t="inlineStr">
        <is>
          <t>综述</t>
        </is>
      </c>
      <c r="J155" s="3" t="inlineStr">
        <is>
          <t>是</t>
        </is>
      </c>
      <c r="K155" s="3" t="inlineStr">
        <is>
          <t>BIORESOURCE TECHNOLOGY</t>
        </is>
      </c>
      <c r="L155" s="3" t="inlineStr">
        <is>
          <t>Bioresource Technology</t>
        </is>
      </c>
      <c r="M155" s="3" t="inlineStr">
        <is>
          <t>0960-8524</t>
        </is>
      </c>
      <c r="N155" s="3" t="inlineStr"/>
      <c r="O155" s="3" t="inlineStr">
        <is>
          <t>已取得核验全文</t>
        </is>
      </c>
      <c r="P155" s="3" t="inlineStr">
        <is>
          <t>是</t>
        </is>
      </c>
      <c r="Q155" s="3" t="inlineStr">
        <is>
          <t>当前无补充材料原件；沿用既有缺失/无附件证据，不据此认定无附件</t>
        </is>
      </c>
      <c r="R155" s="3" t="n">
        <v>2024</v>
      </c>
      <c r="S155" s="3" t="inlineStr">
        <is>
          <t>2025发布版（2024指标年）</t>
        </is>
      </c>
      <c r="T155" s="3" t="inlineStr">
        <is>
          <t>AGRICULTURAL ENGINEERING; BIOTECHNOLOGY &amp; APPLIED MICROBIOLOGY; ENERGY &amp; FUELS</t>
        </is>
      </c>
      <c r="U155" s="3" t="inlineStr">
        <is>
          <t>AGRICULTURAL ENGINEERING: Q1; BIOTECHNOLOGY &amp; APPLIED MICROBIOLOGY: Q1; ENERGY &amp; FUELS: Q1</t>
        </is>
      </c>
      <c r="V155" s="4" t="inlineStr">
        <is>
          <t>是</t>
        </is>
      </c>
      <c r="W155" s="4" t="inlineStr">
        <is>
          <t>是</t>
        </is>
      </c>
      <c r="X155" s="3" t="inlineStr">
        <is>
          <t>是</t>
        </is>
      </c>
      <c r="Y155" s="3" t="inlineStr">
        <is>
          <t>https://topj.lib.whu.edu.cn/show.asp?cat=zk&amp;id=3976</t>
        </is>
      </c>
      <c r="Z155" s="3" t="inlineStr">
        <is>
          <t>https://api.crossref.org/works/10.1016/j.biortech.2021.124916</t>
        </is>
      </c>
      <c r="AA15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55" s="3" t="inlineStr">
        <is>
          <t>original_files/R06967/fulltext/fulltext__published__5e7eafedc101e992.pdf</t>
        </is>
      </c>
      <c r="AC155" s="3" t="inlineStr"/>
      <c r="AD155" s="3" t="inlineStr">
        <is>
          <t>https://github.com/Colliam-Vermilion/FirstCodex/blob/results/ad-oxygen-literature-20261006/results/ad-oxygen-literature-20261006/original_files/R06967/fulltext/fulltext__published__5e7eafedc101e992.pdf</t>
        </is>
      </c>
    </row>
    <row r="156" ht="48" customHeight="1">
      <c r="A156" s="2" t="inlineStr">
        <is>
          <t>R07364</t>
        </is>
      </c>
      <c r="B156" s="2" t="inlineStr">
        <is>
          <t>A critical review of prospects and operational challenges of microaeration and iron dosing for in-situ biogas desulfurization</t>
        </is>
      </c>
      <c r="C156" s="2" t="inlineStr">
        <is>
          <t>2022</t>
        </is>
      </c>
      <c r="D156" s="2" t="inlineStr">
        <is>
          <t>2022</t>
        </is>
      </c>
      <c r="E156" s="2" t="inlineStr">
        <is>
          <t>10.1016/j.biteb.2022.101265</t>
        </is>
      </c>
      <c r="F156" s="2" t="inlineStr">
        <is>
          <t>综述</t>
        </is>
      </c>
      <c r="G156" s="2" t="inlineStr">
        <is>
          <t>4 综述</t>
        </is>
      </c>
      <c r="H156" s="2" t="inlineStr">
        <is>
          <t>是</t>
        </is>
      </c>
      <c r="I156" s="2" t="inlineStr">
        <is>
          <t>综述</t>
        </is>
      </c>
      <c r="J156" s="2" t="inlineStr">
        <is>
          <t>是</t>
        </is>
      </c>
      <c r="K156" s="2" t="inlineStr">
        <is>
          <t>Bioresource Technology Reports</t>
        </is>
      </c>
      <c r="L156" s="2" t="inlineStr">
        <is>
          <t>Bioresource Technology Reports</t>
        </is>
      </c>
      <c r="M156" s="2" t="inlineStr">
        <is>
          <t>2589-014X</t>
        </is>
      </c>
      <c r="N156" s="2" t="inlineStr"/>
      <c r="O156" s="2" t="inlineStr">
        <is>
          <t>已取得核验全文</t>
        </is>
      </c>
      <c r="P156" s="2" t="inlineStr">
        <is>
          <t>是</t>
        </is>
      </c>
      <c r="Q156" s="2" t="inlineStr">
        <is>
          <t>当前无补充材料原件；沿用既有缺失/无附件证据，不据此认定无附件</t>
        </is>
      </c>
      <c r="R156" s="2" t="n">
        <v>2024</v>
      </c>
      <c r="S156" s="2" t="inlineStr">
        <is>
          <t>2025发布版（2024指标年）</t>
        </is>
      </c>
      <c r="T156" s="2" t="inlineStr"/>
      <c r="U156" s="2" t="inlineStr"/>
      <c r="V156" s="2" t="inlineStr">
        <is>
          <t>待核实</t>
        </is>
      </c>
      <c r="W156" s="2" t="inlineStr">
        <is>
          <t>待核实</t>
        </is>
      </c>
      <c r="X156" s="2" t="inlineStr">
        <is>
          <t>否</t>
        </is>
      </c>
      <c r="Y156" s="2" t="inlineStr"/>
      <c r="Z156" s="2" t="inlineStr">
        <is>
          <t>https://api.crossref.org/works/10.1016/j.biteb.2022.101265</t>
        </is>
      </c>
      <c r="AA156" s="2" t="inlineStr">
        <is>
          <t>2024指标年JCR分区未核实；空白不能当非Q1。需要2025发布版/2024指标年的JCR全部学科导出。</t>
        </is>
      </c>
      <c r="AB156" s="2" t="inlineStr">
        <is>
          <t>original_files/R07364/fulltext/fulltext__published__6144fb91fc385efc.pdf</t>
        </is>
      </c>
      <c r="AC156" s="2" t="inlineStr"/>
      <c r="AD156" s="2" t="inlineStr">
        <is>
          <t>https://github.com/Colliam-Vermilion/FirstCodex/blob/results/ad-oxygen-literature-20261006/results/ad-oxygen-literature-20261006/original_files/R07364/fulltext/fulltext__published__6144fb91fc385efc.pdf</t>
        </is>
      </c>
    </row>
    <row r="157" ht="48" customHeight="1">
      <c r="A157" s="3" t="inlineStr">
        <is>
          <t>R07390</t>
        </is>
      </c>
      <c r="B157" s="3" t="inlineStr">
        <is>
          <t>A review of the practical application of micro-aeration and oxygenation for hydrogen sulfide management in anaerobic digesters</t>
        </is>
      </c>
      <c r="C157" s="3" t="inlineStr">
        <is>
          <t>2022</t>
        </is>
      </c>
      <c r="D157" s="3" t="inlineStr">
        <is>
          <t>2022</t>
        </is>
      </c>
      <c r="E157" s="3" t="inlineStr">
        <is>
          <t>10.1016/j.psep.2022.07.009</t>
        </is>
      </c>
      <c r="F157" s="3" t="inlineStr">
        <is>
          <t>综述</t>
        </is>
      </c>
      <c r="G157" s="3" t="inlineStr">
        <is>
          <t>4 综述</t>
        </is>
      </c>
      <c r="H157" s="3" t="inlineStr">
        <is>
          <t>是</t>
        </is>
      </c>
      <c r="I157" s="3" t="inlineStr">
        <is>
          <t>综述</t>
        </is>
      </c>
      <c r="J157" s="3" t="inlineStr">
        <is>
          <t>是</t>
        </is>
      </c>
      <c r="K157" s="3" t="inlineStr">
        <is>
          <t>PROCESS SAFETY AND ENVIRONMENTAL PROTECTION</t>
        </is>
      </c>
      <c r="L157" s="3" t="inlineStr">
        <is>
          <t>Process Safety and Environmental Protection</t>
        </is>
      </c>
      <c r="M157" s="3" t="inlineStr">
        <is>
          <t>0957-5820</t>
        </is>
      </c>
      <c r="N157" s="3" t="inlineStr"/>
      <c r="O157" s="3" t="inlineStr">
        <is>
          <t>已取得核验全文</t>
        </is>
      </c>
      <c r="P157" s="3" t="inlineStr">
        <is>
          <t>是</t>
        </is>
      </c>
      <c r="Q157" s="3" t="inlineStr">
        <is>
          <t>当前无补充材料原件；沿用既有缺失/无附件证据，不据此认定无附件</t>
        </is>
      </c>
      <c r="R157" s="3" t="n">
        <v>2024</v>
      </c>
      <c r="S157" s="3" t="inlineStr">
        <is>
          <t>2025发布版（2024指标年）</t>
        </is>
      </c>
      <c r="T157" s="3" t="inlineStr">
        <is>
          <t>ENGINEERING, CHEMICAL; ENGINEERING, ENVIRONMENTAL</t>
        </is>
      </c>
      <c r="U157" s="3" t="inlineStr">
        <is>
          <t>ENGINEERING, CHEMICAL: Q1; ENGINEERING, ENVIRONMENTAL: Q1</t>
        </is>
      </c>
      <c r="V157" s="4" t="inlineStr">
        <is>
          <t>是</t>
        </is>
      </c>
      <c r="W157" s="4" t="inlineStr">
        <is>
          <t>是</t>
        </is>
      </c>
      <c r="X157" s="3" t="inlineStr">
        <is>
          <t>是</t>
        </is>
      </c>
      <c r="Y157" s="3" t="inlineStr">
        <is>
          <t>https://topj.lib.whu.edu.cn/show.asp?cat=zk&amp;id=3996</t>
        </is>
      </c>
      <c r="Z157" s="3" t="inlineStr">
        <is>
          <t>https://api.crossref.org/works/10.1016/j.psep.2022.07.009</t>
        </is>
      </c>
      <c r="AA15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57" s="3" t="inlineStr">
        <is>
          <t>original_files/R07390/fulltext/fulltext__published__21d00283cd95d763.pdf</t>
        </is>
      </c>
      <c r="AC157" s="3" t="inlineStr"/>
      <c r="AD157" s="3" t="inlineStr">
        <is>
          <t>https://github.com/Colliam-Vermilion/FirstCodex/blob/results/ad-oxygen-literature-20261006/results/ad-oxygen-literature-20261006/original_files/R07390/fulltext/fulltext__published__21d00283cd95d763.pdf</t>
        </is>
      </c>
    </row>
    <row r="158" ht="48" customHeight="1">
      <c r="A158" s="2" t="inlineStr">
        <is>
          <t>R08380</t>
        </is>
      </c>
      <c r="B158" s="2" t="inlineStr">
        <is>
          <t>The Measurement, Application, and Effect of Oxygen in Microbial Fermentations: Focusing on Methane and Carboxylate Production</t>
        </is>
      </c>
      <c r="C158" s="2" t="inlineStr">
        <is>
          <t>2022</t>
        </is>
      </c>
      <c r="D158" s="2" t="inlineStr">
        <is>
          <t>2022</t>
        </is>
      </c>
      <c r="E158" s="2" t="inlineStr">
        <is>
          <t>10.3390/fermentation8040138</t>
        </is>
      </c>
      <c r="F158" s="2" t="inlineStr">
        <is>
          <t>综述</t>
        </is>
      </c>
      <c r="G158" s="2" t="inlineStr">
        <is>
          <t>4 综述</t>
        </is>
      </c>
      <c r="H158" s="2" t="inlineStr">
        <is>
          <t>是</t>
        </is>
      </c>
      <c r="I158" s="2" t="inlineStr">
        <is>
          <t>综述</t>
        </is>
      </c>
      <c r="J158" s="2" t="inlineStr">
        <is>
          <t>是</t>
        </is>
      </c>
      <c r="K158" s="2" t="inlineStr">
        <is>
          <t>Fermentation</t>
        </is>
      </c>
      <c r="L158" s="2" t="inlineStr">
        <is>
          <t>Fermentation</t>
        </is>
      </c>
      <c r="M158" s="2" t="inlineStr"/>
      <c r="N158" s="2" t="inlineStr">
        <is>
          <t>2311-5637</t>
        </is>
      </c>
      <c r="O158" s="2" t="inlineStr">
        <is>
          <t>已取得核验全文</t>
        </is>
      </c>
      <c r="P158" s="2" t="inlineStr">
        <is>
          <t>是</t>
        </is>
      </c>
      <c r="Q158" s="2" t="inlineStr">
        <is>
          <t>当前无补充材料原件；沿用既有缺失/无附件证据，不据此认定无附件</t>
        </is>
      </c>
      <c r="R158" s="2" t="n">
        <v>2024</v>
      </c>
      <c r="S158" s="2" t="inlineStr">
        <is>
          <t>2025发布版（2024指标年）</t>
        </is>
      </c>
      <c r="T158" s="2" t="inlineStr"/>
      <c r="U158" s="2" t="inlineStr"/>
      <c r="V158" s="2" t="inlineStr">
        <is>
          <t>待核实</t>
        </is>
      </c>
      <c r="W158" s="2" t="inlineStr">
        <is>
          <t>待核实</t>
        </is>
      </c>
      <c r="X158" s="2" t="inlineStr">
        <is>
          <t>否</t>
        </is>
      </c>
      <c r="Y158" s="2" t="inlineStr"/>
      <c r="Z158" s="2" t="inlineStr">
        <is>
          <t>https://api.crossref.org/works/10.3390/fermentation8040138</t>
        </is>
      </c>
      <c r="AA158" s="2" t="inlineStr">
        <is>
          <t>2024指标年JCR分区未核实；空白不能当非Q1。需要2025发布版/2024指标年的JCR全部学科导出。</t>
        </is>
      </c>
      <c r="AB158" s="2" t="inlineStr">
        <is>
          <t>original_files/R08380/fulltext/fulltext__published__a702e1d8d857a6ff.pdf</t>
        </is>
      </c>
      <c r="AC158" s="2" t="inlineStr"/>
      <c r="AD158" s="2" t="inlineStr">
        <is>
          <t>https://github.com/Colliam-Vermilion/FirstCodex/blob/results/ad-oxygen-literature-20261006/results/ad-oxygen-literature-20261006/original_files/R08380/fulltext/fulltext__published__a702e1d8d857a6ff.pdf</t>
        </is>
      </c>
    </row>
    <row r="159" ht="48" customHeight="1">
      <c r="A159" s="3" t="inlineStr">
        <is>
          <t>R08554</t>
        </is>
      </c>
      <c r="B159" s="3" t="inlineStr">
        <is>
          <t>ANALYSIS AND EVALUATION OF THE BIOGAS PURIFICATION TECHNOLOGIES FROM H2S</t>
        </is>
      </c>
      <c r="C159" s="3" t="inlineStr">
        <is>
          <t>2023</t>
        </is>
      </c>
      <c r="D159" s="3" t="inlineStr">
        <is>
          <t>2023</t>
        </is>
      </c>
      <c r="E159" s="3" t="inlineStr">
        <is>
          <t>10.3846/mla.2023.17242</t>
        </is>
      </c>
      <c r="F159" s="3" t="inlineStr">
        <is>
          <t>综述</t>
        </is>
      </c>
      <c r="G159" s="3" t="inlineStr">
        <is>
          <t>4 综述</t>
        </is>
      </c>
      <c r="H159" s="3" t="inlineStr">
        <is>
          <t>是</t>
        </is>
      </c>
      <c r="I159" s="3" t="inlineStr">
        <is>
          <t>综述</t>
        </is>
      </c>
      <c r="J159" s="3" t="inlineStr">
        <is>
          <t>是</t>
        </is>
      </c>
      <c r="K159" s="3" t="inlineStr">
        <is>
          <t>Mokslas - Lietuvos ateitis</t>
        </is>
      </c>
      <c r="L159" s="3" t="inlineStr">
        <is>
          <t>Mokslas - Lietuvos ateitis</t>
        </is>
      </c>
      <c r="M159" s="3" t="inlineStr">
        <is>
          <t>2029-2341</t>
        </is>
      </c>
      <c r="N159" s="3" t="inlineStr">
        <is>
          <t>2029-2252</t>
        </is>
      </c>
      <c r="O159" s="3" t="inlineStr">
        <is>
          <t>已取得核验全文</t>
        </is>
      </c>
      <c r="P159" s="3" t="inlineStr">
        <is>
          <t>是</t>
        </is>
      </c>
      <c r="Q159" s="3" t="inlineStr">
        <is>
          <t>当前无补充材料原件；沿用既有缺失/无附件证据，不据此认定无附件</t>
        </is>
      </c>
      <c r="R159" s="3" t="n">
        <v>2024</v>
      </c>
      <c r="S159" s="3" t="inlineStr">
        <is>
          <t>2025发布版（2024指标年）</t>
        </is>
      </c>
      <c r="T159" s="3" t="inlineStr"/>
      <c r="U159" s="3" t="inlineStr"/>
      <c r="V159" s="3" t="inlineStr">
        <is>
          <t>待核实</t>
        </is>
      </c>
      <c r="W159" s="3" t="inlineStr">
        <is>
          <t>待核实</t>
        </is>
      </c>
      <c r="X159" s="3" t="inlineStr">
        <is>
          <t>否</t>
        </is>
      </c>
      <c r="Y159" s="3" t="inlineStr"/>
      <c r="Z159" s="3" t="inlineStr">
        <is>
          <t>https://api.crossref.org/works/10.3846/mla.2023.17242</t>
        </is>
      </c>
      <c r="AA159" s="3" t="inlineStr">
        <is>
          <t>2024指标年JCR分区未核实；空白不能当非Q1。需要2025发布版/2024指标年的JCR全部学科导出。</t>
        </is>
      </c>
      <c r="AB159" s="3" t="inlineStr">
        <is>
          <t>original_files/R08554/fulltext/fulltext__published__430c90e71cfcd49a.pdf</t>
        </is>
      </c>
      <c r="AC159" s="3" t="inlineStr"/>
      <c r="AD159" s="3" t="inlineStr">
        <is>
          <t>https://github.com/Colliam-Vermilion/FirstCodex/blob/results/ad-oxygen-literature-20261006/results/ad-oxygen-literature-20261006/original_files/R08554/fulltext/fulltext__published__430c90e71cfcd49a.pdf</t>
        </is>
      </c>
    </row>
    <row r="160" ht="48" customHeight="1">
      <c r="A160" s="2" t="inlineStr">
        <is>
          <t>R08646</t>
        </is>
      </c>
      <c r="B160" s="2" t="inlineStr">
        <is>
          <t>Approaches to mitigation of hydrogen sulfide during anaerobic digestion process – A review</t>
        </is>
      </c>
      <c r="C160" s="2" t="inlineStr">
        <is>
          <t>2023</t>
        </is>
      </c>
      <c r="D160" s="2" t="inlineStr">
        <is>
          <t>2023</t>
        </is>
      </c>
      <c r="E160" s="2" t="inlineStr">
        <is>
          <t>10.1016/j.heliyon.2023.e19768</t>
        </is>
      </c>
      <c r="F160" s="2" t="inlineStr">
        <is>
          <t>综述</t>
        </is>
      </c>
      <c r="G160" s="2" t="inlineStr">
        <is>
          <t>4 综述</t>
        </is>
      </c>
      <c r="H160" s="2" t="inlineStr">
        <is>
          <t>是</t>
        </is>
      </c>
      <c r="I160" s="2" t="inlineStr">
        <is>
          <t>综述</t>
        </is>
      </c>
      <c r="J160" s="2" t="inlineStr">
        <is>
          <t>是</t>
        </is>
      </c>
      <c r="K160" s="2" t="inlineStr">
        <is>
          <t>Heliyon</t>
        </is>
      </c>
      <c r="L160" s="2" t="inlineStr">
        <is>
          <t>Heliyon</t>
        </is>
      </c>
      <c r="M160" s="2" t="inlineStr">
        <is>
          <t>2405-8440</t>
        </is>
      </c>
      <c r="N160" s="2" t="inlineStr"/>
      <c r="O160" s="2" t="inlineStr">
        <is>
          <t>已取得核验全文</t>
        </is>
      </c>
      <c r="P160" s="2" t="inlineStr">
        <is>
          <t>是</t>
        </is>
      </c>
      <c r="Q160" s="2" t="inlineStr">
        <is>
          <t>已取得1件原格式补充材料；其中0件唯一关联待核实；完整性未确认</t>
        </is>
      </c>
      <c r="R160" s="2" t="n">
        <v>2024</v>
      </c>
      <c r="S160" s="2" t="inlineStr">
        <is>
          <t>2025发布版（2024指标年）</t>
        </is>
      </c>
      <c r="T160" s="2" t="inlineStr"/>
      <c r="U160" s="2" t="inlineStr"/>
      <c r="V160" s="2" t="inlineStr">
        <is>
          <t>待核实</t>
        </is>
      </c>
      <c r="W160" s="2" t="inlineStr">
        <is>
          <t>待核实</t>
        </is>
      </c>
      <c r="X160" s="2" t="inlineStr">
        <is>
          <t>否</t>
        </is>
      </c>
      <c r="Y160" s="2" t="inlineStr"/>
      <c r="Z160" s="2" t="inlineStr">
        <is>
          <t>https://api.crossref.org/works/10.1016/j.heliyon.2023.e19768</t>
        </is>
      </c>
      <c r="AA160" s="2" t="inlineStr">
        <is>
          <t>2024指标年JCR分区未核实；空白不能当非Q1。需要2025发布版/2024指标年的JCR全部学科导出。</t>
        </is>
      </c>
      <c r="AB160" s="2" t="inlineStr">
        <is>
          <t>original_files/R08646/fulltext/fulltext__published__7df5523334e7d1bb.pdf</t>
        </is>
      </c>
      <c r="AC160" s="2" t="inlineStr">
        <is>
          <t>original_files/R08646/supplementary/supplementary__cfda7e29b12b9784.docx</t>
        </is>
      </c>
      <c r="AD160" s="2" t="inlineStr">
        <is>
          <t>https://github.com/Colliam-Vermilion/FirstCodex/blob/results/ad-oxygen-literature-20261006/results/ad-oxygen-literature-20261006/original_files/R08646/fulltext/fulltext__published__7df5523334e7d1bb.pdf</t>
        </is>
      </c>
    </row>
    <row r="161" ht="48" customHeight="1">
      <c r="A161" s="3" t="inlineStr">
        <is>
          <t>R09219</t>
        </is>
      </c>
      <c r="B161" s="3" t="inlineStr">
        <is>
          <t>Micro-aeration: an attractive strategy to facilitate anaerobic digestion</t>
        </is>
      </c>
      <c r="C161" s="3" t="inlineStr">
        <is>
          <t>2023</t>
        </is>
      </c>
      <c r="D161" s="3" t="inlineStr">
        <is>
          <t>2023</t>
        </is>
      </c>
      <c r="E161" s="3" t="inlineStr">
        <is>
          <t>10.1016/j.tibtech.2022.09.008</t>
        </is>
      </c>
      <c r="F161" s="3" t="inlineStr">
        <is>
          <t>综述</t>
        </is>
      </c>
      <c r="G161" s="3" t="inlineStr">
        <is>
          <t>4 综述</t>
        </is>
      </c>
      <c r="H161" s="3" t="inlineStr">
        <is>
          <t>是</t>
        </is>
      </c>
      <c r="I161" s="3" t="inlineStr">
        <is>
          <t>综述</t>
        </is>
      </c>
      <c r="J161" s="3" t="inlineStr">
        <is>
          <t>是</t>
        </is>
      </c>
      <c r="K161" s="3" t="inlineStr">
        <is>
          <t>TRENDS IN BIOTECHNOLOGY</t>
        </is>
      </c>
      <c r="L161" s="3" t="inlineStr">
        <is>
          <t>Trends in Biotechnology</t>
        </is>
      </c>
      <c r="M161" s="3" t="inlineStr">
        <is>
          <t>0167-7799</t>
        </is>
      </c>
      <c r="N161" s="3" t="inlineStr"/>
      <c r="O161" s="3" t="inlineStr">
        <is>
          <t>已取得核验全文</t>
        </is>
      </c>
      <c r="P161" s="3" t="inlineStr">
        <is>
          <t>是</t>
        </is>
      </c>
      <c r="Q161" s="3" t="inlineStr">
        <is>
          <t>当前无补充材料原件；沿用既有缺失/无附件证据，不据此认定无附件</t>
        </is>
      </c>
      <c r="R161" s="3" t="n">
        <v>2024</v>
      </c>
      <c r="S161" s="3" t="inlineStr">
        <is>
          <t>2025发布版（2024指标年）</t>
        </is>
      </c>
      <c r="T161" s="3" t="inlineStr">
        <is>
          <t>BIOTECHNOLOGY &amp; APPLIED MICROBIOLOGY</t>
        </is>
      </c>
      <c r="U161" s="3" t="inlineStr">
        <is>
          <t>BIOTECHNOLOGY &amp; APPLIED MICROBIOLOGY: Q1</t>
        </is>
      </c>
      <c r="V161" s="4" t="inlineStr">
        <is>
          <t>是</t>
        </is>
      </c>
      <c r="W161" s="4" t="inlineStr">
        <is>
          <t>是</t>
        </is>
      </c>
      <c r="X161" s="3" t="inlineStr">
        <is>
          <t>是</t>
        </is>
      </c>
      <c r="Y161" s="3" t="inlineStr">
        <is>
          <t>https://topj.lib.whu.edu.cn/show.asp?cat=zk&amp;id=6421</t>
        </is>
      </c>
      <c r="Z161" s="3" t="inlineStr">
        <is>
          <t>https://api.crossref.org/works/10.1016/j.tibtech.2022.09.008</t>
        </is>
      </c>
      <c r="AA16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61" s="3" t="inlineStr">
        <is>
          <t>original_files/R09219/fulltext/fulltext__published__8df39ca7cbd1b2fe.pdf</t>
        </is>
      </c>
      <c r="AC161" s="3" t="inlineStr"/>
      <c r="AD161" s="3" t="inlineStr">
        <is>
          <t>https://github.com/Colliam-Vermilion/FirstCodex/blob/results/ad-oxygen-literature-20261006/results/ad-oxygen-literature-20261006/original_files/R09219/fulltext/fulltext__published__8df39ca7cbd1b2fe.pdf</t>
        </is>
      </c>
    </row>
    <row r="162" ht="48" customHeight="1">
      <c r="A162" s="2" t="inlineStr">
        <is>
          <t>R09221</t>
        </is>
      </c>
      <c r="B162" s="2" t="inlineStr">
        <is>
          <t>Microaerobic condition as pretreatment for improving anaerobic digestion: A review</t>
        </is>
      </c>
      <c r="C162" s="2" t="inlineStr">
        <is>
          <t>2023</t>
        </is>
      </c>
      <c r="D162" s="2" t="inlineStr">
        <is>
          <t>2023</t>
        </is>
      </c>
      <c r="E162" s="2" t="inlineStr">
        <is>
          <t>10.1016/j.biortech.2023.129249</t>
        </is>
      </c>
      <c r="F162" s="2" t="inlineStr">
        <is>
          <t>综述</t>
        </is>
      </c>
      <c r="G162" s="2" t="inlineStr">
        <is>
          <t>4 综述</t>
        </is>
      </c>
      <c r="H162" s="2" t="inlineStr">
        <is>
          <t>是</t>
        </is>
      </c>
      <c r="I162" s="2" t="inlineStr">
        <is>
          <t>综述</t>
        </is>
      </c>
      <c r="J162" s="2" t="inlineStr">
        <is>
          <t>是</t>
        </is>
      </c>
      <c r="K162" s="2" t="inlineStr">
        <is>
          <t>BIORESOURCE TECHNOLOGY</t>
        </is>
      </c>
      <c r="L162" s="2" t="inlineStr">
        <is>
          <t>Bioresource Technology</t>
        </is>
      </c>
      <c r="M162" s="2" t="inlineStr">
        <is>
          <t>0960-8524</t>
        </is>
      </c>
      <c r="N162" s="2" t="inlineStr"/>
      <c r="O162" s="2" t="inlineStr">
        <is>
          <t>已取得核验全文</t>
        </is>
      </c>
      <c r="P162" s="2" t="inlineStr">
        <is>
          <t>是</t>
        </is>
      </c>
      <c r="Q162" s="2" t="inlineStr">
        <is>
          <t>已取得1件原格式补充材料；其中0件唯一关联待核实；完整性未确认</t>
        </is>
      </c>
      <c r="R162" s="2" t="n">
        <v>2024</v>
      </c>
      <c r="S162" s="2" t="inlineStr">
        <is>
          <t>2025发布版（2024指标年）</t>
        </is>
      </c>
      <c r="T162" s="2" t="inlineStr">
        <is>
          <t>AGRICULTURAL ENGINEERING; BIOTECHNOLOGY &amp; APPLIED MICROBIOLOGY; ENERGY &amp; FUELS</t>
        </is>
      </c>
      <c r="U162" s="2" t="inlineStr">
        <is>
          <t>AGRICULTURAL ENGINEERING: Q1; BIOTECHNOLOGY &amp; APPLIED MICROBIOLOGY: Q1; ENERGY &amp; FUELS: Q1</t>
        </is>
      </c>
      <c r="V162" s="4" t="inlineStr">
        <is>
          <t>是</t>
        </is>
      </c>
      <c r="W162" s="4" t="inlineStr">
        <is>
          <t>是</t>
        </is>
      </c>
      <c r="X162" s="2" t="inlineStr">
        <is>
          <t>是</t>
        </is>
      </c>
      <c r="Y162" s="2" t="inlineStr">
        <is>
          <t>https://topj.lib.whu.edu.cn/show.asp?cat=zk&amp;id=3976</t>
        </is>
      </c>
      <c r="Z162" s="2" t="inlineStr">
        <is>
          <t>https://api.crossref.org/works/10.1016/j.biortech.2023.129249</t>
        </is>
      </c>
      <c r="AA16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62" s="2" t="inlineStr">
        <is>
          <t>original_files/R09221/fulltext/fulltext__published__132bd1a80d1c8da4.pdf</t>
        </is>
      </c>
      <c r="AC162" s="2" t="inlineStr">
        <is>
          <t>original_files/R09221/supplementary/supplementary__093423399e64a11d.docx</t>
        </is>
      </c>
      <c r="AD162" s="2" t="inlineStr">
        <is>
          <t>https://github.com/Colliam-Vermilion/FirstCodex/blob/results/ad-oxygen-literature-20261006/results/ad-oxygen-literature-20261006/original_files/R09221/fulltext/fulltext__published__132bd1a80d1c8da4.pdf</t>
        </is>
      </c>
    </row>
    <row r="163" ht="48" customHeight="1">
      <c r="A163" s="3" t="inlineStr">
        <is>
          <t>R09682</t>
        </is>
      </c>
      <c r="B163" s="3" t="inlineStr">
        <is>
          <t>A Comprehensive Review of the Strategies to Improve Anaerobic Digestion: Their Mechanism and Digestion Performance</t>
        </is>
      </c>
      <c r="C163" s="3" t="inlineStr">
        <is>
          <t>2024</t>
        </is>
      </c>
      <c r="D163" s="3" t="inlineStr">
        <is>
          <t>2024</t>
        </is>
      </c>
      <c r="E163" s="3" t="inlineStr">
        <is>
          <t>10.3390/methane3020014</t>
        </is>
      </c>
      <c r="F163" s="3" t="inlineStr">
        <is>
          <t>综述</t>
        </is>
      </c>
      <c r="G163" s="3" t="inlineStr">
        <is>
          <t>4 综述</t>
        </is>
      </c>
      <c r="H163" s="3" t="inlineStr">
        <is>
          <t>是</t>
        </is>
      </c>
      <c r="I163" s="3" t="inlineStr">
        <is>
          <t>综述</t>
        </is>
      </c>
      <c r="J163" s="3" t="inlineStr">
        <is>
          <t>是</t>
        </is>
      </c>
      <c r="K163" s="3" t="inlineStr">
        <is>
          <t>Methane</t>
        </is>
      </c>
      <c r="L163" s="3" t="inlineStr">
        <is>
          <t>Methane</t>
        </is>
      </c>
      <c r="M163" s="3" t="inlineStr"/>
      <c r="N163" s="3" t="inlineStr">
        <is>
          <t>2674-0389</t>
        </is>
      </c>
      <c r="O163" s="3" t="inlineStr">
        <is>
          <t>已取得核验全文</t>
        </is>
      </c>
      <c r="P163" s="3" t="inlineStr">
        <is>
          <t>是</t>
        </is>
      </c>
      <c r="Q163" s="3" t="inlineStr">
        <is>
          <t>当前无补充材料原件；沿用既有缺失/无附件证据，不据此认定无附件</t>
        </is>
      </c>
      <c r="R163" s="3" t="n">
        <v>2024</v>
      </c>
      <c r="S163" s="3" t="inlineStr">
        <is>
          <t>2025发布版（2024指标年）</t>
        </is>
      </c>
      <c r="T163" s="3" t="inlineStr"/>
      <c r="U163" s="3" t="inlineStr"/>
      <c r="V163" s="3" t="inlineStr">
        <is>
          <t>待核实</t>
        </is>
      </c>
      <c r="W163" s="3" t="inlineStr">
        <is>
          <t>待核实</t>
        </is>
      </c>
      <c r="X163" s="3" t="inlineStr">
        <is>
          <t>否</t>
        </is>
      </c>
      <c r="Y163" s="3" t="inlineStr"/>
      <c r="Z163" s="3" t="inlineStr">
        <is>
          <t>https://api.crossref.org/works/10.3390/methane3020014</t>
        </is>
      </c>
      <c r="AA163" s="3" t="inlineStr">
        <is>
          <t>2024指标年JCR分区未核实；空白不能当非Q1。需要2025发布版/2024指标年的JCR全部学科导出。</t>
        </is>
      </c>
      <c r="AB163" s="3" t="inlineStr">
        <is>
          <t>original_files/R09682/fulltext/fulltext__published__b986126ef47edf9a.pdf</t>
        </is>
      </c>
      <c r="AC163" s="3" t="inlineStr"/>
      <c r="AD163" s="3" t="inlineStr">
        <is>
          <t>https://github.com/Colliam-Vermilion/FirstCodex/blob/results/ad-oxygen-literature-20261006/results/ad-oxygen-literature-20261006/original_files/R09682/fulltext/fulltext__published__b986126ef47edf9a.pdf</t>
        </is>
      </c>
    </row>
    <row r="164" ht="48" customHeight="1">
      <c r="A164" s="2" t="inlineStr">
        <is>
          <t>R09804</t>
        </is>
      </c>
      <c r="B164" s="2" t="inlineStr">
        <is>
          <t>Anaerobic digestion of process water from hydrothermal treatment processes: a review of inhibitors and detoxification approaches</t>
        </is>
      </c>
      <c r="C164" s="2" t="inlineStr">
        <is>
          <t>2024</t>
        </is>
      </c>
      <c r="D164" s="2" t="inlineStr">
        <is>
          <t>2024</t>
        </is>
      </c>
      <c r="E164" s="2" t="inlineStr">
        <is>
          <t>10.1186/s40643-024-00756-6</t>
        </is>
      </c>
      <c r="F164" s="2" t="inlineStr">
        <is>
          <t>综述</t>
        </is>
      </c>
      <c r="G164" s="2" t="inlineStr">
        <is>
          <t>4 综述</t>
        </is>
      </c>
      <c r="H164" s="2" t="inlineStr">
        <is>
          <t>是</t>
        </is>
      </c>
      <c r="I164" s="2" t="inlineStr">
        <is>
          <t>综述</t>
        </is>
      </c>
      <c r="J164" s="2" t="inlineStr">
        <is>
          <t>是</t>
        </is>
      </c>
      <c r="K164" s="2" t="inlineStr">
        <is>
          <t>Bioresources and Bioprocessing</t>
        </is>
      </c>
      <c r="L164" s="2" t="inlineStr">
        <is>
          <t>Bioresources and Bioprocessing</t>
        </is>
      </c>
      <c r="M164" s="2" t="inlineStr"/>
      <c r="N164" s="2" t="inlineStr">
        <is>
          <t>2197-4365</t>
        </is>
      </c>
      <c r="O164" s="2" t="inlineStr">
        <is>
          <t>已取得核验全文</t>
        </is>
      </c>
      <c r="P164" s="2" t="inlineStr">
        <is>
          <t>是</t>
        </is>
      </c>
      <c r="Q164" s="2" t="inlineStr">
        <is>
          <t>当前无补充材料原件；沿用既有缺失/无附件证据，不据此认定无附件</t>
        </is>
      </c>
      <c r="R164" s="2" t="n">
        <v>2024</v>
      </c>
      <c r="S164" s="2" t="inlineStr">
        <is>
          <t>2025发布版（2024指标年）</t>
        </is>
      </c>
      <c r="T164" s="2" t="inlineStr"/>
      <c r="U164" s="2" t="inlineStr"/>
      <c r="V164" s="2" t="inlineStr">
        <is>
          <t>待核实</t>
        </is>
      </c>
      <c r="W164" s="2" t="inlineStr">
        <is>
          <t>待核实</t>
        </is>
      </c>
      <c r="X164" s="2" t="inlineStr">
        <is>
          <t>否</t>
        </is>
      </c>
      <c r="Y164" s="2" t="inlineStr"/>
      <c r="Z164" s="2" t="inlineStr">
        <is>
          <t>https://api.crossref.org/works/10.1186/s40643-024-00756-6</t>
        </is>
      </c>
      <c r="AA164" s="2" t="inlineStr">
        <is>
          <t>2024指标年JCR分区未核实；空白不能当非Q1。需要2025发布版/2024指标年的JCR全部学科导出。</t>
        </is>
      </c>
      <c r="AB164" s="2" t="inlineStr">
        <is>
          <t>original_files/R09804/fulltext/fulltext__published__b3cc83d613ad3c36.pdf</t>
        </is>
      </c>
      <c r="AC164" s="2" t="inlineStr"/>
      <c r="AD164" s="2" t="inlineStr">
        <is>
          <t>https://github.com/Colliam-Vermilion/FirstCodex/blob/results/ad-oxygen-literature-20261006/results/ad-oxygen-literature-20261006/original_files/R09804/fulltext/fulltext__published__b3cc83d613ad3c36.pdf</t>
        </is>
      </c>
    </row>
    <row r="165" ht="48" customHeight="1">
      <c r="A165" s="3" t="inlineStr">
        <is>
          <t>R09967</t>
        </is>
      </c>
      <c r="B165" s="3" t="inlineStr">
        <is>
          <t>Comparison of different sewage sludge pretreatment technologies for improving sludge solubilization and anaerobic digestion efficiency: A comprehensive review</t>
        </is>
      </c>
      <c r="C165" s="3" t="inlineStr">
        <is>
          <t>2024</t>
        </is>
      </c>
      <c r="D165" s="3" t="inlineStr">
        <is>
          <t>2024</t>
        </is>
      </c>
      <c r="E165" s="3" t="inlineStr">
        <is>
          <t>10.1016/j.scitotenv.2024.171175</t>
        </is>
      </c>
      <c r="F165" s="3" t="inlineStr">
        <is>
          <t>综述</t>
        </is>
      </c>
      <c r="G165" s="3" t="inlineStr">
        <is>
          <t>4 综述</t>
        </is>
      </c>
      <c r="H165" s="3" t="inlineStr">
        <is>
          <t>是</t>
        </is>
      </c>
      <c r="I165" s="3" t="inlineStr">
        <is>
          <t>综述</t>
        </is>
      </c>
      <c r="J165" s="3" t="inlineStr">
        <is>
          <t>是</t>
        </is>
      </c>
      <c r="K165" s="3" t="inlineStr">
        <is>
          <t>Science of The Total Environment</t>
        </is>
      </c>
      <c r="L165" s="3" t="inlineStr">
        <is>
          <t>Science of The Total Environment</t>
        </is>
      </c>
      <c r="M165" s="3" t="inlineStr">
        <is>
          <t>0048-9697</t>
        </is>
      </c>
      <c r="N165" s="3" t="inlineStr"/>
      <c r="O165" s="3" t="inlineStr">
        <is>
          <t>已取得核验全文</t>
        </is>
      </c>
      <c r="P165" s="3" t="inlineStr">
        <is>
          <t>是</t>
        </is>
      </c>
      <c r="Q165" s="3" t="inlineStr">
        <is>
          <t>当前无补充材料原件；沿用既有缺失/无附件证据，不据此认定无附件</t>
        </is>
      </c>
      <c r="R165" s="3" t="n">
        <v>2024</v>
      </c>
      <c r="S165" s="3" t="inlineStr">
        <is>
          <t>2025发布版（2024指标年）</t>
        </is>
      </c>
      <c r="T165" s="3" t="inlineStr">
        <is>
          <t>ENVIRONMENTAL SCIENCES</t>
        </is>
      </c>
      <c r="U165" s="3" t="inlineStr">
        <is>
          <t>ENVIRONMENTAL SCIENCES: Q1</t>
        </is>
      </c>
      <c r="V165" s="4" t="inlineStr">
        <is>
          <t>是</t>
        </is>
      </c>
      <c r="W165" s="4" t="inlineStr">
        <is>
          <t>是</t>
        </is>
      </c>
      <c r="X165" s="3" t="inlineStr">
        <is>
          <t>是</t>
        </is>
      </c>
      <c r="Y165" s="3" t="inlineStr">
        <is>
          <t>https://topj.lib.whu.edu.cn/show.asp?cat=zk&amp;id=4001</t>
        </is>
      </c>
      <c r="Z165" s="3" t="inlineStr">
        <is>
          <t>https://api.crossref.org/works/10.1016/j.scitotenv.2024.171175</t>
        </is>
      </c>
      <c r="AA16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65" s="3" t="inlineStr">
        <is>
          <t>original_files/R09967/fulltext/fulltext__published__efa5aba0f7708749.pdf</t>
        </is>
      </c>
      <c r="AC165" s="3" t="inlineStr"/>
      <c r="AD165" s="3" t="inlineStr">
        <is>
          <t>https://github.com/Colliam-Vermilion/FirstCodex/blob/results/ad-oxygen-literature-20261006/results/ad-oxygen-literature-20261006/original_files/R09967/fulltext/fulltext__published__efa5aba0f7708749.pdf</t>
        </is>
      </c>
    </row>
    <row r="166" ht="48" customHeight="1">
      <c r="A166" s="2" t="inlineStr">
        <is>
          <t>R10199</t>
        </is>
      </c>
      <c r="B166" s="2" t="inlineStr">
        <is>
          <t>Enhancing anaerobic digestion Efficiency: A comprehensive review on innovative intensification technologies</t>
        </is>
      </c>
      <c r="C166" s="2" t="inlineStr">
        <is>
          <t>2024</t>
        </is>
      </c>
      <c r="D166" s="2" t="inlineStr">
        <is>
          <t>2024</t>
        </is>
      </c>
      <c r="E166" s="2" t="inlineStr">
        <is>
          <t>10.1016/j.enconman.2024.118979</t>
        </is>
      </c>
      <c r="F166" s="2" t="inlineStr">
        <is>
          <t>综述</t>
        </is>
      </c>
      <c r="G166" s="2" t="inlineStr">
        <is>
          <t>4 综述</t>
        </is>
      </c>
      <c r="H166" s="2" t="inlineStr">
        <is>
          <t>是</t>
        </is>
      </c>
      <c r="I166" s="2" t="inlineStr">
        <is>
          <t>综述</t>
        </is>
      </c>
      <c r="J166" s="2" t="inlineStr">
        <is>
          <t>是</t>
        </is>
      </c>
      <c r="K166" s="2" t="inlineStr">
        <is>
          <t>ENERGY CONVERSION AND MANAGEMENT</t>
        </is>
      </c>
      <c r="L166" s="2" t="inlineStr">
        <is>
          <t>Energy Conversion and Management</t>
        </is>
      </c>
      <c r="M166" s="2" t="inlineStr">
        <is>
          <t>0196-8904</t>
        </is>
      </c>
      <c r="N166" s="2" t="inlineStr"/>
      <c r="O166" s="2" t="inlineStr">
        <is>
          <t>已取得核验全文</t>
        </is>
      </c>
      <c r="P166" s="2" t="inlineStr">
        <is>
          <t>是</t>
        </is>
      </c>
      <c r="Q166" s="2" t="inlineStr">
        <is>
          <t>已取得1件原格式补充材料；其中0件唯一关联待核实；完整性未确认</t>
        </is>
      </c>
      <c r="R166" s="2" t="n">
        <v>2024</v>
      </c>
      <c r="S166" s="2" t="inlineStr">
        <is>
          <t>2025发布版（2024指标年）</t>
        </is>
      </c>
      <c r="T166" s="2" t="inlineStr">
        <is>
          <t>THERMODYNAMICS; ENERGY &amp; FUELS; MECHANICS</t>
        </is>
      </c>
      <c r="U166" s="2" t="inlineStr">
        <is>
          <t>THERMODYNAMICS: Q1; ENERGY &amp; FUELS: Q1; MECHANICS: Q1</t>
        </is>
      </c>
      <c r="V166" s="4" t="inlineStr">
        <is>
          <t>是</t>
        </is>
      </c>
      <c r="W166" s="4" t="inlineStr">
        <is>
          <t>是</t>
        </is>
      </c>
      <c r="X166" s="2" t="inlineStr">
        <is>
          <t>是</t>
        </is>
      </c>
      <c r="Y166" s="2" t="inlineStr">
        <is>
          <t>https://topj.lib.whu.edu.cn/show.asp?cat=esi&amp;id=3481</t>
        </is>
      </c>
      <c r="Z166" s="2" t="inlineStr">
        <is>
          <t>https://api.crossref.org/works/10.1016/j.enconman.2024.118979</t>
        </is>
      </c>
      <c r="AA16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66" s="2" t="inlineStr">
        <is>
          <t>original_files/R10199/fulltext/fulltext__published__cc31037d7e3f371b.pdf</t>
        </is>
      </c>
      <c r="AC166" s="2" t="inlineStr">
        <is>
          <t>original_files/R10199/supplementary/supplementary__27f4e95ca4af6636.docx</t>
        </is>
      </c>
      <c r="AD166" s="2" t="inlineStr">
        <is>
          <t>https://github.com/Colliam-Vermilion/FirstCodex/blob/results/ad-oxygen-literature-20261006/results/ad-oxygen-literature-20261006/original_files/R10199/fulltext/fulltext__published__cc31037d7e3f371b.pdf</t>
        </is>
      </c>
    </row>
    <row r="167" ht="48" customHeight="1">
      <c r="A167" s="3" t="inlineStr">
        <is>
          <t>R10386</t>
        </is>
      </c>
      <c r="B167" s="3" t="inlineStr">
        <is>
          <t>Influential factors in anaerobic digestion of rice-derived food waste and animal manure: A comprehensive review</t>
        </is>
      </c>
      <c r="C167" s="3" t="inlineStr">
        <is>
          <t>2024</t>
        </is>
      </c>
      <c r="D167" s="3" t="inlineStr">
        <is>
          <t>2024</t>
        </is>
      </c>
      <c r="E167" s="3" t="inlineStr">
        <is>
          <t>10.1016/j.biortech.2024.131398</t>
        </is>
      </c>
      <c r="F167" s="3" t="inlineStr">
        <is>
          <t>综述</t>
        </is>
      </c>
      <c r="G167" s="3" t="inlineStr">
        <is>
          <t>4 综述</t>
        </is>
      </c>
      <c r="H167" s="3" t="inlineStr">
        <is>
          <t>是</t>
        </is>
      </c>
      <c r="I167" s="3" t="inlineStr">
        <is>
          <t>综述</t>
        </is>
      </c>
      <c r="J167" s="3" t="inlineStr">
        <is>
          <t>是</t>
        </is>
      </c>
      <c r="K167" s="3" t="inlineStr">
        <is>
          <t>BIORESOURCE TECHNOLOGY</t>
        </is>
      </c>
      <c r="L167" s="3" t="inlineStr">
        <is>
          <t>Bioresource Technology</t>
        </is>
      </c>
      <c r="M167" s="3" t="inlineStr">
        <is>
          <t>0960-8524</t>
        </is>
      </c>
      <c r="N167" s="3" t="inlineStr"/>
      <c r="O167" s="3" t="inlineStr">
        <is>
          <t>已取得核验全文</t>
        </is>
      </c>
      <c r="P167" s="3" t="inlineStr">
        <is>
          <t>是</t>
        </is>
      </c>
      <c r="Q167" s="3" t="inlineStr">
        <is>
          <t>当前无补充材料原件；沿用既有缺失/无附件证据，不据此认定无附件</t>
        </is>
      </c>
      <c r="R167" s="3" t="n">
        <v>2024</v>
      </c>
      <c r="S167" s="3" t="inlineStr">
        <is>
          <t>2025发布版（2024指标年）</t>
        </is>
      </c>
      <c r="T167" s="3" t="inlineStr">
        <is>
          <t>AGRICULTURAL ENGINEERING; BIOTECHNOLOGY &amp; APPLIED MICROBIOLOGY; ENERGY &amp; FUELS</t>
        </is>
      </c>
      <c r="U167" s="3" t="inlineStr">
        <is>
          <t>AGRICULTURAL ENGINEERING: Q1; BIOTECHNOLOGY &amp; APPLIED MICROBIOLOGY: Q1; ENERGY &amp; FUELS: Q1</t>
        </is>
      </c>
      <c r="V167" s="4" t="inlineStr">
        <is>
          <t>是</t>
        </is>
      </c>
      <c r="W167" s="4" t="inlineStr">
        <is>
          <t>是</t>
        </is>
      </c>
      <c r="X167" s="3" t="inlineStr">
        <is>
          <t>是</t>
        </is>
      </c>
      <c r="Y167" s="3" t="inlineStr">
        <is>
          <t>https://topj.lib.whu.edu.cn/show.asp?cat=zk&amp;id=3976</t>
        </is>
      </c>
      <c r="Z167" s="3" t="inlineStr">
        <is>
          <t>https://api.crossref.org/works/10.1016/j.biortech.2024.131398</t>
        </is>
      </c>
      <c r="AA16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67" s="3" t="inlineStr">
        <is>
          <t>original_files/R10386/fulltext/fulltext__published__ce0e9413a6fb2f3f.pdf</t>
        </is>
      </c>
      <c r="AC167" s="3" t="inlineStr"/>
      <c r="AD167" s="3" t="inlineStr">
        <is>
          <t>https://github.com/Colliam-Vermilion/FirstCodex/blob/results/ad-oxygen-literature-20261006/results/ad-oxygen-literature-20261006/original_files/R10386/fulltext/fulltext__published__ce0e9413a6fb2f3f.pdf</t>
        </is>
      </c>
    </row>
    <row r="168" ht="48" customHeight="1">
      <c r="A168" s="2" t="inlineStr">
        <is>
          <t>R10393</t>
        </is>
      </c>
      <c r="B168" s="2" t="inlineStr">
        <is>
          <t>Insights into current bio-processes and future perspectives of carbon-neutral treatment of industrial organic wastewater: A critical review</t>
        </is>
      </c>
      <c r="C168" s="2" t="inlineStr">
        <is>
          <t>2024</t>
        </is>
      </c>
      <c r="D168" s="2" t="inlineStr">
        <is>
          <t>2024</t>
        </is>
      </c>
      <c r="E168" s="2" t="inlineStr">
        <is>
          <t>10.1016/j.envres.2023.117630</t>
        </is>
      </c>
      <c r="F168" s="2" t="inlineStr">
        <is>
          <t>综述</t>
        </is>
      </c>
      <c r="G168" s="2" t="inlineStr">
        <is>
          <t>4 综述</t>
        </is>
      </c>
      <c r="H168" s="2" t="inlineStr">
        <is>
          <t>是</t>
        </is>
      </c>
      <c r="I168" s="2" t="inlineStr">
        <is>
          <t>综述</t>
        </is>
      </c>
      <c r="J168" s="2" t="inlineStr">
        <is>
          <t>是</t>
        </is>
      </c>
      <c r="K168" s="2" t="inlineStr">
        <is>
          <t>ENVIRONMENTAL RESEARCH</t>
        </is>
      </c>
      <c r="L168" s="2" t="inlineStr">
        <is>
          <t>Environmental Research</t>
        </is>
      </c>
      <c r="M168" s="2" t="inlineStr">
        <is>
          <t>0013-9351</t>
        </is>
      </c>
      <c r="N168" s="2" t="inlineStr"/>
      <c r="O168" s="2" t="inlineStr">
        <is>
          <t>已取得核验全文</t>
        </is>
      </c>
      <c r="P168" s="2" t="inlineStr">
        <is>
          <t>是</t>
        </is>
      </c>
      <c r="Q168" s="2" t="inlineStr">
        <is>
          <t>当前无补充材料原件；沿用既有缺失/无附件证据，不据此认定无附件</t>
        </is>
      </c>
      <c r="R168" s="2" t="n">
        <v>2024</v>
      </c>
      <c r="S168" s="2" t="inlineStr">
        <is>
          <t>2025发布版（2024指标年）</t>
        </is>
      </c>
      <c r="T168" s="2" t="inlineStr">
        <is>
          <t>ENVIRONMENTAL SCIENCES; PUBLIC, ENVIRONMENTAL &amp; OCCUPATIONAL HEALTH</t>
        </is>
      </c>
      <c r="U168" s="2" t="inlineStr">
        <is>
          <t>ENVIRONMENTAL SCIENCES: Q1; PUBLIC, ENVIRONMENTAL &amp; OCCUPATIONAL HEALTH: Q1</t>
        </is>
      </c>
      <c r="V168" s="4" t="inlineStr">
        <is>
          <t>是</t>
        </is>
      </c>
      <c r="W168" s="4" t="inlineStr">
        <is>
          <t>是</t>
        </is>
      </c>
      <c r="X168" s="2" t="inlineStr">
        <is>
          <t>是</t>
        </is>
      </c>
      <c r="Y168" s="2" t="inlineStr">
        <is>
          <t>https://topj.lib.whu.edu.cn/show.asp?cat=esi&amp;id=3602</t>
        </is>
      </c>
      <c r="Z168" s="2" t="inlineStr">
        <is>
          <t>https://api.crossref.org/works/10.1016/j.envres.2023.117630</t>
        </is>
      </c>
      <c r="AA16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68" s="2" t="inlineStr">
        <is>
          <t>original_files/R10393/fulltext/fulltext__published__ead73733800a5c1f.pdf</t>
        </is>
      </c>
      <c r="AC168" s="2" t="inlineStr"/>
      <c r="AD168" s="2" t="inlineStr">
        <is>
          <t>https://github.com/Colliam-Vermilion/FirstCodex/blob/results/ad-oxygen-literature-20261006/results/ad-oxygen-literature-20261006/original_files/R10393/fulltext/fulltext__published__ead73733800a5c1f.pdf</t>
        </is>
      </c>
    </row>
    <row r="169" ht="48" customHeight="1">
      <c r="A169" s="3" t="inlineStr">
        <is>
          <t>R10512</t>
        </is>
      </c>
      <c r="B169" s="3" t="inlineStr">
        <is>
          <t>Micro-aeration based anaerobic digestion for food waste treatment: A review</t>
        </is>
      </c>
      <c r="C169" s="3" t="inlineStr">
        <is>
          <t>2024</t>
        </is>
      </c>
      <c r="D169" s="3" t="inlineStr">
        <is>
          <t>2024</t>
        </is>
      </c>
      <c r="E169" s="3" t="inlineStr">
        <is>
          <t>10.1016/j.jwpe.2024.104814</t>
        </is>
      </c>
      <c r="F169" s="3" t="inlineStr">
        <is>
          <t>综述</t>
        </is>
      </c>
      <c r="G169" s="3" t="inlineStr">
        <is>
          <t>4 综述</t>
        </is>
      </c>
      <c r="H169" s="3" t="inlineStr">
        <is>
          <t>是</t>
        </is>
      </c>
      <c r="I169" s="3" t="inlineStr">
        <is>
          <t>综述</t>
        </is>
      </c>
      <c r="J169" s="3" t="inlineStr">
        <is>
          <t>是</t>
        </is>
      </c>
      <c r="K169" s="3" t="inlineStr">
        <is>
          <t>Journal of Water Process Engineering</t>
        </is>
      </c>
      <c r="L169" s="3" t="inlineStr">
        <is>
          <t>Journal of Water Process Engineering</t>
        </is>
      </c>
      <c r="M169" s="3" t="inlineStr">
        <is>
          <t>2214-7144</t>
        </is>
      </c>
      <c r="N169" s="3" t="inlineStr"/>
      <c r="O169" s="3" t="inlineStr">
        <is>
          <t>已取得核验全文</t>
        </is>
      </c>
      <c r="P169" s="3" t="inlineStr">
        <is>
          <t>是</t>
        </is>
      </c>
      <c r="Q169" s="3" t="inlineStr">
        <is>
          <t>当前无补充材料原件；沿用既有缺失/无附件证据，不据此认定无附件</t>
        </is>
      </c>
      <c r="R169" s="3" t="n">
        <v>2024</v>
      </c>
      <c r="S169" s="3" t="inlineStr">
        <is>
          <t>2025发布版（2024指标年）</t>
        </is>
      </c>
      <c r="T169" s="3" t="inlineStr">
        <is>
          <t>WATER RESOURCES; ENGINEERING, CHEMICAL; ENGINEERING, ENVIRONMENTAL</t>
        </is>
      </c>
      <c r="U169" s="3" t="inlineStr">
        <is>
          <t>WATER RESOURCES: Q1; ENGINEERING, CHEMICAL: Q1; ENGINEERING, ENVIRONMENTAL: Q2</t>
        </is>
      </c>
      <c r="V169" s="4" t="inlineStr">
        <is>
          <t>是</t>
        </is>
      </c>
      <c r="W169" s="3" t="inlineStr">
        <is>
          <t>否</t>
        </is>
      </c>
      <c r="X169" s="3" t="inlineStr">
        <is>
          <t>是</t>
        </is>
      </c>
      <c r="Y169" s="3" t="inlineStr">
        <is>
          <t>https://topj.lib.whu.edu.cn/show.asp?cat=sci&amp;id=6383</t>
        </is>
      </c>
      <c r="Z169" s="3" t="inlineStr">
        <is>
          <t>https://api.crossref.org/works/10.1016/j.jwpe.2024.104814</t>
        </is>
      </c>
      <c r="AA16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69" s="3" t="inlineStr">
        <is>
          <t>original_files/R10512/fulltext/fulltext__published__deab3c9b11624def.pdf</t>
        </is>
      </c>
      <c r="AC169" s="3" t="inlineStr"/>
      <c r="AD169" s="3" t="inlineStr">
        <is>
          <t>https://github.com/Colliam-Vermilion/FirstCodex/blob/results/ad-oxygen-literature-20261006/results/ad-oxygen-literature-20261006/original_files/R10512/fulltext/fulltext__published__deab3c9b11624def.pdf</t>
        </is>
      </c>
    </row>
    <row r="170" ht="48" customHeight="1">
      <c r="A170" s="2" t="inlineStr">
        <is>
          <t>R10894</t>
        </is>
      </c>
      <c r="B170" s="2" t="inlineStr">
        <is>
          <t>The effects of different pretreatment technologies on microbial community in anaerobic digestion process: A systematic review</t>
        </is>
      </c>
      <c r="C170" s="2" t="inlineStr">
        <is>
          <t>2024</t>
        </is>
      </c>
      <c r="D170" s="2" t="inlineStr">
        <is>
          <t>2024</t>
        </is>
      </c>
      <c r="E170" s="2" t="inlineStr">
        <is>
          <t>10.1007/s40201-024-00917-x</t>
        </is>
      </c>
      <c r="F170" s="2" t="inlineStr">
        <is>
          <t>综述</t>
        </is>
      </c>
      <c r="G170" s="2" t="inlineStr">
        <is>
          <t>4 综述</t>
        </is>
      </c>
      <c r="H170" s="2" t="inlineStr">
        <is>
          <t>是</t>
        </is>
      </c>
      <c r="I170" s="2" t="inlineStr">
        <is>
          <t>综述</t>
        </is>
      </c>
      <c r="J170" s="2" t="inlineStr">
        <is>
          <t>是</t>
        </is>
      </c>
      <c r="K170" s="2" t="inlineStr">
        <is>
          <t>Journal of Environmental Health Science and Engineering</t>
        </is>
      </c>
      <c r="L170" s="2" t="inlineStr">
        <is>
          <t>Journal of Environmental Health Science and Engineering</t>
        </is>
      </c>
      <c r="M170" s="2" t="inlineStr"/>
      <c r="N170" s="2" t="inlineStr">
        <is>
          <t>2052-336X</t>
        </is>
      </c>
      <c r="O170" s="2" t="inlineStr">
        <is>
          <t>已取得核验全文</t>
        </is>
      </c>
      <c r="P170" s="2" t="inlineStr">
        <is>
          <t>是</t>
        </is>
      </c>
      <c r="Q170" s="2" t="inlineStr">
        <is>
          <t>当前无补充材料原件；沿用既有缺失/无附件证据，不据此认定无附件</t>
        </is>
      </c>
      <c r="R170" s="2" t="n">
        <v>2024</v>
      </c>
      <c r="S170" s="2" t="inlineStr">
        <is>
          <t>2025发布版（2024指标年）</t>
        </is>
      </c>
      <c r="T170" s="2" t="inlineStr"/>
      <c r="U170" s="2" t="inlineStr"/>
      <c r="V170" s="2" t="inlineStr">
        <is>
          <t>待核实</t>
        </is>
      </c>
      <c r="W170" s="2" t="inlineStr">
        <is>
          <t>待核实</t>
        </is>
      </c>
      <c r="X170" s="2" t="inlineStr">
        <is>
          <t>否</t>
        </is>
      </c>
      <c r="Y170" s="2" t="inlineStr"/>
      <c r="Z170" s="2" t="inlineStr">
        <is>
          <t>https://api.crossref.org/works/10.1007/s40201-024-00917-x</t>
        </is>
      </c>
      <c r="AA170" s="2" t="inlineStr">
        <is>
          <t>2024指标年JCR分区未核实；空白不能当非Q1。需要2025发布版/2024指标年的JCR全部学科导出。</t>
        </is>
      </c>
      <c r="AB170" s="2" t="inlineStr">
        <is>
          <t>original_files/R10894/fulltext/fulltext__published__f9caf3b730e23f0d.pdf</t>
        </is>
      </c>
      <c r="AC170" s="2" t="inlineStr"/>
      <c r="AD170" s="2" t="inlineStr">
        <is>
          <t>https://github.com/Colliam-Vermilion/FirstCodex/blob/results/ad-oxygen-literature-20261006/results/ad-oxygen-literature-20261006/original_files/R10894/fulltext/fulltext__published__f9caf3b730e23f0d.pdf</t>
        </is>
      </c>
    </row>
    <row r="171" ht="48" customHeight="1">
      <c r="A171" s="3" t="inlineStr">
        <is>
          <t>R11448</t>
        </is>
      </c>
      <c r="B171" s="3" t="inlineStr">
        <is>
          <t>Emerging materials and pretreatment strategies in anaerobic digestion for biogas production: A review on recent advances, limitations, and future perspectives</t>
        </is>
      </c>
      <c r="C171" s="3" t="inlineStr">
        <is>
          <t>2025</t>
        </is>
      </c>
      <c r="D171" s="3" t="inlineStr">
        <is>
          <t>2025</t>
        </is>
      </c>
      <c r="E171" s="3" t="inlineStr">
        <is>
          <t>10.1016/j.indcrop.2025.121939</t>
        </is>
      </c>
      <c r="F171" s="3" t="inlineStr">
        <is>
          <t>综述</t>
        </is>
      </c>
      <c r="G171" s="3" t="inlineStr">
        <is>
          <t>4 综述</t>
        </is>
      </c>
      <c r="H171" s="3" t="inlineStr">
        <is>
          <t>是</t>
        </is>
      </c>
      <c r="I171" s="3" t="inlineStr">
        <is>
          <t>综述</t>
        </is>
      </c>
      <c r="J171" s="3" t="inlineStr">
        <is>
          <t>是</t>
        </is>
      </c>
      <c r="K171" s="3" t="inlineStr">
        <is>
          <t>INDUSTRIAL CROPS AND PRODUCTS</t>
        </is>
      </c>
      <c r="L171" s="3" t="inlineStr">
        <is>
          <t>Industrial Crops and Products</t>
        </is>
      </c>
      <c r="M171" s="3" t="inlineStr">
        <is>
          <t>0926-6690</t>
        </is>
      </c>
      <c r="N171" s="3" t="inlineStr"/>
      <c r="O171" s="3" t="inlineStr">
        <is>
          <t>已取得核验全文</t>
        </is>
      </c>
      <c r="P171" s="3" t="inlineStr">
        <is>
          <t>是</t>
        </is>
      </c>
      <c r="Q171" s="3" t="inlineStr">
        <is>
          <t>当前无补充材料原件；沿用既有缺失/无附件证据，不据此认定无附件</t>
        </is>
      </c>
      <c r="R171" s="3" t="n">
        <v>2024</v>
      </c>
      <c r="S171" s="3" t="inlineStr">
        <is>
          <t>2025发布版（2024指标年）</t>
        </is>
      </c>
      <c r="T171" s="3" t="inlineStr">
        <is>
          <t>AGRICULTURAL ENGINEERING; AGRONOMY</t>
        </is>
      </c>
      <c r="U171" s="3" t="inlineStr">
        <is>
          <t>AGRICULTURAL ENGINEERING: Q1; AGRONOMY: Q1</t>
        </is>
      </c>
      <c r="V171" s="4" t="inlineStr">
        <is>
          <t>是</t>
        </is>
      </c>
      <c r="W171" s="4" t="inlineStr">
        <is>
          <t>是</t>
        </is>
      </c>
      <c r="X171" s="3" t="inlineStr">
        <is>
          <t>是</t>
        </is>
      </c>
      <c r="Y171" s="3" t="inlineStr">
        <is>
          <t>https://topj.lib.whu.edu.cn/show.asp?cat=sci&amp;id=1314</t>
        </is>
      </c>
      <c r="Z171" s="3" t="inlineStr">
        <is>
          <t>https://api.crossref.org/works/10.1016/j.indcrop.2025.121939</t>
        </is>
      </c>
      <c r="AA17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71" s="3" t="inlineStr">
        <is>
          <t>original_files/R11448/fulltext/fulltext__published__c8b73809eeb340c8.pdf</t>
        </is>
      </c>
      <c r="AC171" s="3" t="inlineStr"/>
      <c r="AD171" s="3" t="inlineStr">
        <is>
          <t>https://github.com/Colliam-Vermilion/FirstCodex/blob/results/ad-oxygen-literature-20261006/results/ad-oxygen-literature-20261006/original_files/R11448/fulltext/fulltext__published__c8b73809eeb340c8.pdf</t>
        </is>
      </c>
    </row>
    <row r="172" ht="48" customHeight="1">
      <c r="A172" s="2" t="inlineStr">
        <is>
          <t>R11503</t>
        </is>
      </c>
      <c r="B172" s="2" t="inlineStr">
        <is>
          <t>Enhancing Anaerobic Digestion of Agricultural By-Products: Insights and Future Directions in Microaeration</t>
        </is>
      </c>
      <c r="C172" s="2" t="inlineStr">
        <is>
          <t>2025</t>
        </is>
      </c>
      <c r="D172" s="2" t="inlineStr">
        <is>
          <t>2025</t>
        </is>
      </c>
      <c r="E172" s="2" t="inlineStr">
        <is>
          <t>10.3390/bioengineering12101117</t>
        </is>
      </c>
      <c r="F172" s="2" t="inlineStr">
        <is>
          <t>综述</t>
        </is>
      </c>
      <c r="G172" s="2" t="inlineStr">
        <is>
          <t>4 综述</t>
        </is>
      </c>
      <c r="H172" s="2" t="inlineStr">
        <is>
          <t>是</t>
        </is>
      </c>
      <c r="I172" s="2" t="inlineStr">
        <is>
          <t>综述</t>
        </is>
      </c>
      <c r="J172" s="2" t="inlineStr">
        <is>
          <t>是</t>
        </is>
      </c>
      <c r="K172" s="2" t="inlineStr">
        <is>
          <t>Bioengineering</t>
        </is>
      </c>
      <c r="L172" s="2" t="inlineStr">
        <is>
          <t>Bioengineering</t>
        </is>
      </c>
      <c r="M172" s="2" t="inlineStr"/>
      <c r="N172" s="2" t="inlineStr">
        <is>
          <t>2306-5354</t>
        </is>
      </c>
      <c r="O172" s="2" t="inlineStr">
        <is>
          <t>已取得核验全文</t>
        </is>
      </c>
      <c r="P172" s="2" t="inlineStr">
        <is>
          <t>是</t>
        </is>
      </c>
      <c r="Q172" s="2" t="inlineStr">
        <is>
          <t>当前无补充材料原件；沿用既有缺失/无附件证据，不据此认定无附件</t>
        </is>
      </c>
      <c r="R172" s="2" t="n">
        <v>2024</v>
      </c>
      <c r="S172" s="2" t="inlineStr">
        <is>
          <t>2025发布版（2024指标年）</t>
        </is>
      </c>
      <c r="T172" s="2" t="inlineStr"/>
      <c r="U172" s="2" t="inlineStr"/>
      <c r="V172" s="2" t="inlineStr">
        <is>
          <t>待核实</t>
        </is>
      </c>
      <c r="W172" s="2" t="inlineStr">
        <is>
          <t>待核实</t>
        </is>
      </c>
      <c r="X172" s="2" t="inlineStr">
        <is>
          <t>否</t>
        </is>
      </c>
      <c r="Y172" s="2" t="inlineStr"/>
      <c r="Z172" s="2" t="inlineStr">
        <is>
          <t>https://api.crossref.org/works/10.3390/bioengineering12101117</t>
        </is>
      </c>
      <c r="AA172" s="2" t="inlineStr">
        <is>
          <t>2024指标年JCR分区未核实；空白不能当非Q1。需要2025发布版/2024指标年的JCR全部学科导出。</t>
        </is>
      </c>
      <c r="AB172" s="2" t="inlineStr">
        <is>
          <t>original_files/R11503/fulltext/fulltext__published__1cad4ffe56ebb806.pdf</t>
        </is>
      </c>
      <c r="AC172" s="2" t="inlineStr"/>
      <c r="AD172" s="2" t="inlineStr">
        <is>
          <t>https://github.com/Colliam-Vermilion/FirstCodex/blob/results/ad-oxygen-literature-20261006/results/ad-oxygen-literature-20261006/original_files/R11503/fulltext/fulltext__published__1cad4ffe56ebb806.pdf</t>
        </is>
      </c>
    </row>
    <row r="173" ht="48" customHeight="1">
      <c r="A173" s="3" t="inlineStr">
        <is>
          <t>R11844</t>
        </is>
      </c>
      <c r="B173" s="3" t="inlineStr">
        <is>
          <t>Micro-aeration for improving anaerobic treatment and biogas production from organic pollutants</t>
        </is>
      </c>
      <c r="C173" s="3" t="inlineStr">
        <is>
          <t>2025</t>
        </is>
      </c>
      <c r="D173" s="3" t="inlineStr">
        <is>
          <t>2025</t>
        </is>
      </c>
      <c r="E173" s="3" t="inlineStr">
        <is>
          <t>10.1007/s00253-025-13519-w</t>
        </is>
      </c>
      <c r="F173" s="3" t="inlineStr">
        <is>
          <t>综述</t>
        </is>
      </c>
      <c r="G173" s="3" t="inlineStr">
        <is>
          <t>4 综述</t>
        </is>
      </c>
      <c r="H173" s="3" t="inlineStr">
        <is>
          <t>是</t>
        </is>
      </c>
      <c r="I173" s="3" t="inlineStr">
        <is>
          <t>综述</t>
        </is>
      </c>
      <c r="J173" s="3" t="inlineStr">
        <is>
          <t>是</t>
        </is>
      </c>
      <c r="K173" s="3" t="inlineStr">
        <is>
          <t>APPLIED MICROBIOLOGY AND BIOTECHNOLOGY</t>
        </is>
      </c>
      <c r="L173" s="3" t="inlineStr">
        <is>
          <t>Applied Microbiology and Biotechnology</t>
        </is>
      </c>
      <c r="M173" s="3" t="inlineStr"/>
      <c r="N173" s="3" t="inlineStr">
        <is>
          <t>1432-0614</t>
        </is>
      </c>
      <c r="O173" s="3" t="inlineStr">
        <is>
          <t>已取得核验全文</t>
        </is>
      </c>
      <c r="P173" s="3" t="inlineStr">
        <is>
          <t>是</t>
        </is>
      </c>
      <c r="Q173" s="3" t="inlineStr">
        <is>
          <t>已取得1件原格式补充材料；其中0件唯一关联待核实；完整性未确认</t>
        </is>
      </c>
      <c r="R173" s="3" t="n">
        <v>2024</v>
      </c>
      <c r="S173" s="3" t="inlineStr">
        <is>
          <t>2025发布版（2024指标年）</t>
        </is>
      </c>
      <c r="T173" s="3" t="inlineStr">
        <is>
          <t>BIOTECHNOLOGY &amp; APPLIED MICROBIOLOGY</t>
        </is>
      </c>
      <c r="U173" s="3" t="inlineStr">
        <is>
          <t>BIOTECHNOLOGY &amp; APPLIED MICROBIOLOGY: Q1</t>
        </is>
      </c>
      <c r="V173" s="4" t="inlineStr">
        <is>
          <t>是</t>
        </is>
      </c>
      <c r="W173" s="4" t="inlineStr">
        <is>
          <t>是</t>
        </is>
      </c>
      <c r="X173" s="3" t="inlineStr">
        <is>
          <t>是</t>
        </is>
      </c>
      <c r="Y173" s="3" t="inlineStr">
        <is>
          <t>https://topj.lib.whu.edu.cn/searchxk1.asp?ordertype=asc&amp;page=6&amp;q=&amp;xk=291</t>
        </is>
      </c>
      <c r="Z173" s="3" t="inlineStr">
        <is>
          <t>https://api.crossref.org/works/10.1007/s00253-025-13519-w</t>
        </is>
      </c>
      <c r="AA17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173" s="3" t="inlineStr">
        <is>
          <t>original_files/R11844/fulltext/fulltext__published__c41816bf825167dc.pdf</t>
        </is>
      </c>
      <c r="AC173" s="3" t="inlineStr">
        <is>
          <t>original_files/R11844/supplementary/supplementary__0e990b462bd09df2.pdf</t>
        </is>
      </c>
      <c r="AD173" s="3" t="inlineStr">
        <is>
          <t>https://github.com/Colliam-Vermilion/FirstCodex/blob/results/ad-oxygen-literature-20261006/results/ad-oxygen-literature-20261006/original_files/R11844/fulltext/fulltext__published__c41816bf825167dc.pdf</t>
        </is>
      </c>
    </row>
    <row r="174" ht="48" customHeight="1">
      <c r="A174" s="2" t="inlineStr">
        <is>
          <t>R12401</t>
        </is>
      </c>
      <c r="B174" s="2" t="inlineStr">
        <is>
          <t>Treatment options of nitrogen heterocyclic compounds in industrial wastewater: From fundamental technologies to energy valorization applications and future process design strategies</t>
        </is>
      </c>
      <c r="C174" s="2" t="inlineStr">
        <is>
          <t>2025</t>
        </is>
      </c>
      <c r="D174" s="2" t="inlineStr">
        <is>
          <t>2025</t>
        </is>
      </c>
      <c r="E174" s="2" t="inlineStr">
        <is>
          <t>10.1016/j.watres.2025.123575</t>
        </is>
      </c>
      <c r="F174" s="2" t="inlineStr">
        <is>
          <t>综述</t>
        </is>
      </c>
      <c r="G174" s="2" t="inlineStr">
        <is>
          <t>4 综述</t>
        </is>
      </c>
      <c r="H174" s="2" t="inlineStr">
        <is>
          <t>是</t>
        </is>
      </c>
      <c r="I174" s="2" t="inlineStr">
        <is>
          <t>综述</t>
        </is>
      </c>
      <c r="J174" s="2" t="inlineStr">
        <is>
          <t>是</t>
        </is>
      </c>
      <c r="K174" s="2" t="inlineStr">
        <is>
          <t>WATER RESEARCH</t>
        </is>
      </c>
      <c r="L174" s="2" t="inlineStr">
        <is>
          <t>Water Research</t>
        </is>
      </c>
      <c r="M174" s="2" t="inlineStr">
        <is>
          <t>0043-1354</t>
        </is>
      </c>
      <c r="N174" s="2" t="inlineStr"/>
      <c r="O174" s="2" t="inlineStr">
        <is>
          <t>已取得核验全文</t>
        </is>
      </c>
      <c r="P174" s="2" t="inlineStr">
        <is>
          <t>是</t>
        </is>
      </c>
      <c r="Q174" s="2" t="inlineStr">
        <is>
          <t>已取得1件原格式补充材料；其中0件唯一关联待核实；完整性未确认</t>
        </is>
      </c>
      <c r="R174" s="2" t="n">
        <v>2024</v>
      </c>
      <c r="S174" s="2" t="inlineStr">
        <is>
          <t>2025发布版（2024指标年）</t>
        </is>
      </c>
      <c r="T174" s="2" t="inlineStr">
        <is>
          <t>WATER RESOURCES; ENGINEERING, ENVIRONMENTAL; ENVIRONMENTAL SCIENCES</t>
        </is>
      </c>
      <c r="U174" s="2" t="inlineStr">
        <is>
          <t>WATER RESOURCES: Q1; ENGINEERING, ENVIRONMENTAL: Q1; ENVIRONMENTAL SCIENCES: Q1</t>
        </is>
      </c>
      <c r="V174" s="4" t="inlineStr">
        <is>
          <t>是</t>
        </is>
      </c>
      <c r="W174" s="4" t="inlineStr">
        <is>
          <t>是</t>
        </is>
      </c>
      <c r="X174" s="2" t="inlineStr">
        <is>
          <t>是</t>
        </is>
      </c>
      <c r="Y174" s="2" t="inlineStr">
        <is>
          <t>https://topj.lib.whu.edu.cn/show.asp?cat=zk&amp;id=3962</t>
        </is>
      </c>
      <c r="Z174" s="2" t="inlineStr">
        <is>
          <t>https://api.crossref.org/works/10.1016/j.watres.2025.123575</t>
        </is>
      </c>
      <c r="AA17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74" s="2" t="inlineStr">
        <is>
          <t>original_files/R12401/fulltext/fulltext__published__4db2c6aa789e227c.pdf</t>
        </is>
      </c>
      <c r="AC174" s="2" t="inlineStr">
        <is>
          <t>original_files/R12401/supplementary/supplementary__68dd2928e792d0cd.docx</t>
        </is>
      </c>
      <c r="AD174" s="2" t="inlineStr">
        <is>
          <t>https://github.com/Colliam-Vermilion/FirstCodex/blob/results/ad-oxygen-literature-20261006/results/ad-oxygen-literature-20261006/original_files/R12401/fulltext/fulltext__published__4db2c6aa789e227c.pdf</t>
        </is>
      </c>
    </row>
    <row r="175" ht="48" customHeight="1">
      <c r="A175" s="3" t="inlineStr">
        <is>
          <t>R12569</t>
        </is>
      </c>
      <c r="B175" s="3" t="inlineStr">
        <is>
          <t>Ammonia inhibition in anaerobic digestion: A critical review of inhibition mechanisms and mitigation strategies</t>
        </is>
      </c>
      <c r="C175" s="3" t="inlineStr">
        <is>
          <t>2026</t>
        </is>
      </c>
      <c r="D175" s="3" t="inlineStr">
        <is>
          <t>2026</t>
        </is>
      </c>
      <c r="E175" s="3" t="inlineStr">
        <is>
          <t>10.1016/j.jenvman.2026.129236</t>
        </is>
      </c>
      <c r="F175" s="3" t="inlineStr">
        <is>
          <t>综述</t>
        </is>
      </c>
      <c r="G175" s="3" t="inlineStr">
        <is>
          <t>4 综述</t>
        </is>
      </c>
      <c r="H175" s="3" t="inlineStr">
        <is>
          <t>是</t>
        </is>
      </c>
      <c r="I175" s="3" t="inlineStr">
        <is>
          <t>综述</t>
        </is>
      </c>
      <c r="J175" s="3" t="inlineStr">
        <is>
          <t>是</t>
        </is>
      </c>
      <c r="K175" s="3" t="inlineStr">
        <is>
          <t>Journal of Environmental Management</t>
        </is>
      </c>
      <c r="L175" s="3" t="inlineStr">
        <is>
          <t>Journal of Environmental Management</t>
        </is>
      </c>
      <c r="M175" s="3" t="inlineStr">
        <is>
          <t>0301-4797</t>
        </is>
      </c>
      <c r="N175" s="3" t="inlineStr"/>
      <c r="O175" s="3" t="inlineStr">
        <is>
          <t>已取得核验全文</t>
        </is>
      </c>
      <c r="P175" s="3" t="inlineStr">
        <is>
          <t>是</t>
        </is>
      </c>
      <c r="Q175" s="3" t="inlineStr">
        <is>
          <t>已取得1件原格式补充材料；其中0件唯一关联待核实；完整性未确认</t>
        </is>
      </c>
      <c r="R175" s="3" t="n">
        <v>2024</v>
      </c>
      <c r="S175" s="3" t="inlineStr">
        <is>
          <t>2025发布版（2024指标年）</t>
        </is>
      </c>
      <c r="T175" s="3" t="inlineStr">
        <is>
          <t>ENVIRONMENTAL SCIENCES</t>
        </is>
      </c>
      <c r="U175" s="3" t="inlineStr">
        <is>
          <t>ENVIRONMENTAL SCIENCES: Q1</t>
        </is>
      </c>
      <c r="V175" s="4" t="inlineStr">
        <is>
          <t>是</t>
        </is>
      </c>
      <c r="W175" s="4" t="inlineStr">
        <is>
          <t>是</t>
        </is>
      </c>
      <c r="X175" s="3" t="inlineStr">
        <is>
          <t>是</t>
        </is>
      </c>
      <c r="Y175" s="3" t="inlineStr">
        <is>
          <t>https://topj.lib.whu.edu.cn/show.asp?cat=sci&amp;id=6965</t>
        </is>
      </c>
      <c r="Z175" s="3" t="inlineStr">
        <is>
          <t>https://api.crossref.org/works/10.1016/j.jenvman.2026.129236</t>
        </is>
      </c>
      <c r="AA17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75" s="3" t="inlineStr">
        <is>
          <t>original_files/R12569/fulltext/fulltext__published__118a654125332bbe.pdf</t>
        </is>
      </c>
      <c r="AC175" s="3" t="inlineStr">
        <is>
          <t>original_files/R12569/supplementary/supplementary__b3004f1c2a3847d1.docx</t>
        </is>
      </c>
      <c r="AD175" s="3" t="inlineStr">
        <is>
          <t>https://github.com/Colliam-Vermilion/FirstCodex/blob/results/ad-oxygen-literature-20261006/results/ad-oxygen-literature-20261006/original_files/R12569/fulltext/fulltext__published__118a654125332bbe.pdf</t>
        </is>
      </c>
    </row>
    <row r="176" ht="48" customHeight="1">
      <c r="A176" s="2" t="inlineStr">
        <is>
          <t>R13280</t>
        </is>
      </c>
      <c r="B176" s="2" t="inlineStr">
        <is>
          <t>Microaeration Process Design, Control, and Monitoring for Biogas Desulfurization in Anaerobic Digestion</t>
        </is>
      </c>
      <c r="C176" s="2" t="inlineStr">
        <is>
          <t>2026</t>
        </is>
      </c>
      <c r="D176" s="2" t="inlineStr">
        <is>
          <t>2026</t>
        </is>
      </c>
      <c r="E176" s="2" t="inlineStr">
        <is>
          <t>10.1002/cben.70046</t>
        </is>
      </c>
      <c r="F176" s="2" t="inlineStr">
        <is>
          <t>综述</t>
        </is>
      </c>
      <c r="G176" s="2" t="inlineStr">
        <is>
          <t>4 综述</t>
        </is>
      </c>
      <c r="H176" s="2" t="inlineStr">
        <is>
          <t>是</t>
        </is>
      </c>
      <c r="I176" s="2" t="inlineStr">
        <is>
          <t>综述</t>
        </is>
      </c>
      <c r="J176" s="2" t="inlineStr">
        <is>
          <t>是</t>
        </is>
      </c>
      <c r="K176" s="2" t="inlineStr">
        <is>
          <t>ChemBioEng Reviews</t>
        </is>
      </c>
      <c r="L176" s="2" t="inlineStr">
        <is>
          <t>ChemBioEng Reviews</t>
        </is>
      </c>
      <c r="M176" s="2" t="inlineStr">
        <is>
          <t>2196-9744</t>
        </is>
      </c>
      <c r="N176" s="2" t="inlineStr">
        <is>
          <t>2196-9744</t>
        </is>
      </c>
      <c r="O176" s="2" t="inlineStr">
        <is>
          <t>已取得核验全文</t>
        </is>
      </c>
      <c r="P176" s="2" t="inlineStr">
        <is>
          <t>是</t>
        </is>
      </c>
      <c r="Q176" s="2" t="inlineStr">
        <is>
          <t>当前无补充材料原件；沿用既有缺失/无附件证据，不据此认定无附件</t>
        </is>
      </c>
      <c r="R176" s="2" t="n">
        <v>2024</v>
      </c>
      <c r="S176" s="2" t="inlineStr">
        <is>
          <t>2025发布版（2024指标年）</t>
        </is>
      </c>
      <c r="T176" s="2" t="inlineStr">
        <is>
          <t>ENGINEERING, CHEMICAL</t>
        </is>
      </c>
      <c r="U176" s="2" t="inlineStr">
        <is>
          <t>ENGINEERING, CHEMICAL: Q1</t>
        </is>
      </c>
      <c r="V176" s="4" t="inlineStr">
        <is>
          <t>是</t>
        </is>
      </c>
      <c r="W176" s="4" t="inlineStr">
        <is>
          <t>是</t>
        </is>
      </c>
      <c r="X176" s="2" t="inlineStr">
        <is>
          <t>是</t>
        </is>
      </c>
      <c r="Y176" s="2" t="inlineStr">
        <is>
          <t>https://topj.lib.whu.edu.cn/show.asp?cat=zk&amp;id=5139</t>
        </is>
      </c>
      <c r="Z176" s="2" t="inlineStr">
        <is>
          <t>https://api.crossref.org/works/10.1002/cben.70046</t>
        </is>
      </c>
      <c r="AA17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76" s="2" t="inlineStr">
        <is>
          <t>original_files/R13280/fulltext/fulltext__published__43c4790939b9514f.pdf</t>
        </is>
      </c>
      <c r="AC176" s="2" t="inlineStr"/>
      <c r="AD176" s="2" t="inlineStr">
        <is>
          <t>https://github.com/Colliam-Vermilion/FirstCodex/blob/results/ad-oxygen-literature-20261006/results/ad-oxygen-literature-20261006/original_files/R13280/fulltext/fulltext__published__43c4790939b9514f.pdf</t>
        </is>
      </c>
    </row>
    <row r="177" ht="48" customHeight="1">
      <c r="A177" s="3" t="inlineStr">
        <is>
          <t>R13281</t>
        </is>
      </c>
      <c r="B177" s="3" t="inlineStr">
        <is>
          <t>Microaeration enhances methane production in anaerobic digestion: A systematic review and meta-analysis</t>
        </is>
      </c>
      <c r="C177" s="3" t="inlineStr">
        <is>
          <t>2026</t>
        </is>
      </c>
      <c r="D177" s="3" t="inlineStr">
        <is>
          <t>2026</t>
        </is>
      </c>
      <c r="E177" s="3" t="inlineStr">
        <is>
          <t>10.1016/j.biortech.2026.135162</t>
        </is>
      </c>
      <c r="F177" s="3" t="inlineStr">
        <is>
          <t>综述</t>
        </is>
      </c>
      <c r="G177" s="3" t="inlineStr">
        <is>
          <t>4 综述</t>
        </is>
      </c>
      <c r="H177" s="3" t="inlineStr">
        <is>
          <t>是</t>
        </is>
      </c>
      <c r="I177" s="3" t="inlineStr">
        <is>
          <t>综述</t>
        </is>
      </c>
      <c r="J177" s="3" t="inlineStr">
        <is>
          <t>是</t>
        </is>
      </c>
      <c r="K177" s="3" t="inlineStr">
        <is>
          <t>BIORESOURCE TECHNOLOGY</t>
        </is>
      </c>
      <c r="L177" s="3" t="inlineStr">
        <is>
          <t>Bioresource Technology</t>
        </is>
      </c>
      <c r="M177" s="3" t="inlineStr">
        <is>
          <t>0960-8524</t>
        </is>
      </c>
      <c r="N177" s="3" t="inlineStr"/>
      <c r="O177" s="3" t="inlineStr">
        <is>
          <t>已取得核验全文</t>
        </is>
      </c>
      <c r="P177" s="3" t="inlineStr">
        <is>
          <t>是</t>
        </is>
      </c>
      <c r="Q177" s="3" t="inlineStr">
        <is>
          <t>已取得1件原格式补充材料；其中0件唯一关联待核实；完整性未确认</t>
        </is>
      </c>
      <c r="R177" s="3" t="n">
        <v>2024</v>
      </c>
      <c r="S177" s="3" t="inlineStr">
        <is>
          <t>2025发布版（2024指标年）</t>
        </is>
      </c>
      <c r="T177" s="3" t="inlineStr">
        <is>
          <t>AGRICULTURAL ENGINEERING; BIOTECHNOLOGY &amp; APPLIED MICROBIOLOGY; ENERGY &amp; FUELS</t>
        </is>
      </c>
      <c r="U177" s="3" t="inlineStr">
        <is>
          <t>AGRICULTURAL ENGINEERING: Q1; BIOTECHNOLOGY &amp; APPLIED MICROBIOLOGY: Q1; ENERGY &amp; FUELS: Q1</t>
        </is>
      </c>
      <c r="V177" s="4" t="inlineStr">
        <is>
          <t>是</t>
        </is>
      </c>
      <c r="W177" s="4" t="inlineStr">
        <is>
          <t>是</t>
        </is>
      </c>
      <c r="X177" s="3" t="inlineStr">
        <is>
          <t>是</t>
        </is>
      </c>
      <c r="Y177" s="3" t="inlineStr">
        <is>
          <t>https://topj.lib.whu.edu.cn/show.asp?cat=zk&amp;id=3976</t>
        </is>
      </c>
      <c r="Z177" s="3" t="inlineStr">
        <is>
          <t>https://api.crossref.org/works/10.1016/j.biortech.2026.135162</t>
        </is>
      </c>
      <c r="AA17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77" s="3" t="inlineStr">
        <is>
          <t>original_files/R13281/fulltext/fulltext__published__7d4c46b8dde75f08.pdf</t>
        </is>
      </c>
      <c r="AC177" s="3" t="inlineStr">
        <is>
          <t>original_files/R13281/supplementary/supplementary__46b2f8160d50825a.docx</t>
        </is>
      </c>
      <c r="AD177" s="3" t="inlineStr">
        <is>
          <t>https://github.com/Colliam-Vermilion/FirstCodex/blob/results/ad-oxygen-literature-20261006/results/ad-oxygen-literature-20261006/original_files/R13281/fulltext/fulltext__published__7d4c46b8dde75f08.pdf</t>
        </is>
      </c>
    </row>
    <row r="178" ht="48" customHeight="1">
      <c r="A178" s="2" t="inlineStr">
        <is>
          <t>R00028</t>
        </is>
      </c>
      <c r="B178" s="2" t="inlineStr">
        <is>
          <t>A study on the feasibility of micro-aeration for pre-treatment on the anaerobic co-digestion of food waste with brown water</t>
        </is>
      </c>
      <c r="C178" s="2" t="inlineStr">
        <is>
          <t>2012</t>
        </is>
      </c>
      <c r="D178" s="2" t="inlineStr">
        <is>
          <t>2012</t>
        </is>
      </c>
      <c r="E178" s="2" t="inlineStr"/>
      <c r="F178" s="2" t="inlineStr">
        <is>
          <t>学生毕业设计/FYP报告（非期刊文章）</t>
        </is>
      </c>
      <c r="G178" s="2" t="inlineStr">
        <is>
          <t>3 独立好氧或微好氧预处理</t>
        </is>
      </c>
      <c r="H178" s="2" t="inlineStr">
        <is>
          <t>是</t>
        </is>
      </c>
      <c r="I178" s="2" t="inlineStr">
        <is>
          <t>学位/学生报告</t>
        </is>
      </c>
      <c r="J178" s="2" t="inlineStr">
        <is>
          <t>否</t>
        </is>
      </c>
      <c r="K178" s="2" t="inlineStr">
        <is>
          <t>DR-NTU (Nanyang Technological University)</t>
        </is>
      </c>
      <c r="L178" s="2" t="inlineStr">
        <is>
          <t>DR-NTU (Nanyang Technological University)</t>
        </is>
      </c>
      <c r="M178" s="2" t="inlineStr"/>
      <c r="N178" s="2" t="inlineStr"/>
      <c r="O178" s="2" t="inlineStr">
        <is>
          <t>未取得全文</t>
        </is>
      </c>
      <c r="P178" s="2" t="inlineStr">
        <is>
          <t>否</t>
        </is>
      </c>
      <c r="Q178" s="2" t="inlineStr">
        <is>
          <t>当前无补充材料原件；沿用既有缺失/无附件证据，不据此认定无附件</t>
        </is>
      </c>
      <c r="R178" s="2" t="inlineStr"/>
      <c r="S178" s="2" t="inlineStr"/>
      <c r="T178" s="2" t="inlineStr"/>
      <c r="U178" s="2" t="inlineStr"/>
      <c r="V178" s="2" t="inlineStr">
        <is>
          <t>不适用</t>
        </is>
      </c>
      <c r="W178" s="2" t="inlineStr">
        <is>
          <t>不适用</t>
        </is>
      </c>
      <c r="X178" s="2" t="inlineStr">
        <is>
          <t>不适用</t>
        </is>
      </c>
      <c r="Y178" s="2" t="inlineStr"/>
      <c r="Z178" s="2" t="inlineStr"/>
      <c r="AA178" s="2" t="inlineStr">
        <is>
          <t>非目标期刊论文或类型待核实，不进入JCR分母</t>
        </is>
      </c>
      <c r="AB178" s="2" t="inlineStr"/>
      <c r="AC178" s="2" t="inlineStr"/>
      <c r="AD178" s="2" t="inlineStr"/>
    </row>
    <row r="179" ht="48" customHeight="1">
      <c r="A179" s="3" t="inlineStr">
        <is>
          <t>R00036</t>
        </is>
      </c>
      <c r="B179" s="3" t="inlineStr">
        <is>
          <t>Advanced Thermal Hydrolysis: Optimization of a Novel Thermochemical Process to Aid Sewage Sludge Treatment</t>
        </is>
      </c>
      <c r="C179" s="3" t="inlineStr">
        <is>
          <t>2012</t>
        </is>
      </c>
      <c r="D179" s="3" t="inlineStr">
        <is>
          <t>2012</t>
        </is>
      </c>
      <c r="E179" s="3" t="inlineStr">
        <is>
          <t>10.1021/es204203y</t>
        </is>
      </c>
      <c r="F179" s="3" t="inlineStr">
        <is>
          <t>期刊文章</t>
        </is>
      </c>
      <c r="G179" s="3" t="inlineStr">
        <is>
          <t>5 排除</t>
        </is>
      </c>
      <c r="H179" s="3" t="inlineStr">
        <is>
          <t>否</t>
        </is>
      </c>
      <c r="I179" s="3" t="inlineStr">
        <is>
          <t>研究类</t>
        </is>
      </c>
      <c r="J179" s="3" t="inlineStr">
        <is>
          <t>否</t>
        </is>
      </c>
      <c r="K179" s="3" t="inlineStr">
        <is>
          <t>ENVIRONMENTAL SCIENCE &amp; TECHNOLOGY</t>
        </is>
      </c>
      <c r="L179" s="3" t="inlineStr">
        <is>
          <t>Environmental Science &amp;amp; Technology</t>
        </is>
      </c>
      <c r="M179" s="3" t="inlineStr">
        <is>
          <t>0013-936X</t>
        </is>
      </c>
      <c r="N179" s="3" t="inlineStr">
        <is>
          <t>1520-5851</t>
        </is>
      </c>
      <c r="O179" s="3" t="inlineStr">
        <is>
          <t>未取得全文</t>
        </is>
      </c>
      <c r="P179" s="3" t="inlineStr">
        <is>
          <t>否</t>
        </is>
      </c>
      <c r="Q179" s="3" t="inlineStr">
        <is>
          <t>当前无补充材料原件；沿用既有缺失/无附件证据，不据此认定无附件</t>
        </is>
      </c>
      <c r="R179" s="3" t="n">
        <v>2024</v>
      </c>
      <c r="S179" s="3" t="inlineStr">
        <is>
          <t>2025发布版（2024指标年）</t>
        </is>
      </c>
      <c r="T179" s="3" t="inlineStr">
        <is>
          <t>ENGINEERING, ENVIRONMENTAL; ENVIRONMENTAL SCIENCES</t>
        </is>
      </c>
      <c r="U179" s="3" t="inlineStr">
        <is>
          <t>ENGINEERING, ENVIRONMENTAL: Q1; ENVIRONMENTAL SCIENCES: Q1</t>
        </is>
      </c>
      <c r="V179" s="4" t="inlineStr">
        <is>
          <t>是</t>
        </is>
      </c>
      <c r="W179" s="4" t="inlineStr">
        <is>
          <t>是</t>
        </is>
      </c>
      <c r="X179" s="3" t="inlineStr">
        <is>
          <t>是</t>
        </is>
      </c>
      <c r="Y179" s="3" t="inlineStr">
        <is>
          <t>https://topj.lib.whu.edu.cn/show.asp?cat=zk&amp;id=3966</t>
        </is>
      </c>
      <c r="Z179" s="3" t="inlineStr">
        <is>
          <t>https://api.crossref.org/works/10.1021/es204203y</t>
        </is>
      </c>
      <c r="AA17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79" s="3" t="inlineStr"/>
      <c r="AC179" s="3" t="inlineStr"/>
      <c r="AD179" s="3" t="inlineStr"/>
    </row>
    <row r="180" ht="48" customHeight="1">
      <c r="A180" s="2" t="inlineStr">
        <is>
          <t>R00074</t>
        </is>
      </c>
      <c r="B180" s="2" t="inlineStr">
        <is>
          <t>Bench Scale Study for Oxygen Uptake and Anaerobic Digestion of Industrial Wastewater</t>
        </is>
      </c>
      <c r="C180" s="2" t="inlineStr">
        <is>
          <t>2012</t>
        </is>
      </c>
      <c r="D180" s="2" t="inlineStr">
        <is>
          <t>2012</t>
        </is>
      </c>
      <c r="E180" s="2" t="inlineStr"/>
      <c r="F180" s="2" t="inlineStr">
        <is>
          <t>学位论文/Additional Thesis（非期刊文章）</t>
        </is>
      </c>
      <c r="G180" s="2" t="inlineStr">
        <is>
          <t>5 排除</t>
        </is>
      </c>
      <c r="H180" s="2" t="inlineStr">
        <is>
          <t>否</t>
        </is>
      </c>
      <c r="I180" s="2" t="inlineStr">
        <is>
          <t>学位/学生报告</t>
        </is>
      </c>
      <c r="J180" s="2" t="inlineStr">
        <is>
          <t>否</t>
        </is>
      </c>
      <c r="K180" s="2" t="inlineStr">
        <is>
          <t>OhioLink ETD Center (Ohio Library and Information Network)</t>
        </is>
      </c>
      <c r="L180" s="2" t="inlineStr">
        <is>
          <t>OhioLink ETD Center (Ohio Library and Information Network)</t>
        </is>
      </c>
      <c r="M180" s="2" t="inlineStr"/>
      <c r="N180" s="2" t="inlineStr"/>
      <c r="O180" s="2" t="inlineStr">
        <is>
          <t>未取得全文</t>
        </is>
      </c>
      <c r="P180" s="2" t="inlineStr">
        <is>
          <t>否</t>
        </is>
      </c>
      <c r="Q180" s="2" t="inlineStr">
        <is>
          <t>当前无补充材料原件；沿用既有缺失/无附件证据，不据此认定无附件</t>
        </is>
      </c>
      <c r="R180" s="2" t="inlineStr"/>
      <c r="S180" s="2" t="inlineStr"/>
      <c r="T180" s="2" t="inlineStr"/>
      <c r="U180" s="2" t="inlineStr"/>
      <c r="V180" s="2" t="inlineStr">
        <is>
          <t>不适用</t>
        </is>
      </c>
      <c r="W180" s="2" t="inlineStr">
        <is>
          <t>不适用</t>
        </is>
      </c>
      <c r="X180" s="2" t="inlineStr">
        <is>
          <t>不适用</t>
        </is>
      </c>
      <c r="Y180" s="2" t="inlineStr"/>
      <c r="Z180" s="2" t="inlineStr"/>
      <c r="AA180" s="2" t="inlineStr">
        <is>
          <t>非目标期刊论文或类型待核实，不进入JCR分母</t>
        </is>
      </c>
      <c r="AB180" s="2" t="inlineStr"/>
      <c r="AC180" s="2" t="inlineStr"/>
      <c r="AD180" s="2" t="inlineStr"/>
    </row>
    <row r="181" ht="48" customHeight="1">
      <c r="A181" s="3" t="inlineStr">
        <is>
          <t>R00134</t>
        </is>
      </c>
      <c r="B181" s="3" t="inlineStr">
        <is>
          <t>Determination of Oxygen by Means of a Biogas and Gas - Interference Study Using an Optical Tris (4,7-Diphenyl-1,10-Phenanthroline) Ruthenium(II) Dichloride Complex Sensor.</t>
        </is>
      </c>
      <c r="C181" s="3" t="inlineStr">
        <is>
          <t>2012</t>
        </is>
      </c>
      <c r="D181" s="3" t="inlineStr">
        <is>
          <t>2012</t>
        </is>
      </c>
      <c r="E181" s="3" t="inlineStr"/>
      <c r="F181" s="3" t="inlineStr">
        <is>
          <t>期刊文章</t>
        </is>
      </c>
      <c r="G181" s="3" t="inlineStr">
        <is>
          <t>5 排除</t>
        </is>
      </c>
      <c r="H181" s="3" t="inlineStr">
        <is>
          <t>否</t>
        </is>
      </c>
      <c r="I181" s="3" t="inlineStr">
        <is>
          <t>类型待核实</t>
        </is>
      </c>
      <c r="J181" s="3" t="inlineStr">
        <is>
          <t>否</t>
        </is>
      </c>
      <c r="K181" s="3" t="inlineStr">
        <is>
          <t>PubMed</t>
        </is>
      </c>
      <c r="L181" s="3" t="inlineStr">
        <is>
          <t>PubMed</t>
        </is>
      </c>
      <c r="M181" s="3" t="inlineStr"/>
      <c r="N181" s="3" t="inlineStr"/>
      <c r="O181" s="3" t="inlineStr">
        <is>
          <t>未取得全文</t>
        </is>
      </c>
      <c r="P181" s="3" t="inlineStr">
        <is>
          <t>否</t>
        </is>
      </c>
      <c r="Q181" s="3" t="inlineStr">
        <is>
          <t>当前无补充材料原件；沿用既有缺失/无附件证据，不据此认定无附件</t>
        </is>
      </c>
      <c r="R181" s="3" t="inlineStr"/>
      <c r="S181" s="3" t="inlineStr"/>
      <c r="T181" s="3" t="inlineStr"/>
      <c r="U181" s="3" t="inlineStr"/>
      <c r="V181" s="3" t="inlineStr">
        <is>
          <t>不适用</t>
        </is>
      </c>
      <c r="W181" s="3" t="inlineStr">
        <is>
          <t>不适用</t>
        </is>
      </c>
      <c r="X181" s="3" t="inlineStr">
        <is>
          <t>不适用</t>
        </is>
      </c>
      <c r="Y181" s="3" t="inlineStr"/>
      <c r="Z181" s="3" t="inlineStr"/>
      <c r="AA181" s="3" t="inlineStr">
        <is>
          <t>期刊/会议或其他载体身份缺少足够凭据，单列待核实，不混入期刊论文分母 | 非目标期刊论文或类型待核实，不进入JCR分母</t>
        </is>
      </c>
      <c r="AB181" s="3" t="inlineStr"/>
      <c r="AC181" s="3" t="inlineStr"/>
      <c r="AD181" s="3" t="inlineStr"/>
    </row>
    <row r="182" ht="48" customHeight="1">
      <c r="A182" s="2" t="inlineStr">
        <is>
          <t>R00166</t>
        </is>
      </c>
      <c r="B182" s="2" t="inlineStr">
        <is>
          <t>Effect of leachate recirculation and aeration on volatile fatty acid concentrations in aerobic and anaerobic landfill leachate</t>
        </is>
      </c>
      <c r="C182" s="2" t="inlineStr">
        <is>
          <t>2012</t>
        </is>
      </c>
      <c r="D182" s="2" t="inlineStr">
        <is>
          <t>2012</t>
        </is>
      </c>
      <c r="E182" s="2" t="inlineStr">
        <is>
          <t>10.1177/0734242x11417983</t>
        </is>
      </c>
      <c r="F182" s="2" t="inlineStr">
        <is>
          <t>期刊文章</t>
        </is>
      </c>
      <c r="G182" s="2" t="inlineStr">
        <is>
          <t>5 排除</t>
        </is>
      </c>
      <c r="H182" s="2" t="inlineStr">
        <is>
          <t>否</t>
        </is>
      </c>
      <c r="I182" s="2" t="inlineStr">
        <is>
          <t>研究类</t>
        </is>
      </c>
      <c r="J182" s="2" t="inlineStr">
        <is>
          <t>否</t>
        </is>
      </c>
      <c r="K182" s="2" t="inlineStr">
        <is>
          <t>WASTE MANAGEMENT &amp; RESEARCH</t>
        </is>
      </c>
      <c r="L182" s="2" t="inlineStr">
        <is>
          <t>Waste Management &amp;amp; Research: The Journal for a Sustainable Circular Economy</t>
        </is>
      </c>
      <c r="M182" s="2" t="inlineStr">
        <is>
          <t>0734-242X</t>
        </is>
      </c>
      <c r="N182" s="2" t="inlineStr">
        <is>
          <t>1096-3669</t>
        </is>
      </c>
      <c r="O182" s="2" t="inlineStr">
        <is>
          <t>未取得全文</t>
        </is>
      </c>
      <c r="P182" s="2" t="inlineStr">
        <is>
          <t>否</t>
        </is>
      </c>
      <c r="Q182" s="2" t="inlineStr">
        <is>
          <t>当前无补充材料原件；沿用既有缺失/无附件证据，不据此认定无附件</t>
        </is>
      </c>
      <c r="R182" s="2" t="n">
        <v>2024</v>
      </c>
      <c r="S182" s="2" t="inlineStr">
        <is>
          <t>2025发布版（2024指标年）</t>
        </is>
      </c>
      <c r="T182" s="2" t="inlineStr">
        <is>
          <t>ENGINEERING, ENVIRONMENTAL; ENVIRONMENTAL SCIENCES</t>
        </is>
      </c>
      <c r="U182" s="2" t="inlineStr">
        <is>
          <t>ENGINEERING, ENVIRONMENTAL: Q2; ENVIRONMENTAL SCIENCES: Q2</t>
        </is>
      </c>
      <c r="V182" s="2" t="inlineStr">
        <is>
          <t>否</t>
        </is>
      </c>
      <c r="W182" s="2" t="inlineStr">
        <is>
          <t>否</t>
        </is>
      </c>
      <c r="X182" s="2" t="inlineStr">
        <is>
          <t>是</t>
        </is>
      </c>
      <c r="Y182" s="2" t="inlineStr">
        <is>
          <t>https://topj.lib.whu.edu.cn/show.asp?cat=zk&amp;id=4229</t>
        </is>
      </c>
      <c r="Z182" s="2" t="inlineStr">
        <is>
          <t>https://api.crossref.org/works/10.1177/0734242x11417983</t>
        </is>
      </c>
      <c r="AA18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82" s="2" t="inlineStr"/>
      <c r="AC182" s="2" t="inlineStr"/>
      <c r="AD182" s="2" t="inlineStr"/>
    </row>
    <row r="183" ht="48" customHeight="1">
      <c r="A183" s="3" t="inlineStr">
        <is>
          <t>R00214</t>
        </is>
      </c>
      <c r="B183" s="3" t="inlineStr">
        <is>
          <t>Flocculation, Anaerobic and Microaerobic Treatment Process of Normal Temperature Low Concentration Domestic Sewage</t>
        </is>
      </c>
      <c r="C183" s="3" t="inlineStr">
        <is>
          <t>2012</t>
        </is>
      </c>
      <c r="D183" s="3" t="inlineStr">
        <is>
          <t>2012</t>
        </is>
      </c>
      <c r="E183" s="3" t="inlineStr">
        <is>
          <t>10.4028/www.scientific.net/amr.518-523.2530</t>
        </is>
      </c>
      <c r="F183" s="3" t="inlineStr">
        <is>
          <t>期刊文章</t>
        </is>
      </c>
      <c r="G183" s="3" t="inlineStr">
        <is>
          <t>5 排除</t>
        </is>
      </c>
      <c r="H183" s="3" t="inlineStr">
        <is>
          <t>否</t>
        </is>
      </c>
      <c r="I183" s="3" t="inlineStr">
        <is>
          <t>类型待核实</t>
        </is>
      </c>
      <c r="J183" s="3" t="inlineStr">
        <is>
          <t>否</t>
        </is>
      </c>
      <c r="K183" s="3" t="inlineStr">
        <is>
          <t>Advanced Materials Research</t>
        </is>
      </c>
      <c r="L183" s="3" t="inlineStr">
        <is>
          <t>Advanced Materials Research</t>
        </is>
      </c>
      <c r="M183" s="3" t="inlineStr"/>
      <c r="N183" s="3" t="inlineStr">
        <is>
          <t>1662-8985</t>
        </is>
      </c>
      <c r="O183" s="3" t="inlineStr">
        <is>
          <t>未取得全文</t>
        </is>
      </c>
      <c r="P183" s="3" t="inlineStr">
        <is>
          <t>否</t>
        </is>
      </c>
      <c r="Q183" s="3" t="inlineStr">
        <is>
          <t>当前无补充材料原件；沿用既有缺失/无附件证据，不据此认定无附件</t>
        </is>
      </c>
      <c r="R183" s="3" t="inlineStr"/>
      <c r="S183" s="3" t="inlineStr"/>
      <c r="T183" s="3" t="inlineStr"/>
      <c r="U183" s="3" t="inlineStr"/>
      <c r="V183" s="3" t="inlineStr">
        <is>
          <t>不适用</t>
        </is>
      </c>
      <c r="W183" s="3" t="inlineStr">
        <is>
          <t>不适用</t>
        </is>
      </c>
      <c r="X183" s="3" t="inlineStr">
        <is>
          <t>不适用</t>
        </is>
      </c>
      <c r="Y183" s="3" t="inlineStr"/>
      <c r="Z183" s="3" t="inlineStr">
        <is>
          <t>https://api.crossref.org/works/10.4028/www.scientific.net/amr.518-523.2530</t>
        </is>
      </c>
      <c r="AA183" s="3" t="inlineStr">
        <is>
          <t>期刊/会议或其他载体身份缺少足够凭据，单列待核实，不混入期刊论文分母 | 非目标期刊论文或类型待核实，不进入JCR分母</t>
        </is>
      </c>
      <c r="AB183" s="3" t="inlineStr"/>
      <c r="AC183" s="3" t="inlineStr"/>
      <c r="AD183" s="3" t="inlineStr"/>
    </row>
    <row r="184" ht="48" customHeight="1">
      <c r="A184" s="2" t="inlineStr">
        <is>
          <t>R00257</t>
        </is>
      </c>
      <c r="B184" s="2" t="inlineStr">
        <is>
          <t>Intermittent Aeration and Continuous Flow Biofilm Process for Treatment of Rural Domestic Sewage</t>
        </is>
      </c>
      <c r="C184" s="2" t="inlineStr">
        <is>
          <t>2012</t>
        </is>
      </c>
      <c r="D184" s="2" t="inlineStr">
        <is>
          <t>2012</t>
        </is>
      </c>
      <c r="E184" s="2" t="inlineStr"/>
      <c r="F184" s="2" t="inlineStr">
        <is>
          <t>期刊文章</t>
        </is>
      </c>
      <c r="G184" s="2" t="inlineStr">
        <is>
          <t>5 排除</t>
        </is>
      </c>
      <c r="H184" s="2" t="inlineStr">
        <is>
          <t>否</t>
        </is>
      </c>
      <c r="I184" s="2" t="inlineStr">
        <is>
          <t>研究类</t>
        </is>
      </c>
      <c r="J184" s="2" t="inlineStr">
        <is>
          <t>否</t>
        </is>
      </c>
      <c r="K184" s="2" t="inlineStr">
        <is>
          <t>China Water &amp; Wastewater</t>
        </is>
      </c>
      <c r="L184" s="2" t="inlineStr">
        <is>
          <t>China Water &amp; Wastewater</t>
        </is>
      </c>
      <c r="M184" s="2" t="inlineStr"/>
      <c r="N184" s="2" t="inlineStr"/>
      <c r="O184" s="2" t="inlineStr">
        <is>
          <t>未取得全文</t>
        </is>
      </c>
      <c r="P184" s="2" t="inlineStr">
        <is>
          <t>否</t>
        </is>
      </c>
      <c r="Q184" s="2" t="inlineStr">
        <is>
          <t>当前无补充材料原件；沿用既有缺失/无附件证据，不据此认定无附件</t>
        </is>
      </c>
      <c r="R184" s="2" t="n">
        <v>2024</v>
      </c>
      <c r="S184" s="2" t="inlineStr">
        <is>
          <t>2025发布版（2024指标年）</t>
        </is>
      </c>
      <c r="T184" s="2" t="inlineStr"/>
      <c r="U184" s="2" t="inlineStr"/>
      <c r="V184" s="2" t="inlineStr">
        <is>
          <t>待核实</t>
        </is>
      </c>
      <c r="W184" s="2" t="inlineStr">
        <is>
          <t>待核实</t>
        </is>
      </c>
      <c r="X184" s="2" t="inlineStr">
        <is>
          <t>否</t>
        </is>
      </c>
      <c r="Y184" s="2" t="inlineStr"/>
      <c r="Z184" s="2" t="inlineStr"/>
      <c r="AA184" s="2" t="inlineStr">
        <is>
          <t>2024指标年JCR分区未核实；空白不能当非Q1。需要2025发布版/2024指标年的JCR全部学科导出。</t>
        </is>
      </c>
      <c r="AB184" s="2" t="inlineStr"/>
      <c r="AC184" s="2" t="inlineStr"/>
      <c r="AD184" s="2" t="inlineStr"/>
    </row>
    <row r="185" ht="48" customHeight="1">
      <c r="A185" s="3" t="inlineStr">
        <is>
          <t>R00273</t>
        </is>
      </c>
      <c r="B185" s="3" t="inlineStr">
        <is>
          <t>Management of hydrogen sulfide in anaerobic digestion of enzyme pretreated marine macro-algae</t>
        </is>
      </c>
      <c r="C185" s="3" t="inlineStr">
        <is>
          <t>2012</t>
        </is>
      </c>
      <c r="D185" s="3" t="inlineStr">
        <is>
          <t>2012</t>
        </is>
      </c>
      <c r="E185" s="3" t="inlineStr"/>
      <c r="F185" s="3" t="inlineStr">
        <is>
          <t>期刊文章</t>
        </is>
      </c>
      <c r="G185" s="3" t="inlineStr">
        <is>
          <t>1 直接向 AD 反应器或内部循环系统供氧</t>
        </is>
      </c>
      <c r="H185" s="3" t="inlineStr">
        <is>
          <t>是</t>
        </is>
      </c>
      <c r="I185" s="3" t="inlineStr">
        <is>
          <t>类型待核实</t>
        </is>
      </c>
      <c r="J185" s="3" t="inlineStr">
        <is>
          <t>否</t>
        </is>
      </c>
      <c r="K185" s="3" t="inlineStr">
        <is>
          <t>Lund University Publications (Lund University)</t>
        </is>
      </c>
      <c r="L185" s="3" t="inlineStr">
        <is>
          <t>Lund University Publications (Lund University)</t>
        </is>
      </c>
      <c r="M185" s="3" t="inlineStr"/>
      <c r="N185" s="3" t="inlineStr"/>
      <c r="O185" s="3" t="inlineStr">
        <is>
          <t>已取得核验全文</t>
        </is>
      </c>
      <c r="P185" s="3" t="inlineStr">
        <is>
          <t>是</t>
        </is>
      </c>
      <c r="Q185" s="3" t="inlineStr">
        <is>
          <t>当前无补充材料原件；沿用既有缺失/无附件证据，不据此认定无附件</t>
        </is>
      </c>
      <c r="R185" s="3" t="inlineStr"/>
      <c r="S185" s="3" t="inlineStr"/>
      <c r="T185" s="3" t="inlineStr"/>
      <c r="U185" s="3" t="inlineStr"/>
      <c r="V185" s="3" t="inlineStr">
        <is>
          <t>不适用</t>
        </is>
      </c>
      <c r="W185" s="3" t="inlineStr">
        <is>
          <t>不适用</t>
        </is>
      </c>
      <c r="X185" s="3" t="inlineStr">
        <is>
          <t>不适用</t>
        </is>
      </c>
      <c r="Y185" s="3" t="inlineStr"/>
      <c r="Z185" s="3" t="inlineStr"/>
      <c r="AA185" s="3" t="inlineStr">
        <is>
          <t>期刊/会议或其他载体身份缺少足够凭据，单列待核实，不混入期刊论文分母 | 非目标期刊论文或类型待核实，不进入JCR分母</t>
        </is>
      </c>
      <c r="AB185" s="3" t="inlineStr">
        <is>
          <t>original_files/R00273/fulltext/fulltext__thesis__2059ae72be92bd0e.pdf</t>
        </is>
      </c>
      <c r="AC185" s="3" t="inlineStr"/>
      <c r="AD185" s="3" t="inlineStr">
        <is>
          <t>https://github.com/Colliam-Vermilion/FirstCodex/blob/results/ad-oxygen-literature-20261006/results/ad-oxygen-literature-20261006/original_files/R00273/fulltext/fulltext__thesis__2059ae72be92bd0e.pdf</t>
        </is>
      </c>
    </row>
    <row r="186" ht="48" customHeight="1">
      <c r="A186" s="2" t="inlineStr">
        <is>
          <t>R00334</t>
        </is>
      </c>
      <c r="B186" s="2" t="inlineStr">
        <is>
          <t>Optimización energética en edar de la Región de Murcia</t>
        </is>
      </c>
      <c r="C186" s="2" t="inlineStr">
        <is>
          <t>2012</t>
        </is>
      </c>
      <c r="D186" s="2" t="inlineStr">
        <is>
          <t>2012</t>
        </is>
      </c>
      <c r="E186" s="2" t="inlineStr"/>
      <c r="F186" s="2" t="inlineStr">
        <is>
          <t>期刊文章</t>
        </is>
      </c>
      <c r="G186" s="2" t="inlineStr">
        <is>
          <t>5 排除</t>
        </is>
      </c>
      <c r="H186" s="2" t="inlineStr">
        <is>
          <t>否</t>
        </is>
      </c>
      <c r="I186" s="2" t="inlineStr">
        <is>
          <t>研究类</t>
        </is>
      </c>
      <c r="J186" s="2" t="inlineStr">
        <is>
          <t>否</t>
        </is>
      </c>
      <c r="K186" s="2" t="inlineStr">
        <is>
          <t>Ingeniería civil</t>
        </is>
      </c>
      <c r="L186" s="2" t="inlineStr">
        <is>
          <t>Ingeniería civil</t>
        </is>
      </c>
      <c r="M186" s="2" t="inlineStr"/>
      <c r="N186" s="2" t="inlineStr"/>
      <c r="O186" s="2" t="inlineStr">
        <is>
          <t>未取得全文</t>
        </is>
      </c>
      <c r="P186" s="2" t="inlineStr">
        <is>
          <t>否</t>
        </is>
      </c>
      <c r="Q186" s="2" t="inlineStr">
        <is>
          <t>当前无补充材料原件；沿用既有缺失/无附件证据，不据此认定无附件</t>
        </is>
      </c>
      <c r="R186" s="2" t="n">
        <v>2024</v>
      </c>
      <c r="S186" s="2" t="inlineStr">
        <is>
          <t>2025发布版（2024指标年）</t>
        </is>
      </c>
      <c r="T186" s="2" t="inlineStr"/>
      <c r="U186" s="2" t="inlineStr"/>
      <c r="V186" s="2" t="inlineStr">
        <is>
          <t>待核实</t>
        </is>
      </c>
      <c r="W186" s="2" t="inlineStr">
        <is>
          <t>待核实</t>
        </is>
      </c>
      <c r="X186" s="2" t="inlineStr">
        <is>
          <t>否</t>
        </is>
      </c>
      <c r="Y186" s="2" t="inlineStr"/>
      <c r="Z186" s="2" t="inlineStr"/>
      <c r="AA186" s="2" t="inlineStr">
        <is>
          <t>2024指标年JCR分区未核实；空白不能当非Q1。需要2025发布版/2024指标年的JCR全部学科导出。</t>
        </is>
      </c>
      <c r="AB186" s="2" t="inlineStr"/>
      <c r="AC186" s="2" t="inlineStr"/>
      <c r="AD186" s="2" t="inlineStr"/>
    </row>
    <row r="187" ht="48" customHeight="1">
      <c r="A187" s="3" t="inlineStr">
        <is>
          <t>R00356</t>
        </is>
      </c>
      <c r="B187" s="3" t="inlineStr">
        <is>
          <t>Potential of biogas and methane production from anaerobic digestion of poultry slaughterhouse effluent</t>
        </is>
      </c>
      <c r="C187" s="3" t="inlineStr">
        <is>
          <t>2012</t>
        </is>
      </c>
      <c r="D187" s="3" t="inlineStr">
        <is>
          <t>2012</t>
        </is>
      </c>
      <c r="E187" s="3" t="inlineStr">
        <is>
          <t>10.1590/s1516-35982012001100013</t>
        </is>
      </c>
      <c r="F187" s="3" t="inlineStr">
        <is>
          <t>期刊文章</t>
        </is>
      </c>
      <c r="G187" s="3" t="inlineStr">
        <is>
          <t>5 排除</t>
        </is>
      </c>
      <c r="H187" s="3" t="inlineStr">
        <is>
          <t>否</t>
        </is>
      </c>
      <c r="I187" s="3" t="inlineStr">
        <is>
          <t>研究类</t>
        </is>
      </c>
      <c r="J187" s="3" t="inlineStr">
        <is>
          <t>否</t>
        </is>
      </c>
      <c r="K187" s="3" t="inlineStr">
        <is>
          <t>Revista Brasileira de Zootecnia</t>
        </is>
      </c>
      <c r="L187" s="3" t="inlineStr">
        <is>
          <t>Revista Brasileira de Zootecnia</t>
        </is>
      </c>
      <c r="M187" s="3" t="inlineStr"/>
      <c r="N187" s="3" t="inlineStr">
        <is>
          <t>1516-3598</t>
        </is>
      </c>
      <c r="O187" s="3" t="inlineStr">
        <is>
          <t>未取得全文</t>
        </is>
      </c>
      <c r="P187" s="3" t="inlineStr">
        <is>
          <t>否</t>
        </is>
      </c>
      <c r="Q187" s="3" t="inlineStr">
        <is>
          <t>当前无补充材料原件；沿用既有缺失/无附件证据，不据此认定无附件</t>
        </is>
      </c>
      <c r="R187" s="3" t="n">
        <v>2024</v>
      </c>
      <c r="S187" s="3" t="inlineStr">
        <is>
          <t>2025发布版（2024指标年）</t>
        </is>
      </c>
      <c r="T187" s="3" t="inlineStr"/>
      <c r="U187" s="3" t="inlineStr"/>
      <c r="V187" s="3" t="inlineStr">
        <is>
          <t>待核实</t>
        </is>
      </c>
      <c r="W187" s="3" t="inlineStr">
        <is>
          <t>待核实</t>
        </is>
      </c>
      <c r="X187" s="3" t="inlineStr">
        <is>
          <t>否</t>
        </is>
      </c>
      <c r="Y187" s="3" t="inlineStr"/>
      <c r="Z187" s="3" t="inlineStr">
        <is>
          <t>https://api.crossref.org/works/10.1590/s1516-35982012001100013</t>
        </is>
      </c>
      <c r="AA187" s="3" t="inlineStr">
        <is>
          <t>2024指标年JCR分区未核实；空白不能当非Q1。需要2025发布版/2024指标年的JCR全部学科导出。</t>
        </is>
      </c>
      <c r="AB187" s="3" t="inlineStr"/>
      <c r="AC187" s="3" t="inlineStr"/>
      <c r="AD187" s="3" t="inlineStr"/>
    </row>
    <row r="188" ht="48" customHeight="1">
      <c r="A188" s="2" t="inlineStr">
        <is>
          <t>R00363</t>
        </is>
      </c>
      <c r="B188" s="2" t="inlineStr">
        <is>
          <t>Production of High Calorific Biogas from Organic Wastewater and Enhancement of Anaerobic Digestion</t>
        </is>
      </c>
      <c r="C188" s="2" t="inlineStr">
        <is>
          <t>2012</t>
        </is>
      </c>
      <c r="D188" s="2" t="inlineStr">
        <is>
          <t>2012</t>
        </is>
      </c>
      <c r="E188" s="2" t="inlineStr">
        <is>
          <t>10.4028/www.scientific.net/amr.550-553.522</t>
        </is>
      </c>
      <c r="F188" s="2" t="inlineStr">
        <is>
          <t>综述</t>
        </is>
      </c>
      <c r="G188" s="2" t="inlineStr">
        <is>
          <t>4 综述</t>
        </is>
      </c>
      <c r="H188" s="2" t="inlineStr">
        <is>
          <t>是</t>
        </is>
      </c>
      <c r="I188" s="2" t="inlineStr">
        <is>
          <t>类型待核实</t>
        </is>
      </c>
      <c r="J188" s="2" t="inlineStr">
        <is>
          <t>否</t>
        </is>
      </c>
      <c r="K188" s="2" t="inlineStr">
        <is>
          <t>Advanced Materials Research</t>
        </is>
      </c>
      <c r="L188" s="2" t="inlineStr">
        <is>
          <t>Advanced Materials Research</t>
        </is>
      </c>
      <c r="M188" s="2" t="inlineStr"/>
      <c r="N188" s="2" t="inlineStr">
        <is>
          <t>1662-8985</t>
        </is>
      </c>
      <c r="O188" s="2" t="inlineStr">
        <is>
          <t>未取得全文</t>
        </is>
      </c>
      <c r="P188" s="2" t="inlineStr">
        <is>
          <t>否</t>
        </is>
      </c>
      <c r="Q188" s="2" t="inlineStr">
        <is>
          <t>当前无补充材料原件；沿用既有缺失/无附件证据，不据此认定无附件</t>
        </is>
      </c>
      <c r="R188" s="2" t="inlineStr"/>
      <c r="S188" s="2" t="inlineStr"/>
      <c r="T188" s="2" t="inlineStr"/>
      <c r="U188" s="2" t="inlineStr"/>
      <c r="V188" s="2" t="inlineStr">
        <is>
          <t>不适用</t>
        </is>
      </c>
      <c r="W188" s="2" t="inlineStr">
        <is>
          <t>不适用</t>
        </is>
      </c>
      <c r="X188" s="2" t="inlineStr">
        <is>
          <t>不适用</t>
        </is>
      </c>
      <c r="Y188" s="2" t="inlineStr"/>
      <c r="Z188" s="2" t="inlineStr">
        <is>
          <t>https://api.crossref.org/works/10.4028/www.scientific.net/amr.550-553.522</t>
        </is>
      </c>
      <c r="AA188" s="2" t="inlineStr">
        <is>
          <t>期刊/会议或其他载体身份缺少足够凭据，单列待核实，不混入期刊论文分母 | 非目标期刊论文或类型待核实，不进入JCR分母</t>
        </is>
      </c>
      <c r="AB188" s="2" t="inlineStr"/>
      <c r="AC188" s="2" t="inlineStr"/>
      <c r="AD188" s="2" t="inlineStr"/>
    </row>
    <row r="189" ht="48" customHeight="1">
      <c r="A189" s="3" t="inlineStr">
        <is>
          <t>R00384</t>
        </is>
      </c>
      <c r="B189" s="3" t="inlineStr">
        <is>
          <t>Sanitization efficacy of anaerobic digestion and aeration of slurry from the aspect of limiting emission of Salmonella into the environment.</t>
        </is>
      </c>
      <c r="C189" s="3" t="inlineStr">
        <is>
          <t>2012</t>
        </is>
      </c>
      <c r="D189" s="3" t="inlineStr">
        <is>
          <t>2012</t>
        </is>
      </c>
      <c r="E189" s="3" t="inlineStr"/>
      <c r="F189" s="3" t="inlineStr">
        <is>
          <t>期刊文章</t>
        </is>
      </c>
      <c r="G189" s="3" t="inlineStr">
        <is>
          <t>5 排除</t>
        </is>
      </c>
      <c r="H189" s="3" t="inlineStr">
        <is>
          <t>否</t>
        </is>
      </c>
      <c r="I189" s="3" t="inlineStr">
        <is>
          <t>类型待核实</t>
        </is>
      </c>
      <c r="J189" s="3" t="inlineStr">
        <is>
          <t>否</t>
        </is>
      </c>
      <c r="K189" s="3" t="inlineStr">
        <is>
          <t>PubMed</t>
        </is>
      </c>
      <c r="L189" s="3" t="inlineStr">
        <is>
          <t>PubMed</t>
        </is>
      </c>
      <c r="M189" s="3" t="inlineStr"/>
      <c r="N189" s="3" t="inlineStr"/>
      <c r="O189" s="3" t="inlineStr">
        <is>
          <t>未取得全文</t>
        </is>
      </c>
      <c r="P189" s="3" t="inlineStr">
        <is>
          <t>否</t>
        </is>
      </c>
      <c r="Q189" s="3" t="inlineStr">
        <is>
          <t>当前无补充材料原件；沿用既有缺失/无附件证据，不据此认定无附件</t>
        </is>
      </c>
      <c r="R189" s="3" t="inlineStr"/>
      <c r="S189" s="3" t="inlineStr"/>
      <c r="T189" s="3" t="inlineStr"/>
      <c r="U189" s="3" t="inlineStr"/>
      <c r="V189" s="3" t="inlineStr">
        <is>
          <t>不适用</t>
        </is>
      </c>
      <c r="W189" s="3" t="inlineStr">
        <is>
          <t>不适用</t>
        </is>
      </c>
      <c r="X189" s="3" t="inlineStr">
        <is>
          <t>不适用</t>
        </is>
      </c>
      <c r="Y189" s="3" t="inlineStr"/>
      <c r="Z189" s="3" t="inlineStr"/>
      <c r="AA189" s="3" t="inlineStr">
        <is>
          <t>期刊/会议或其他载体身份缺少足够凭据，单列待核实，不混入期刊论文分母 | 非目标期刊论文或类型待核实，不进入JCR分母</t>
        </is>
      </c>
      <c r="AB189" s="3" t="inlineStr"/>
      <c r="AC189" s="3" t="inlineStr"/>
      <c r="AD189" s="3" t="inlineStr"/>
    </row>
    <row r="190" ht="48" customHeight="1">
      <c r="A190" s="2" t="inlineStr">
        <is>
          <t>R00429</t>
        </is>
      </c>
      <c r="B190" s="2" t="inlineStr">
        <is>
          <t>The removal of 1,4-dioxane from polyester manufacturing process wastewater using an up-flow Biological Aerated Filter (UBAF) packed with tire chips</t>
        </is>
      </c>
      <c r="C190" s="2" t="inlineStr">
        <is>
          <t>2012</t>
        </is>
      </c>
      <c r="D190" s="2" t="inlineStr">
        <is>
          <t>2012</t>
        </is>
      </c>
      <c r="E190" s="2" t="inlineStr">
        <is>
          <t>10.1080/10934529.2012.630291</t>
        </is>
      </c>
      <c r="F190" s="2" t="inlineStr">
        <is>
          <t>期刊文章</t>
        </is>
      </c>
      <c r="G190" s="2" t="inlineStr">
        <is>
          <t>5 排除</t>
        </is>
      </c>
      <c r="H190" s="2" t="inlineStr">
        <is>
          <t>否</t>
        </is>
      </c>
      <c r="I190" s="2" t="inlineStr">
        <is>
          <t>研究类</t>
        </is>
      </c>
      <c r="J190" s="2" t="inlineStr">
        <is>
          <t>否</t>
        </is>
      </c>
      <c r="K190" s="2" t="inlineStr">
        <is>
          <t>JOURNAL OF ENVIRONMENTAL SCIENCE AND HEALTH PART A-TOXIC/HAZARDOUS SUBSTANCES &amp; ENVIRONMENTAL ENGINEERING</t>
        </is>
      </c>
      <c r="L190" s="2" t="inlineStr">
        <is>
          <t>Journal of Environmental Science and Health, Part A</t>
        </is>
      </c>
      <c r="M190" s="2" t="inlineStr">
        <is>
          <t>1093-4529</t>
        </is>
      </c>
      <c r="N190" s="2" t="inlineStr">
        <is>
          <t>1532-4117</t>
        </is>
      </c>
      <c r="O190" s="2" t="inlineStr">
        <is>
          <t>未取得全文</t>
        </is>
      </c>
      <c r="P190" s="2" t="inlineStr">
        <is>
          <t>否</t>
        </is>
      </c>
      <c r="Q190" s="2" t="inlineStr">
        <is>
          <t>当前无补充材料原件；沿用既有缺失/无附件证据，不据此认定无附件</t>
        </is>
      </c>
      <c r="R190" s="2" t="n">
        <v>2024</v>
      </c>
      <c r="S190" s="2" t="inlineStr">
        <is>
          <t>2025发布版（2024指标年）</t>
        </is>
      </c>
      <c r="T190" s="2" t="inlineStr">
        <is>
          <t>ENGINEERING, ENVIRONMENTAL; ENVIRONMENTAL SCIENCES</t>
        </is>
      </c>
      <c r="U190" s="2" t="inlineStr">
        <is>
          <t>ENGINEERING, ENVIRONMENTAL: Q4; ENVIRONMENTAL SCIENCES: Q3</t>
        </is>
      </c>
      <c r="V190" s="2" t="inlineStr">
        <is>
          <t>否</t>
        </is>
      </c>
      <c r="W190" s="2" t="inlineStr">
        <is>
          <t>否</t>
        </is>
      </c>
      <c r="X190" s="2" t="inlineStr">
        <is>
          <t>是</t>
        </is>
      </c>
      <c r="Y190" s="2" t="inlineStr">
        <is>
          <t>https://topj.lib.whu.edu.cn/show.asp?cat=zk&amp;id=4361</t>
        </is>
      </c>
      <c r="Z190" s="2" t="inlineStr">
        <is>
          <t>https://api.crossref.org/works/10.1080/10934529.2012.630291</t>
        </is>
      </c>
      <c r="AA19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190" s="2" t="inlineStr"/>
      <c r="AC190" s="2" t="inlineStr"/>
      <c r="AD190" s="2" t="inlineStr"/>
    </row>
    <row r="191" ht="48" customHeight="1">
      <c r="A191" s="3" t="inlineStr">
        <is>
          <t>R00516</t>
        </is>
      </c>
      <c r="B191" s="3" t="inlineStr">
        <is>
          <t>Aeration and pH Combined Regulation for the Phase Separation of Anaerobic Digestion</t>
        </is>
      </c>
      <c r="C191" s="3" t="inlineStr">
        <is>
          <t>2013</t>
        </is>
      </c>
      <c r="D191" s="3" t="inlineStr">
        <is>
          <t>2013</t>
        </is>
      </c>
      <c r="E191" s="3" t="inlineStr"/>
      <c r="F191" s="3" t="inlineStr">
        <is>
          <t>期刊文章</t>
        </is>
      </c>
      <c r="G191" s="3" t="inlineStr">
        <is>
          <t>2 向厌氧水解或产酸阶段供氧</t>
        </is>
      </c>
      <c r="H191" s="3" t="inlineStr">
        <is>
          <t>是</t>
        </is>
      </c>
      <c r="I191" s="3" t="inlineStr">
        <is>
          <t>研究类</t>
        </is>
      </c>
      <c r="J191" s="3" t="inlineStr">
        <is>
          <t>是</t>
        </is>
      </c>
      <c r="K191" s="3" t="inlineStr">
        <is>
          <t>China Biogas</t>
        </is>
      </c>
      <c r="L191" s="3" t="inlineStr">
        <is>
          <t>China Biogas</t>
        </is>
      </c>
      <c r="M191" s="3" t="inlineStr"/>
      <c r="N191" s="3" t="inlineStr"/>
      <c r="O191" s="3" t="inlineStr">
        <is>
          <t>未取得全文</t>
        </is>
      </c>
      <c r="P191" s="3" t="inlineStr">
        <is>
          <t>否</t>
        </is>
      </c>
      <c r="Q191" s="3" t="inlineStr">
        <is>
          <t>当前无补充材料原件；沿用既有缺失/无附件证据，不据此认定无附件</t>
        </is>
      </c>
      <c r="R191" s="3" t="n">
        <v>2024</v>
      </c>
      <c r="S191" s="3" t="inlineStr">
        <is>
          <t>2025发布版（2024指标年）</t>
        </is>
      </c>
      <c r="T191" s="3" t="inlineStr"/>
      <c r="U191" s="3" t="inlineStr"/>
      <c r="V191" s="3" t="inlineStr">
        <is>
          <t>待核实</t>
        </is>
      </c>
      <c r="W191" s="3" t="inlineStr">
        <is>
          <t>待核实</t>
        </is>
      </c>
      <c r="X191" s="3" t="inlineStr">
        <is>
          <t>否</t>
        </is>
      </c>
      <c r="Y191" s="3" t="inlineStr"/>
      <c r="Z191" s="3" t="inlineStr"/>
      <c r="AA191" s="3" t="inlineStr">
        <is>
          <t>2024指标年JCR分区未核实；空白不能当非Q1。需要2025发布版/2024指标年的JCR全部学科导出。</t>
        </is>
      </c>
      <c r="AB191" s="3" t="inlineStr"/>
      <c r="AC191" s="3" t="inlineStr"/>
      <c r="AD191" s="3" t="inlineStr"/>
    </row>
    <row r="192" ht="48" customHeight="1">
      <c r="A192" s="2" t="inlineStr">
        <is>
          <t>R00608</t>
        </is>
      </c>
      <c r="B192" s="2" t="inlineStr">
        <is>
          <t>Comparative Study of Micro-aerobic and Anaerobic Hydrolysis Acidifications of Petrochemical Wastewater</t>
        </is>
      </c>
      <c r="C192" s="2" t="n">
        <v>2013</v>
      </c>
      <c r="D192" s="2" t="inlineStr">
        <is>
          <t>2013</t>
        </is>
      </c>
      <c r="E192" s="2" t="inlineStr"/>
      <c r="F192" s="2" t="inlineStr">
        <is>
          <t>期刊文章</t>
        </is>
      </c>
      <c r="G192" s="2" t="inlineStr">
        <is>
          <t>2 向厌氧水解或产酸阶段供氧</t>
        </is>
      </c>
      <c r="H192" s="2" t="inlineStr">
        <is>
          <t>是</t>
        </is>
      </c>
      <c r="I192" s="2" t="inlineStr">
        <is>
          <t>研究类</t>
        </is>
      </c>
      <c r="J192" s="2" t="inlineStr">
        <is>
          <t>是</t>
        </is>
      </c>
      <c r="K192" s="2" t="inlineStr">
        <is>
          <t>Journal of Environmental Engineering Technology</t>
        </is>
      </c>
      <c r="L192" s="2" t="inlineStr">
        <is>
          <t>Huanjing gongcheng jishu xuebao</t>
        </is>
      </c>
      <c r="M192" s="2" t="inlineStr">
        <is>
          <t>1674-991X</t>
        </is>
      </c>
      <c r="N192" s="2" t="inlineStr"/>
      <c r="O192" s="2" t="inlineStr">
        <is>
          <t>已取得核验全文</t>
        </is>
      </c>
      <c r="P192" s="2" t="inlineStr">
        <is>
          <t>是</t>
        </is>
      </c>
      <c r="Q192" s="2" t="inlineStr">
        <is>
          <t>当前无补充材料原件；沿用既有缺失/无附件证据，不据此认定无附件</t>
        </is>
      </c>
      <c r="R192" s="2" t="n">
        <v>2024</v>
      </c>
      <c r="S192" s="2" t="inlineStr">
        <is>
          <t>2025发布版（2024指标年）</t>
        </is>
      </c>
      <c r="T192" s="2" t="inlineStr"/>
      <c r="U192" s="2" t="inlineStr"/>
      <c r="V192" s="2" t="inlineStr">
        <is>
          <t>待核实</t>
        </is>
      </c>
      <c r="W192" s="2" t="inlineStr">
        <is>
          <t>待核实</t>
        </is>
      </c>
      <c r="X192" s="2" t="inlineStr">
        <is>
          <t>否</t>
        </is>
      </c>
      <c r="Y192" s="2" t="inlineStr"/>
      <c r="Z192" s="2" t="inlineStr">
        <is>
          <t>原件内容核验：original_files/R00608/fulltext/fulltext__version_unverified__e2a20257638dab74.pdf</t>
        </is>
      </c>
      <c r="AA192" s="2" t="inlineStr">
        <is>
          <t>扫描PDF p.1：《环境工程技术学报》3(5),386–390；doi:10.3969/j.issn.1674-991X.2013.05.060，原DOI为空未直接覆盖 | 2024指标年JCR分区未核实；空白不能当非Q1。需要2025发布版/2024指标年的JCR全部学科导出。</t>
        </is>
      </c>
      <c r="AB192" s="2" t="inlineStr">
        <is>
          <t>original_files/R00608/fulltext/fulltext__version_unverified__e2a20257638dab74.pdf</t>
        </is>
      </c>
      <c r="AC192" s="2" t="inlineStr"/>
      <c r="AD192" s="2" t="inlineStr">
        <is>
          <t>https://github.com/Colliam-Vermilion/FirstCodex/blob/results/ad-oxygen-literature-20261006/results/ad-oxygen-literature-20261006/original_files/R00608/fulltext/fulltext__version_unverified__e2a20257638dab74.pdf</t>
        </is>
      </c>
    </row>
    <row r="193" ht="48" customHeight="1">
      <c r="A193" s="3" t="inlineStr">
        <is>
          <t>R00642</t>
        </is>
      </c>
      <c r="B193" s="3" t="inlineStr">
        <is>
          <t>Effect of Combined Pretreatment of Waste Activated Sludge for Anaerobic Digestion Process</t>
        </is>
      </c>
      <c r="C193" s="3" t="inlineStr">
        <is>
          <t>2013</t>
        </is>
      </c>
      <c r="D193" s="3" t="inlineStr">
        <is>
          <t>2013</t>
        </is>
      </c>
      <c r="E193" s="3" t="inlineStr">
        <is>
          <t>10.1016/j.proenv.2013.04.097</t>
        </is>
      </c>
      <c r="F193" s="3" t="inlineStr">
        <is>
          <t>期刊文章</t>
        </is>
      </c>
      <c r="G193" s="3" t="inlineStr">
        <is>
          <t>5 排除</t>
        </is>
      </c>
      <c r="H193" s="3" t="inlineStr">
        <is>
          <t>否</t>
        </is>
      </c>
      <c r="I193" s="3" t="inlineStr">
        <is>
          <t>类型待核实</t>
        </is>
      </c>
      <c r="J193" s="3" t="inlineStr">
        <is>
          <t>否</t>
        </is>
      </c>
      <c r="K193" s="3" t="inlineStr">
        <is>
          <t>Procedia Environmental Sciences</t>
        </is>
      </c>
      <c r="L193" s="3" t="inlineStr">
        <is>
          <t>Procedia Environmental Sciences</t>
        </is>
      </c>
      <c r="M193" s="3" t="inlineStr">
        <is>
          <t>1878-0296</t>
        </is>
      </c>
      <c r="N193" s="3" t="inlineStr"/>
      <c r="O193" s="3" t="inlineStr">
        <is>
          <t>未取得全文</t>
        </is>
      </c>
      <c r="P193" s="3" t="inlineStr">
        <is>
          <t>否</t>
        </is>
      </c>
      <c r="Q193" s="3" t="inlineStr">
        <is>
          <t>当前无补充材料原件；沿用既有缺失/无附件证据，不据此认定无附件</t>
        </is>
      </c>
      <c r="R193" s="3" t="inlineStr"/>
      <c r="S193" s="3" t="inlineStr"/>
      <c r="T193" s="3" t="inlineStr"/>
      <c r="U193" s="3" t="inlineStr"/>
      <c r="V193" s="3" t="inlineStr">
        <is>
          <t>不适用</t>
        </is>
      </c>
      <c r="W193" s="3" t="inlineStr">
        <is>
          <t>不适用</t>
        </is>
      </c>
      <c r="X193" s="3" t="inlineStr">
        <is>
          <t>不适用</t>
        </is>
      </c>
      <c r="Y193" s="3" t="inlineStr"/>
      <c r="Z193" s="3" t="inlineStr">
        <is>
          <t>https://api.crossref.org/works/10.1016/j.proenv.2013.04.097</t>
        </is>
      </c>
      <c r="AA193" s="3" t="inlineStr">
        <is>
          <t>期刊/会议或其他载体身份缺少足够凭据，单列待核实，不混入期刊论文分母 | 非目标期刊论文或类型待核实，不进入JCR分母</t>
        </is>
      </c>
      <c r="AB193" s="3" t="inlineStr"/>
      <c r="AC193" s="3" t="inlineStr"/>
      <c r="AD193" s="3" t="inlineStr"/>
    </row>
    <row r="194" ht="48" customHeight="1">
      <c r="A194" s="2" t="inlineStr">
        <is>
          <t>R00888</t>
        </is>
      </c>
      <c r="B194" s="2" t="inlineStr">
        <is>
          <t>Performance evaluation of oxygen and air for the microaerobic removal of hydrogen sulphide in biogas from cow manure anaerobic digestion.</t>
        </is>
      </c>
      <c r="C194" s="2" t="inlineStr">
        <is>
          <t>2013</t>
        </is>
      </c>
      <c r="D194" s="2" t="inlineStr">
        <is>
          <t>2013</t>
        </is>
      </c>
      <c r="E194" s="2" t="inlineStr"/>
      <c r="F194" s="2" t="inlineStr">
        <is>
          <t>期刊文章</t>
        </is>
      </c>
      <c r="G194" s="2" t="inlineStr">
        <is>
          <t>1 直接向 AD 反应器或内部循环系统供氧</t>
        </is>
      </c>
      <c r="H194" s="2" t="inlineStr">
        <is>
          <t>是</t>
        </is>
      </c>
      <c r="I194" s="2" t="inlineStr">
        <is>
          <t>研究类</t>
        </is>
      </c>
      <c r="J194" s="2" t="inlineStr">
        <is>
          <t>是</t>
        </is>
      </c>
      <c r="K194" s="2" t="inlineStr">
        <is>
          <t>Journal of Pure and Applied Microbiology</t>
        </is>
      </c>
      <c r="L194" s="2" t="inlineStr">
        <is>
          <t>Journal of Pure and Applied Microbiology</t>
        </is>
      </c>
      <c r="M194" s="2" t="inlineStr"/>
      <c r="N194" s="2" t="inlineStr"/>
      <c r="O194" s="2" t="inlineStr">
        <is>
          <t>已取得核验全文</t>
        </is>
      </c>
      <c r="P194" s="2" t="inlineStr">
        <is>
          <t>是</t>
        </is>
      </c>
      <c r="Q194" s="2" t="inlineStr">
        <is>
          <t>当前无补充材料原件；沿用既有缺失/无附件证据，不据此认定无附件</t>
        </is>
      </c>
      <c r="R194" s="2" t="n">
        <v>2024</v>
      </c>
      <c r="S194" s="2" t="inlineStr">
        <is>
          <t>2025发布版（2024指标年）</t>
        </is>
      </c>
      <c r="T194" s="2" t="inlineStr"/>
      <c r="U194" s="2" t="inlineStr"/>
      <c r="V194" s="2" t="inlineStr">
        <is>
          <t>待核实</t>
        </is>
      </c>
      <c r="W194" s="2" t="inlineStr">
        <is>
          <t>待核实</t>
        </is>
      </c>
      <c r="X194" s="2" t="inlineStr">
        <is>
          <t>否</t>
        </is>
      </c>
      <c r="Y194" s="2" t="inlineStr"/>
      <c r="Z194" s="2" t="inlineStr"/>
      <c r="AA194" s="2" t="inlineStr">
        <is>
          <t>2024指标年JCR分区未核实；空白不能当非Q1。需要2025发布版/2024指标年的JCR全部学科导出。</t>
        </is>
      </c>
      <c r="AB194" s="2" t="inlineStr">
        <is>
          <t>original_files/R00888/fulltext/fulltext__version_unverified__fa65f300505c073a.pdf</t>
        </is>
      </c>
      <c r="AC194" s="2" t="inlineStr"/>
      <c r="AD194" s="2" t="inlineStr">
        <is>
          <t>https://github.com/Colliam-Vermilion/FirstCodex/blob/results/ad-oxygen-literature-20261006/results/ad-oxygen-literature-20261006/original_files/R00888/fulltext/fulltext__version_unverified__fa65f300505c073a.pdf</t>
        </is>
      </c>
    </row>
    <row r="195" ht="48" customHeight="1">
      <c r="A195" s="3" t="inlineStr">
        <is>
          <t>R01071</t>
        </is>
      </c>
      <c r="B195" s="3" t="inlineStr">
        <is>
          <t>An Approach to Enhance Biomethanation by Thermophilic Aerobic Digestion of Combined Vegetable Waste.</t>
        </is>
      </c>
      <c r="C195" s="3" t="inlineStr">
        <is>
          <t>2014</t>
        </is>
      </c>
      <c r="D195" s="3" t="inlineStr">
        <is>
          <t>2014</t>
        </is>
      </c>
      <c r="E195" s="3" t="inlineStr">
        <is>
          <t>10.9790/2402-08120107</t>
        </is>
      </c>
      <c r="F195" s="3" t="inlineStr">
        <is>
          <t>期刊文章</t>
        </is>
      </c>
      <c r="G195" s="3" t="inlineStr">
        <is>
          <t>3 独立好氧或微好氧预处理</t>
        </is>
      </c>
      <c r="H195" s="3" t="inlineStr">
        <is>
          <t>是</t>
        </is>
      </c>
      <c r="I195" s="3" t="inlineStr">
        <is>
          <t>研究类</t>
        </is>
      </c>
      <c r="J195" s="3" t="inlineStr">
        <is>
          <t>是</t>
        </is>
      </c>
      <c r="K195" s="3" t="inlineStr">
        <is>
          <t>IOSR Journal of Environmental Science, Toxicology and Food Technology</t>
        </is>
      </c>
      <c r="L195" s="3" t="inlineStr">
        <is>
          <t>IOSR Journal of Environmental Science, Toxicology and Food Technology</t>
        </is>
      </c>
      <c r="M195" s="3" t="inlineStr">
        <is>
          <t>2319-2399</t>
        </is>
      </c>
      <c r="N195" s="3" t="inlineStr">
        <is>
          <t>2319-2402</t>
        </is>
      </c>
      <c r="O195" s="3" t="inlineStr">
        <is>
          <t>未取得全文</t>
        </is>
      </c>
      <c r="P195" s="3" t="inlineStr">
        <is>
          <t>否</t>
        </is>
      </c>
      <c r="Q195" s="3" t="inlineStr">
        <is>
          <t>当前无补充材料原件；沿用既有缺失/无附件证据，不据此认定无附件</t>
        </is>
      </c>
      <c r="R195" s="3" t="n">
        <v>2024</v>
      </c>
      <c r="S195" s="3" t="inlineStr">
        <is>
          <t>2025发布版（2024指标年）</t>
        </is>
      </c>
      <c r="T195" s="3" t="inlineStr"/>
      <c r="U195" s="3" t="inlineStr"/>
      <c r="V195" s="3" t="inlineStr">
        <is>
          <t>待核实</t>
        </is>
      </c>
      <c r="W195" s="3" t="inlineStr">
        <is>
          <t>待核实</t>
        </is>
      </c>
      <c r="X195" s="3" t="inlineStr">
        <is>
          <t>否</t>
        </is>
      </c>
      <c r="Y195" s="3" t="inlineStr"/>
      <c r="Z195" s="3" t="inlineStr">
        <is>
          <t>https://api.crossref.org/works/10.9790/2402-08120107</t>
        </is>
      </c>
      <c r="AA195" s="3" t="inlineStr">
        <is>
          <t>2024指标年JCR分区未核实；空白不能当非Q1。需要2025发布版/2024指标年的JCR全部学科导出。</t>
        </is>
      </c>
      <c r="AB195" s="3" t="inlineStr"/>
      <c r="AC195" s="3" t="inlineStr"/>
      <c r="AD195" s="3" t="inlineStr"/>
    </row>
    <row r="196" ht="48" customHeight="1">
      <c r="A196" s="2" t="inlineStr">
        <is>
          <t>R01126</t>
        </is>
      </c>
      <c r="B196" s="2" t="inlineStr">
        <is>
          <t>Biogas Potential from Vetiveria Zizaniodes (L.) Planted for Ecological Restoration in China</t>
        </is>
      </c>
      <c r="C196" s="2" t="inlineStr">
        <is>
          <t>2014</t>
        </is>
      </c>
      <c r="D196" s="2" t="inlineStr">
        <is>
          <t>2014</t>
        </is>
      </c>
      <c r="E196" s="2" t="inlineStr">
        <is>
          <t>10.1016/j.egypro.2014.12.291</t>
        </is>
      </c>
      <c r="F196" s="2" t="inlineStr">
        <is>
          <t>会议研究论文（非期刊文章）</t>
        </is>
      </c>
      <c r="G196" s="2" t="inlineStr">
        <is>
          <t>3 独立好氧或微好氧预处理</t>
        </is>
      </c>
      <c r="H196" s="2" t="inlineStr">
        <is>
          <t>是</t>
        </is>
      </c>
      <c r="I196" s="2" t="inlineStr">
        <is>
          <t>会议/非期刊</t>
        </is>
      </c>
      <c r="J196" s="2" t="inlineStr">
        <is>
          <t>否</t>
        </is>
      </c>
      <c r="K196" s="2" t="inlineStr">
        <is>
          <t>Energy Procedia</t>
        </is>
      </c>
      <c r="L196" s="2" t="inlineStr">
        <is>
          <t>Energy Procedia</t>
        </is>
      </c>
      <c r="M196" s="2" t="inlineStr">
        <is>
          <t>1876-6102</t>
        </is>
      </c>
      <c r="N196" s="2" t="inlineStr"/>
      <c r="O196" s="2" t="inlineStr">
        <is>
          <t>已取得核验全文</t>
        </is>
      </c>
      <c r="P196" s="2" t="inlineStr">
        <is>
          <t>是</t>
        </is>
      </c>
      <c r="Q196" s="2" t="inlineStr">
        <is>
          <t>当前无补充材料原件；沿用既有缺失/无附件证据，不据此认定无附件</t>
        </is>
      </c>
      <c r="R196" s="2" t="inlineStr"/>
      <c r="S196" s="2" t="inlineStr"/>
      <c r="T196" s="2" t="inlineStr"/>
      <c r="U196" s="2" t="inlineStr"/>
      <c r="V196" s="2" t="inlineStr">
        <is>
          <t>不适用</t>
        </is>
      </c>
      <c r="W196" s="2" t="inlineStr">
        <is>
          <t>不适用</t>
        </is>
      </c>
      <c r="X196" s="2" t="inlineStr">
        <is>
          <t>不适用</t>
        </is>
      </c>
      <c r="Y196" s="2" t="inlineStr"/>
      <c r="Z196" s="2" t="inlineStr">
        <is>
          <t>https://api.crossref.org/works/10.1016/j.egypro.2014.12.291</t>
        </is>
      </c>
      <c r="AA196" s="2" t="inlineStr">
        <is>
          <t>非目标期刊论文或类型待核实，不进入JCR分母</t>
        </is>
      </c>
      <c r="AB196" s="2" t="inlineStr">
        <is>
          <t>original_files/R01126/fulltext/fulltext__published__2c4123486329aa07.pdf</t>
        </is>
      </c>
      <c r="AC196" s="2" t="inlineStr"/>
      <c r="AD196" s="2" t="inlineStr">
        <is>
          <t>https://github.com/Colliam-Vermilion/FirstCodex/blob/results/ad-oxygen-literature-20261006/results/ad-oxygen-literature-20261006/original_files/R01126/fulltext/fulltext__published__2c4123486329aa07.pdf</t>
        </is>
      </c>
    </row>
    <row r="197" ht="48" customHeight="1">
      <c r="A197" s="3" t="inlineStr">
        <is>
          <t>R01133</t>
        </is>
      </c>
      <c r="B197" s="3" t="inlineStr">
        <is>
          <t>Biogas purification using membrane micro-aeration: A mass transfer analysis</t>
        </is>
      </c>
      <c r="C197" s="3" t="inlineStr">
        <is>
          <t>2014</t>
        </is>
      </c>
      <c r="D197" s="3" t="inlineStr">
        <is>
          <t>2014</t>
        </is>
      </c>
      <c r="E197" s="3" t="inlineStr"/>
      <c r="F197" s="3" t="inlineStr">
        <is>
          <t>期刊文章</t>
        </is>
      </c>
      <c r="G197" s="3" t="inlineStr">
        <is>
          <t>5 排除</t>
        </is>
      </c>
      <c r="H197" s="3" t="inlineStr">
        <is>
          <t>否</t>
        </is>
      </c>
      <c r="I197" s="3" t="inlineStr">
        <is>
          <t>研究类</t>
        </is>
      </c>
      <c r="J197" s="3" t="inlineStr">
        <is>
          <t>否</t>
        </is>
      </c>
      <c r="K197" s="3" t="inlineStr">
        <is>
          <t>NORA - Norwegian Open Research Archives</t>
        </is>
      </c>
      <c r="L197" s="3" t="inlineStr">
        <is>
          <t>NORA - Norwegian Open Research Archives</t>
        </is>
      </c>
      <c r="M197" s="3" t="inlineStr"/>
      <c r="N197" s="3" t="inlineStr"/>
      <c r="O197" s="3" t="inlineStr">
        <is>
          <t>未取得全文</t>
        </is>
      </c>
      <c r="P197" s="3" t="inlineStr">
        <is>
          <t>否</t>
        </is>
      </c>
      <c r="Q197" s="3" t="inlineStr">
        <is>
          <t>当前无补充材料原件；沿用既有缺失/无附件证据，不据此认定无附件</t>
        </is>
      </c>
      <c r="R197" s="3" t="n">
        <v>2024</v>
      </c>
      <c r="S197" s="3" t="inlineStr">
        <is>
          <t>2025发布版（2024指标年）</t>
        </is>
      </c>
      <c r="T197" s="3" t="inlineStr"/>
      <c r="U197" s="3" t="inlineStr"/>
      <c r="V197" s="3" t="inlineStr">
        <is>
          <t>待核实</t>
        </is>
      </c>
      <c r="W197" s="3" t="inlineStr">
        <is>
          <t>待核实</t>
        </is>
      </c>
      <c r="X197" s="3" t="inlineStr">
        <is>
          <t>否</t>
        </is>
      </c>
      <c r="Y197" s="3" t="inlineStr"/>
      <c r="Z197" s="3" t="inlineStr"/>
      <c r="AA197" s="3" t="inlineStr">
        <is>
          <t>2024指标年JCR分区未核实；空白不能当非Q1。需要2025发布版/2024指标年的JCR全部学科导出。</t>
        </is>
      </c>
      <c r="AB197" s="3" t="inlineStr"/>
      <c r="AC197" s="3" t="inlineStr"/>
      <c r="AD197" s="3" t="inlineStr"/>
    </row>
    <row r="198" ht="48" customHeight="1">
      <c r="A198" s="2" t="inlineStr">
        <is>
          <t>R01155</t>
        </is>
      </c>
      <c r="B198" s="2" t="inlineStr">
        <is>
          <t>Chemically pretreating slaughterhouse solid waste to increase the efficiency of anaerobic digestion</t>
        </is>
      </c>
      <c r="C198" s="2" t="inlineStr">
        <is>
          <t>2014</t>
        </is>
      </c>
      <c r="D198" s="2" t="inlineStr">
        <is>
          <t>2014</t>
        </is>
      </c>
      <c r="E198" s="2" t="inlineStr">
        <is>
          <t>10.1016/j.jbiosc.2014.03.013</t>
        </is>
      </c>
      <c r="F198" s="2" t="inlineStr">
        <is>
          <t>期刊文章</t>
        </is>
      </c>
      <c r="G198" s="2" t="inlineStr">
        <is>
          <t>5 排除</t>
        </is>
      </c>
      <c r="H198" s="2" t="inlineStr">
        <is>
          <t>否</t>
        </is>
      </c>
      <c r="I198" s="2" t="inlineStr">
        <is>
          <t>研究类</t>
        </is>
      </c>
      <c r="J198" s="2" t="inlineStr">
        <is>
          <t>否</t>
        </is>
      </c>
      <c r="K198" s="2" t="inlineStr">
        <is>
          <t>Journal of Bioscience and Bioengineering</t>
        </is>
      </c>
      <c r="L198" s="2" t="inlineStr">
        <is>
          <t>Journal of Bioscience and Bioengineering</t>
        </is>
      </c>
      <c r="M198" s="2" t="inlineStr">
        <is>
          <t>1389-1723</t>
        </is>
      </c>
      <c r="N198" s="2" t="inlineStr"/>
      <c r="O198" s="2" t="inlineStr">
        <is>
          <t>未取得全文</t>
        </is>
      </c>
      <c r="P198" s="2" t="inlineStr">
        <is>
          <t>否</t>
        </is>
      </c>
      <c r="Q198" s="2" t="inlineStr">
        <is>
          <t>当前无补充材料原件；沿用既有缺失/无附件证据，不据此认定无附件</t>
        </is>
      </c>
      <c r="R198" s="2" t="n">
        <v>2024</v>
      </c>
      <c r="S198" s="2" t="inlineStr">
        <is>
          <t>2025发布版（2024指标年）</t>
        </is>
      </c>
      <c r="T198" s="2" t="inlineStr"/>
      <c r="U198" s="2" t="inlineStr"/>
      <c r="V198" s="2" t="inlineStr">
        <is>
          <t>待核实</t>
        </is>
      </c>
      <c r="W198" s="2" t="inlineStr">
        <is>
          <t>待核实</t>
        </is>
      </c>
      <c r="X198" s="2" t="inlineStr">
        <is>
          <t>否</t>
        </is>
      </c>
      <c r="Y198" s="2" t="inlineStr"/>
      <c r="Z198" s="2" t="inlineStr">
        <is>
          <t>https://api.crossref.org/works/10.1016/j.jbiosc.2014.03.013</t>
        </is>
      </c>
      <c r="AA198" s="2" t="inlineStr">
        <is>
          <t>2024指标年JCR分区未核实；空白不能当非Q1。需要2025发布版/2024指标年的JCR全部学科导出。</t>
        </is>
      </c>
      <c r="AB198" s="2" t="inlineStr"/>
      <c r="AC198" s="2" t="inlineStr"/>
      <c r="AD198" s="2" t="inlineStr"/>
    </row>
    <row r="199" ht="48" customHeight="1">
      <c r="A199" s="3" t="inlineStr">
        <is>
          <t>R01238</t>
        </is>
      </c>
      <c r="B199" s="3" t="inlineStr">
        <is>
          <t>Enhancement of Anaerobic Digestion of Cellulosic Fraction in Cassava Production Wastewater by Microaeration</t>
        </is>
      </c>
      <c r="C199" s="3" t="inlineStr">
        <is>
          <t>2014</t>
        </is>
      </c>
      <c r="D199" s="3" t="inlineStr">
        <is>
          <t>2014</t>
        </is>
      </c>
      <c r="E199" s="3" t="inlineStr">
        <is>
          <t>10.3303/cet1439093</t>
        </is>
      </c>
      <c r="F199" s="3" t="inlineStr">
        <is>
          <t>期刊文章</t>
        </is>
      </c>
      <c r="G199" s="3" t="inlineStr">
        <is>
          <t>1 直接向 AD 反应器或内部循环系统供氧</t>
        </is>
      </c>
      <c r="H199" s="3" t="inlineStr">
        <is>
          <t>是</t>
        </is>
      </c>
      <c r="I199" s="3" t="inlineStr">
        <is>
          <t>研究类</t>
        </is>
      </c>
      <c r="J199" s="3" t="inlineStr">
        <is>
          <t>是</t>
        </is>
      </c>
      <c r="K199" s="3" t="inlineStr">
        <is>
          <t>Chemical engineering transactions</t>
        </is>
      </c>
      <c r="L199" s="3" t="inlineStr">
        <is>
          <t>Chemical engineering transactions</t>
        </is>
      </c>
      <c r="M199" s="3" t="inlineStr"/>
      <c r="N199" s="3" t="inlineStr"/>
      <c r="O199" s="3" t="inlineStr">
        <is>
          <t>已取得核验全文</t>
        </is>
      </c>
      <c r="P199" s="3" t="inlineStr">
        <is>
          <t>是</t>
        </is>
      </c>
      <c r="Q199" s="3" t="inlineStr">
        <is>
          <t>当前无补充材料原件；沿用既有缺失/无附件证据，不据此认定无附件</t>
        </is>
      </c>
      <c r="R199" s="3" t="n">
        <v>2024</v>
      </c>
      <c r="S199" s="3" t="inlineStr">
        <is>
          <t>2025发布版（2024指标年）</t>
        </is>
      </c>
      <c r="T199" s="3" t="inlineStr"/>
      <c r="U199" s="3" t="inlineStr"/>
      <c r="V199" s="3" t="inlineStr">
        <is>
          <t>待核实</t>
        </is>
      </c>
      <c r="W199" s="3" t="inlineStr">
        <is>
          <t>待核实</t>
        </is>
      </c>
      <c r="X199" s="3" t="inlineStr">
        <is>
          <t>否</t>
        </is>
      </c>
      <c r="Y199" s="3" t="inlineStr"/>
      <c r="Z199" s="3" t="inlineStr"/>
      <c r="AA199" s="3" t="inlineStr">
        <is>
          <t>既有DOI未由Crossref返回可用元数据（可能为DataCite/JaLC等）；不据此否认记录身份 | 2024指标年JCR分区未核实；空白不能当非Q1。需要2025发布版/2024指标年的JCR全部学科导出。</t>
        </is>
      </c>
      <c r="AB199" s="3" t="inlineStr">
        <is>
          <t>original_files/R01238/fulltext/fulltext__published__61aa93be627c8612.pdf</t>
        </is>
      </c>
      <c r="AC199" s="3" t="inlineStr"/>
      <c r="AD199" s="3" t="inlineStr">
        <is>
          <t>https://github.com/Colliam-Vermilion/FirstCodex/blob/results/ad-oxygen-literature-20261006/results/ad-oxygen-literature-20261006/original_files/R01238/fulltext/fulltext__published__61aa93be627c8612.pdf</t>
        </is>
      </c>
    </row>
    <row r="200" ht="48" customHeight="1">
      <c r="A200" s="2" t="inlineStr">
        <is>
          <t>R01245</t>
        </is>
      </c>
      <c r="B200" s="2" t="inlineStr">
        <is>
          <t>Enhancing the functional and economical efficiency of a novel combined thermo chemical disperser disintegration of waste activated sludge for biogas production</t>
        </is>
      </c>
      <c r="C200" s="2" t="inlineStr">
        <is>
          <t>2014</t>
        </is>
      </c>
      <c r="D200" s="2" t="inlineStr">
        <is>
          <t>2014</t>
        </is>
      </c>
      <c r="E200" s="2" t="inlineStr">
        <is>
          <t>10.1016/j.biortech.2014.09.078</t>
        </is>
      </c>
      <c r="F200" s="2" t="inlineStr">
        <is>
          <t>期刊文章</t>
        </is>
      </c>
      <c r="G200" s="2" t="inlineStr">
        <is>
          <t>5 排除</t>
        </is>
      </c>
      <c r="H200" s="2" t="inlineStr">
        <is>
          <t>否</t>
        </is>
      </c>
      <c r="I200" s="2" t="inlineStr">
        <is>
          <t>研究类</t>
        </is>
      </c>
      <c r="J200" s="2" t="inlineStr">
        <is>
          <t>否</t>
        </is>
      </c>
      <c r="K200" s="2" t="inlineStr">
        <is>
          <t>BIORESOURCE TECHNOLOGY</t>
        </is>
      </c>
      <c r="L200" s="2" t="inlineStr">
        <is>
          <t>Bioresource Technology</t>
        </is>
      </c>
      <c r="M200" s="2" t="inlineStr">
        <is>
          <t>0960-8524</t>
        </is>
      </c>
      <c r="N200" s="2" t="inlineStr"/>
      <c r="O200" s="2" t="inlineStr">
        <is>
          <t>未取得全文</t>
        </is>
      </c>
      <c r="P200" s="2" t="inlineStr">
        <is>
          <t>否</t>
        </is>
      </c>
      <c r="Q200" s="2" t="inlineStr">
        <is>
          <t>当前无补充材料原件；沿用既有缺失/无附件证据，不据此认定无附件</t>
        </is>
      </c>
      <c r="R200" s="2" t="n">
        <v>2024</v>
      </c>
      <c r="S200" s="2" t="inlineStr">
        <is>
          <t>2025发布版（2024指标年）</t>
        </is>
      </c>
      <c r="T200" s="2" t="inlineStr">
        <is>
          <t>AGRICULTURAL ENGINEERING; BIOTECHNOLOGY &amp; APPLIED MICROBIOLOGY; ENERGY &amp; FUELS</t>
        </is>
      </c>
      <c r="U200" s="2" t="inlineStr">
        <is>
          <t>AGRICULTURAL ENGINEERING: Q1; BIOTECHNOLOGY &amp; APPLIED MICROBIOLOGY: Q1; ENERGY &amp; FUELS: Q1</t>
        </is>
      </c>
      <c r="V200" s="4" t="inlineStr">
        <is>
          <t>是</t>
        </is>
      </c>
      <c r="W200" s="4" t="inlineStr">
        <is>
          <t>是</t>
        </is>
      </c>
      <c r="X200" s="2" t="inlineStr">
        <is>
          <t>是</t>
        </is>
      </c>
      <c r="Y200" s="2" t="inlineStr">
        <is>
          <t>https://topj.lib.whu.edu.cn/show.asp?cat=zk&amp;id=3976</t>
        </is>
      </c>
      <c r="Z200" s="2" t="inlineStr">
        <is>
          <t>https://api.crossref.org/works/10.1016/j.biortech.2014.09.078</t>
        </is>
      </c>
      <c r="AA20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00" s="2" t="inlineStr"/>
      <c r="AC200" s="2" t="inlineStr"/>
      <c r="AD200" s="2" t="inlineStr"/>
    </row>
    <row r="201" ht="48" customHeight="1">
      <c r="A201" s="3" t="inlineStr">
        <is>
          <t>R01280</t>
        </is>
      </c>
      <c r="B201" s="3" t="inlineStr">
        <is>
          <t>High pressure homogenization and two-phased anaerobic digestion for enhanced biogas conversion from municipal waste sludge</t>
        </is>
      </c>
      <c r="C201" s="3" t="inlineStr">
        <is>
          <t>2014</t>
        </is>
      </c>
      <c r="D201" s="3" t="inlineStr">
        <is>
          <t>2014</t>
        </is>
      </c>
      <c r="E201" s="3" t="inlineStr">
        <is>
          <t>10.1016/j.watres.2014.08.045</t>
        </is>
      </c>
      <c r="F201" s="3" t="inlineStr">
        <is>
          <t>期刊文章</t>
        </is>
      </c>
      <c r="G201" s="3" t="inlineStr">
        <is>
          <t>5 排除</t>
        </is>
      </c>
      <c r="H201" s="3" t="inlineStr">
        <is>
          <t>否</t>
        </is>
      </c>
      <c r="I201" s="3" t="inlineStr">
        <is>
          <t>研究类</t>
        </is>
      </c>
      <c r="J201" s="3" t="inlineStr">
        <is>
          <t>否</t>
        </is>
      </c>
      <c r="K201" s="3" t="inlineStr">
        <is>
          <t>WATER RESEARCH</t>
        </is>
      </c>
      <c r="L201" s="3" t="inlineStr">
        <is>
          <t>Water Research</t>
        </is>
      </c>
      <c r="M201" s="3" t="inlineStr">
        <is>
          <t>0043-1354</t>
        </is>
      </c>
      <c r="N201" s="3" t="inlineStr"/>
      <c r="O201" s="3" t="inlineStr">
        <is>
          <t>未取得全文</t>
        </is>
      </c>
      <c r="P201" s="3" t="inlineStr">
        <is>
          <t>否</t>
        </is>
      </c>
      <c r="Q201" s="3" t="inlineStr">
        <is>
          <t>当前无补充材料原件；沿用既有缺失/无附件证据，不据此认定无附件</t>
        </is>
      </c>
      <c r="R201" s="3" t="n">
        <v>2024</v>
      </c>
      <c r="S201" s="3" t="inlineStr">
        <is>
          <t>2025发布版（2024指标年）</t>
        </is>
      </c>
      <c r="T201" s="3" t="inlineStr">
        <is>
          <t>WATER RESOURCES; ENGINEERING, ENVIRONMENTAL; ENVIRONMENTAL SCIENCES</t>
        </is>
      </c>
      <c r="U201" s="3" t="inlineStr">
        <is>
          <t>WATER RESOURCES: Q1; ENGINEERING, ENVIRONMENTAL: Q1; ENVIRONMENTAL SCIENCES: Q1</t>
        </is>
      </c>
      <c r="V201" s="4" t="inlineStr">
        <is>
          <t>是</t>
        </is>
      </c>
      <c r="W201" s="4" t="inlineStr">
        <is>
          <t>是</t>
        </is>
      </c>
      <c r="X201" s="3" t="inlineStr">
        <is>
          <t>是</t>
        </is>
      </c>
      <c r="Y201" s="3" t="inlineStr">
        <is>
          <t>https://topj.lib.whu.edu.cn/show.asp?cat=zk&amp;id=3962</t>
        </is>
      </c>
      <c r="Z201" s="3" t="inlineStr">
        <is>
          <t>https://api.crossref.org/works/10.1016/j.watres.2014.08.045</t>
        </is>
      </c>
      <c r="AA20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01" s="3" t="inlineStr"/>
      <c r="AC201" s="3" t="inlineStr"/>
      <c r="AD201" s="3" t="inlineStr"/>
    </row>
    <row r="202" ht="48" customHeight="1">
      <c r="A202" s="2" t="inlineStr">
        <is>
          <t>R01349</t>
        </is>
      </c>
      <c r="B202" s="2" t="inlineStr">
        <is>
          <t>Microaerobic control of biogas sulphide content during sewage sludge digestion by using biogas production and hydrogen sulphide concentration</t>
        </is>
      </c>
      <c r="C202" s="2" t="inlineStr">
        <is>
          <t>2014</t>
        </is>
      </c>
      <c r="D202" s="2" t="inlineStr">
        <is>
          <t>2014</t>
        </is>
      </c>
      <c r="E202" s="2" t="inlineStr">
        <is>
          <t>10.1016/j.cej.2014.04.027</t>
        </is>
      </c>
      <c r="F202" s="2" t="inlineStr">
        <is>
          <t>期刊文章</t>
        </is>
      </c>
      <c r="G202" s="2" t="inlineStr">
        <is>
          <t>1 直接向 AD 反应器或内部循环系统供氧</t>
        </is>
      </c>
      <c r="H202" s="2" t="inlineStr">
        <is>
          <t>是</t>
        </is>
      </c>
      <c r="I202" s="2" t="inlineStr">
        <is>
          <t>研究类</t>
        </is>
      </c>
      <c r="J202" s="2" t="inlineStr">
        <is>
          <t>是</t>
        </is>
      </c>
      <c r="K202" s="2" t="inlineStr">
        <is>
          <t>Chemical Engineering Journal</t>
        </is>
      </c>
      <c r="L202" s="2" t="inlineStr">
        <is>
          <t>Chemical Engineering Journal</t>
        </is>
      </c>
      <c r="M202" s="2" t="inlineStr">
        <is>
          <t>1385-8947</t>
        </is>
      </c>
      <c r="N202" s="2" t="inlineStr"/>
      <c r="O202" s="2" t="inlineStr">
        <is>
          <t>已取得核验全文</t>
        </is>
      </c>
      <c r="P202" s="2" t="inlineStr">
        <is>
          <t>是</t>
        </is>
      </c>
      <c r="Q202" s="2" t="inlineStr">
        <is>
          <t>当前无补充材料原件；沿用既有缺失/无附件证据，不据此认定无附件</t>
        </is>
      </c>
      <c r="R202" s="2" t="n">
        <v>2024</v>
      </c>
      <c r="S202" s="2" t="inlineStr">
        <is>
          <t>2025发布版（2024指标年）</t>
        </is>
      </c>
      <c r="T202" s="2" t="inlineStr">
        <is>
          <t>ENGINEERING, CHEMICAL; ENGINEERING, ENVIRONMENTAL</t>
        </is>
      </c>
      <c r="U202" s="2" t="inlineStr">
        <is>
          <t>ENGINEERING, CHEMICAL: Q1; ENGINEERING, ENVIRONMENTAL: Q1</t>
        </is>
      </c>
      <c r="V202" s="4" t="inlineStr">
        <is>
          <t>是</t>
        </is>
      </c>
      <c r="W202" s="4" t="inlineStr">
        <is>
          <t>是</t>
        </is>
      </c>
      <c r="X202" s="2" t="inlineStr">
        <is>
          <t>是</t>
        </is>
      </c>
      <c r="Y202" s="2" t="inlineStr">
        <is>
          <t>https://topj.lib.whu.edu.cn/show.asp?cat=zk&amp;id=2740</t>
        </is>
      </c>
      <c r="Z202" s="2" t="inlineStr">
        <is>
          <t>https://api.crossref.org/works/10.1016/j.cej.2014.04.027</t>
        </is>
      </c>
      <c r="AA20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02" s="2" t="inlineStr">
        <is>
          <t>original_files/R01349/fulltext/fulltext__published__e04b312bae2991a3.pdf</t>
        </is>
      </c>
      <c r="AC202" s="2" t="inlineStr"/>
      <c r="AD202" s="2" t="inlineStr">
        <is>
          <t>https://github.com/Colliam-Vermilion/FirstCodex/blob/results/ad-oxygen-literature-20261006/results/ad-oxygen-literature-20261006/original_files/R01349/fulltext/fulltext__published__e04b312bae2991a3.pdf</t>
        </is>
      </c>
    </row>
    <row r="203" ht="48" customHeight="1">
      <c r="A203" s="3" t="inlineStr">
        <is>
          <t>R01507</t>
        </is>
      </c>
      <c r="B203" s="3" t="inlineStr">
        <is>
          <t>The on-line measurement of greenhouse gases emitted by a reactor for nitrogen removal from digested zootechnical slurry</t>
        </is>
      </c>
      <c r="C203" s="3" t="inlineStr">
        <is>
          <t>2014</t>
        </is>
      </c>
      <c r="D203" s="3" t="inlineStr">
        <is>
          <t>2014</t>
        </is>
      </c>
      <c r="E203" s="3" t="inlineStr">
        <is>
          <t>10.2495/wm140361</t>
        </is>
      </c>
      <c r="F203" s="3" t="inlineStr">
        <is>
          <t>会议研究论文（非期刊文章）</t>
        </is>
      </c>
      <c r="G203" s="3" t="inlineStr">
        <is>
          <t>5 排除</t>
        </is>
      </c>
      <c r="H203" s="3" t="inlineStr">
        <is>
          <t>否</t>
        </is>
      </c>
      <c r="I203" s="3" t="inlineStr">
        <is>
          <t>会议/非期刊</t>
        </is>
      </c>
      <c r="J203" s="3" t="inlineStr">
        <is>
          <t>否</t>
        </is>
      </c>
      <c r="K203" s="3" t="inlineStr">
        <is>
          <t>WIT Transactions on Ecology and the Environment</t>
        </is>
      </c>
      <c r="L203" s="3" t="inlineStr">
        <is>
          <t>WIT Transactions on Ecology and the Environment</t>
        </is>
      </c>
      <c r="M203" s="3" t="inlineStr">
        <is>
          <t>1746-448X</t>
        </is>
      </c>
      <c r="N203" s="3" t="inlineStr">
        <is>
          <t>1743-3541</t>
        </is>
      </c>
      <c r="O203" s="3" t="inlineStr">
        <is>
          <t>未取得全文</t>
        </is>
      </c>
      <c r="P203" s="3" t="inlineStr">
        <is>
          <t>否</t>
        </is>
      </c>
      <c r="Q203" s="3" t="inlineStr">
        <is>
          <t>当前无补充材料原件；沿用既有缺失/无附件证据，不据此认定无附件</t>
        </is>
      </c>
      <c r="R203" s="3" t="inlineStr"/>
      <c r="S203" s="3" t="inlineStr"/>
      <c r="T203" s="3" t="inlineStr"/>
      <c r="U203" s="3" t="inlineStr"/>
      <c r="V203" s="3" t="inlineStr">
        <is>
          <t>不适用</t>
        </is>
      </c>
      <c r="W203" s="3" t="inlineStr">
        <is>
          <t>不适用</t>
        </is>
      </c>
      <c r="X203" s="3" t="inlineStr">
        <is>
          <t>不适用</t>
        </is>
      </c>
      <c r="Y203" s="3" t="inlineStr"/>
      <c r="Z203" s="3" t="inlineStr">
        <is>
          <t>https://api.crossref.org/works/10.2495/wm140361</t>
        </is>
      </c>
      <c r="AA203" s="3" t="inlineStr">
        <is>
          <t>非目标期刊论文或类型待核实，不进入JCR分母</t>
        </is>
      </c>
      <c r="AB203" s="3" t="inlineStr"/>
      <c r="AC203" s="3" t="inlineStr"/>
      <c r="AD203" s="3" t="inlineStr"/>
    </row>
    <row r="204" ht="48" customHeight="1">
      <c r="A204" s="2" t="inlineStr">
        <is>
          <t>R01680</t>
        </is>
      </c>
      <c r="B204" s="2" t="inlineStr">
        <is>
          <t>Biogas Recovery from MSW using Different Aeration Pretreatments</t>
        </is>
      </c>
      <c r="C204" s="2" t="inlineStr">
        <is>
          <t>2015</t>
        </is>
      </c>
      <c r="D204" s="2" t="inlineStr">
        <is>
          <t>2015</t>
        </is>
      </c>
      <c r="E204" s="2" t="inlineStr"/>
      <c r="F204" s="2" t="inlineStr">
        <is>
          <t>期刊文章</t>
        </is>
      </c>
      <c r="G204" s="2" t="inlineStr">
        <is>
          <t>1 直接向 AD 反应器或内部循环系统供氧</t>
        </is>
      </c>
      <c r="H204" s="2" t="inlineStr">
        <is>
          <t>是</t>
        </is>
      </c>
      <c r="I204" s="2" t="inlineStr">
        <is>
          <t>类型待核实</t>
        </is>
      </c>
      <c r="J204" s="2" t="inlineStr">
        <is>
          <t>否</t>
        </is>
      </c>
      <c r="K204" s="2" t="inlineStr"/>
      <c r="L204" s="2" t="inlineStr"/>
      <c r="M204" s="2" t="inlineStr"/>
      <c r="N204" s="2" t="inlineStr"/>
      <c r="O204" s="2" t="inlineStr">
        <is>
          <t>未取得全文</t>
        </is>
      </c>
      <c r="P204" s="2" t="inlineStr">
        <is>
          <t>否</t>
        </is>
      </c>
      <c r="Q204" s="2" t="inlineStr">
        <is>
          <t>当前无补充材料原件；沿用既有缺失/无附件证据，不据此认定无附件</t>
        </is>
      </c>
      <c r="R204" s="2" t="inlineStr"/>
      <c r="S204" s="2" t="inlineStr"/>
      <c r="T204" s="2" t="inlineStr"/>
      <c r="U204" s="2" t="inlineStr"/>
      <c r="V204" s="2" t="inlineStr">
        <is>
          <t>不适用</t>
        </is>
      </c>
      <c r="W204" s="2" t="inlineStr">
        <is>
          <t>不适用</t>
        </is>
      </c>
      <c r="X204" s="2" t="inlineStr">
        <is>
          <t>不适用</t>
        </is>
      </c>
      <c r="Y204" s="2" t="inlineStr"/>
      <c r="Z204" s="2" t="inlineStr"/>
      <c r="AA204" s="2" t="inlineStr">
        <is>
          <t>期刊/会议或其他载体身份缺少足够凭据，单列待核实，不混入期刊论文分母 | 非目标期刊论文或类型待核实，不进入JCR分母</t>
        </is>
      </c>
      <c r="AB204" s="2" t="inlineStr"/>
      <c r="AC204" s="2" t="inlineStr"/>
      <c r="AD204" s="2" t="inlineStr"/>
    </row>
    <row r="205" ht="48" customHeight="1">
      <c r="A205" s="3" t="inlineStr">
        <is>
          <t>R01767</t>
        </is>
      </c>
      <c r="B205" s="3" t="inlineStr">
        <is>
          <t>Digestion of bio-waste - GHG emissions and mitigation potential</t>
        </is>
      </c>
      <c r="C205" s="3" t="inlineStr">
        <is>
          <t>2015</t>
        </is>
      </c>
      <c r="D205" s="3" t="inlineStr">
        <is>
          <t>2015</t>
        </is>
      </c>
      <c r="E205" s="3" t="inlineStr">
        <is>
          <t>10.1186/s13705-014-0032-6</t>
        </is>
      </c>
      <c r="F205" s="3" t="inlineStr">
        <is>
          <t>期刊文章</t>
        </is>
      </c>
      <c r="G205" s="3" t="inlineStr">
        <is>
          <t>5 排除</t>
        </is>
      </c>
      <c r="H205" s="3" t="inlineStr">
        <is>
          <t>否</t>
        </is>
      </c>
      <c r="I205" s="3" t="inlineStr">
        <is>
          <t>研究类</t>
        </is>
      </c>
      <c r="J205" s="3" t="inlineStr">
        <is>
          <t>否</t>
        </is>
      </c>
      <c r="K205" s="3" t="inlineStr">
        <is>
          <t>Energy Sustainability and Society</t>
        </is>
      </c>
      <c r="L205" s="3" t="inlineStr">
        <is>
          <t>Energy, Sustainability and Society</t>
        </is>
      </c>
      <c r="M205" s="3" t="inlineStr"/>
      <c r="N205" s="3" t="inlineStr">
        <is>
          <t>2192-0567</t>
        </is>
      </c>
      <c r="O205" s="3" t="inlineStr">
        <is>
          <t>未取得全文</t>
        </is>
      </c>
      <c r="P205" s="3" t="inlineStr">
        <is>
          <t>否</t>
        </is>
      </c>
      <c r="Q205" s="3" t="inlineStr">
        <is>
          <t>当前无补充材料原件；沿用既有缺失/无附件证据，不据此认定无附件</t>
        </is>
      </c>
      <c r="R205" s="3" t="n">
        <v>2024</v>
      </c>
      <c r="S205" s="3" t="inlineStr">
        <is>
          <t>2025发布版（2024指标年）</t>
        </is>
      </c>
      <c r="T205" s="3" t="inlineStr">
        <is>
          <t>ENERGY &amp; FUELS; GREEN &amp; SUSTAINABLE SCIENCE &amp; TECHNOLOGY</t>
        </is>
      </c>
      <c r="U205" s="3" t="inlineStr">
        <is>
          <t>ENERGY &amp; FUELS: Q2; GREEN &amp; SUSTAINABLE SCIENCE &amp; TECHNOLOGY: Q2</t>
        </is>
      </c>
      <c r="V205" s="3" t="inlineStr">
        <is>
          <t>否</t>
        </is>
      </c>
      <c r="W205" s="3" t="inlineStr">
        <is>
          <t>否</t>
        </is>
      </c>
      <c r="X205" s="3" t="inlineStr">
        <is>
          <t>是</t>
        </is>
      </c>
      <c r="Y205" s="3" t="inlineStr">
        <is>
          <t>https://topj.lib.whu.edu.cn/show.asp?cat=zk&amp;id=5194</t>
        </is>
      </c>
      <c r="Z205" s="3" t="inlineStr">
        <is>
          <t>https://api.crossref.org/works/10.1186/s13705-014-0032-6</t>
        </is>
      </c>
      <c r="AA20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05" s="3" t="inlineStr"/>
      <c r="AC205" s="3" t="inlineStr"/>
      <c r="AD205" s="3" t="inlineStr"/>
    </row>
    <row r="206" ht="48" customHeight="1">
      <c r="A206" s="2" t="inlineStr">
        <is>
          <t>R01805</t>
        </is>
      </c>
      <c r="B206" s="2" t="inlineStr">
        <is>
          <t>Effect of oxygen supply at initial stage of anaerobic digestion on biogas production from corn straw</t>
        </is>
      </c>
      <c r="C206" s="2" t="inlineStr">
        <is>
          <t>2015</t>
        </is>
      </c>
      <c r="D206" s="2" t="inlineStr">
        <is>
          <t>2015</t>
        </is>
      </c>
      <c r="E206" s="2" t="inlineStr"/>
      <c r="F206" s="2" t="inlineStr">
        <is>
          <t>期刊文章</t>
        </is>
      </c>
      <c r="G206" s="2" t="inlineStr">
        <is>
          <t>1 直接向 AD 反应器或内部循环系统供氧</t>
        </is>
      </c>
      <c r="H206" s="2" t="inlineStr">
        <is>
          <t>是</t>
        </is>
      </c>
      <c r="I206" s="2" t="inlineStr">
        <is>
          <t>类型待核实</t>
        </is>
      </c>
      <c r="J206" s="2" t="inlineStr">
        <is>
          <t>否</t>
        </is>
      </c>
      <c r="K206" s="2" t="inlineStr"/>
      <c r="L206" s="2" t="inlineStr"/>
      <c r="M206" s="2" t="inlineStr"/>
      <c r="N206" s="2" t="inlineStr"/>
      <c r="O206" s="2" t="inlineStr">
        <is>
          <t>未取得全文</t>
        </is>
      </c>
      <c r="P206" s="2" t="inlineStr">
        <is>
          <t>否</t>
        </is>
      </c>
      <c r="Q206" s="2" t="inlineStr">
        <is>
          <t>当前无补充材料原件；沿用既有缺失/无附件证据，不据此认定无附件</t>
        </is>
      </c>
      <c r="R206" s="2" t="inlineStr"/>
      <c r="S206" s="2" t="inlineStr"/>
      <c r="T206" s="2" t="inlineStr"/>
      <c r="U206" s="2" t="inlineStr"/>
      <c r="V206" s="2" t="inlineStr">
        <is>
          <t>不适用</t>
        </is>
      </c>
      <c r="W206" s="2" t="inlineStr">
        <is>
          <t>不适用</t>
        </is>
      </c>
      <c r="X206" s="2" t="inlineStr">
        <is>
          <t>不适用</t>
        </is>
      </c>
      <c r="Y206" s="2" t="inlineStr"/>
      <c r="Z206" s="2" t="inlineStr"/>
      <c r="AA206" s="2" t="inlineStr">
        <is>
          <t>期刊/会议或其他载体身份缺少足够凭据，单列待核实，不混入期刊论文分母 | 非目标期刊论文或类型待核实，不进入JCR分母</t>
        </is>
      </c>
      <c r="AB206" s="2" t="inlineStr"/>
      <c r="AC206" s="2" t="inlineStr"/>
      <c r="AD206" s="2" t="inlineStr"/>
    </row>
    <row r="207" ht="48" customHeight="1">
      <c r="A207" s="3" t="inlineStr">
        <is>
          <t>R01827</t>
        </is>
      </c>
      <c r="B207" s="3" t="inlineStr">
        <is>
          <t>Efficient biogas desulfurization by microaeration - full scale experience</t>
        </is>
      </c>
      <c r="C207" s="3" t="inlineStr">
        <is>
          <t>2015</t>
        </is>
      </c>
      <c r="D207" s="3" t="inlineStr">
        <is>
          <t>2015</t>
        </is>
      </c>
      <c r="E207" s="3" t="inlineStr">
        <is>
          <t>10.2175/193864715819558758</t>
        </is>
      </c>
      <c r="F207" s="3" t="inlineStr">
        <is>
          <t>会议研究论文（非期刊文章）</t>
        </is>
      </c>
      <c r="G207" s="3" t="inlineStr">
        <is>
          <t>5 排除</t>
        </is>
      </c>
      <c r="H207" s="3" t="inlineStr">
        <is>
          <t>否</t>
        </is>
      </c>
      <c r="I207" s="3" t="inlineStr">
        <is>
          <t>会议/非期刊</t>
        </is>
      </c>
      <c r="J207" s="3" t="inlineStr">
        <is>
          <t>否</t>
        </is>
      </c>
      <c r="K207" s="3" t="inlineStr">
        <is>
          <t>Proceedings of the Water Environment Federation</t>
        </is>
      </c>
      <c r="L207" s="3" t="inlineStr">
        <is>
          <t>Proceedings of the Water Environment Federation</t>
        </is>
      </c>
      <c r="M207" s="3" t="inlineStr">
        <is>
          <t>1938-6478</t>
        </is>
      </c>
      <c r="N207" s="3" t="inlineStr"/>
      <c r="O207" s="3" t="inlineStr">
        <is>
          <t>未取得全文</t>
        </is>
      </c>
      <c r="P207" s="3" t="inlineStr">
        <is>
          <t>否</t>
        </is>
      </c>
      <c r="Q207" s="3" t="inlineStr">
        <is>
          <t>当前无补充材料原件；沿用既有缺失/无附件证据，不据此认定无附件</t>
        </is>
      </c>
      <c r="R207" s="3" t="inlineStr"/>
      <c r="S207" s="3" t="inlineStr"/>
      <c r="T207" s="3" t="inlineStr"/>
      <c r="U207" s="3" t="inlineStr"/>
      <c r="V207" s="3" t="inlineStr">
        <is>
          <t>不适用</t>
        </is>
      </c>
      <c r="W207" s="3" t="inlineStr">
        <is>
          <t>不适用</t>
        </is>
      </c>
      <c r="X207" s="3" t="inlineStr">
        <is>
          <t>不适用</t>
        </is>
      </c>
      <c r="Y207" s="3" t="inlineStr"/>
      <c r="Z207" s="3" t="inlineStr">
        <is>
          <t>https://api.crossref.org/works/10.2175/193864715819558758</t>
        </is>
      </c>
      <c r="AA207" s="3" t="inlineStr">
        <is>
          <t>非目标期刊论文或类型待核实，不进入JCR分母</t>
        </is>
      </c>
      <c r="AB207" s="3" t="inlineStr"/>
      <c r="AC207" s="3" t="inlineStr"/>
      <c r="AD207" s="3" t="inlineStr"/>
    </row>
    <row r="208" ht="48" customHeight="1">
      <c r="A208" s="2" t="inlineStr">
        <is>
          <t>R01844</t>
        </is>
      </c>
      <c r="B208" s="2" t="inlineStr">
        <is>
          <t>Enhanced mesophilic anaerobic digestion of food waste by thermal pretreatment: Substrate versus digestate heating</t>
        </is>
      </c>
      <c r="C208" s="2" t="inlineStr">
        <is>
          <t>2015</t>
        </is>
      </c>
      <c r="D208" s="2" t="inlineStr">
        <is>
          <t>2015</t>
        </is>
      </c>
      <c r="E208" s="2" t="inlineStr">
        <is>
          <t>10.1016/j.wasman.2015.07.045</t>
        </is>
      </c>
      <c r="F208" s="2" t="inlineStr">
        <is>
          <t>期刊文章</t>
        </is>
      </c>
      <c r="G208" s="2" t="inlineStr">
        <is>
          <t>5 排除</t>
        </is>
      </c>
      <c r="H208" s="2" t="inlineStr">
        <is>
          <t>否</t>
        </is>
      </c>
      <c r="I208" s="2" t="inlineStr">
        <is>
          <t>研究类</t>
        </is>
      </c>
      <c r="J208" s="2" t="inlineStr">
        <is>
          <t>否</t>
        </is>
      </c>
      <c r="K208" s="2" t="inlineStr">
        <is>
          <t>Waste Management</t>
        </is>
      </c>
      <c r="L208" s="2" t="inlineStr">
        <is>
          <t>Waste Management</t>
        </is>
      </c>
      <c r="M208" s="2" t="inlineStr">
        <is>
          <t>0956-053X</t>
        </is>
      </c>
      <c r="N208" s="2" t="inlineStr"/>
      <c r="O208" s="2" t="inlineStr">
        <is>
          <t>未取得全文</t>
        </is>
      </c>
      <c r="P208" s="2" t="inlineStr">
        <is>
          <t>否</t>
        </is>
      </c>
      <c r="Q208" s="2" t="inlineStr">
        <is>
          <t>当前无补充材料原件；沿用既有缺失/无附件证据，不据此认定无附件</t>
        </is>
      </c>
      <c r="R208" s="2" t="n">
        <v>2024</v>
      </c>
      <c r="S208" s="2" t="inlineStr">
        <is>
          <t>2025发布版（2024指标年）</t>
        </is>
      </c>
      <c r="T208" s="2" t="inlineStr">
        <is>
          <t>ENGINEERING, ENVIRONMENTAL; ENVIRONMENTAL SCIENCES</t>
        </is>
      </c>
      <c r="U208" s="2" t="inlineStr">
        <is>
          <t>ENGINEERING, ENVIRONMENTAL: Q1; ENVIRONMENTAL SCIENCES: Q1</t>
        </is>
      </c>
      <c r="V208" s="4" t="inlineStr">
        <is>
          <t>是</t>
        </is>
      </c>
      <c r="W208" s="4" t="inlineStr">
        <is>
          <t>是</t>
        </is>
      </c>
      <c r="X208" s="2" t="inlineStr">
        <is>
          <t>是</t>
        </is>
      </c>
      <c r="Y208" s="2" t="inlineStr">
        <is>
          <t>https://topj.lib.whu.edu.cn/show.asp?cat=zk&amp;id=4000</t>
        </is>
      </c>
      <c r="Z208" s="2" t="inlineStr">
        <is>
          <t>https://api.crossref.org/works/10.1016/j.wasman.2015.07.045</t>
        </is>
      </c>
      <c r="AA20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08" s="2" t="inlineStr"/>
      <c r="AC208" s="2" t="inlineStr"/>
      <c r="AD208" s="2" t="inlineStr"/>
    </row>
    <row r="209" ht="48" customHeight="1">
      <c r="A209" s="3" t="inlineStr">
        <is>
          <t>R01853</t>
        </is>
      </c>
      <c r="B209" s="3" t="inlineStr">
        <is>
          <t>Enhancing the hydrolysis and methane production potential of mixed food waste by an effective enzymatic pretreatment</t>
        </is>
      </c>
      <c r="C209" s="3" t="inlineStr">
        <is>
          <t>2015</t>
        </is>
      </c>
      <c r="D209" s="3" t="inlineStr">
        <is>
          <t>2015</t>
        </is>
      </c>
      <c r="E209" s="3" t="inlineStr">
        <is>
          <t>10.1016/j.biortech.2015.02.033</t>
        </is>
      </c>
      <c r="F209" s="3" t="inlineStr">
        <is>
          <t>期刊文章</t>
        </is>
      </c>
      <c r="G209" s="3" t="inlineStr">
        <is>
          <t>5 排除</t>
        </is>
      </c>
      <c r="H209" s="3" t="inlineStr">
        <is>
          <t>否</t>
        </is>
      </c>
      <c r="I209" s="3" t="inlineStr">
        <is>
          <t>研究类</t>
        </is>
      </c>
      <c r="J209" s="3" t="inlineStr">
        <is>
          <t>否</t>
        </is>
      </c>
      <c r="K209" s="3" t="inlineStr">
        <is>
          <t>BIORESOURCE TECHNOLOGY</t>
        </is>
      </c>
      <c r="L209" s="3" t="inlineStr">
        <is>
          <t>Bioresource Technology</t>
        </is>
      </c>
      <c r="M209" s="3" t="inlineStr">
        <is>
          <t>0960-8524</t>
        </is>
      </c>
      <c r="N209" s="3" t="inlineStr"/>
      <c r="O209" s="3" t="inlineStr">
        <is>
          <t>未取得全文</t>
        </is>
      </c>
      <c r="P209" s="3" t="inlineStr">
        <is>
          <t>否</t>
        </is>
      </c>
      <c r="Q209" s="3" t="inlineStr">
        <is>
          <t>当前无补充材料原件；沿用既有缺失/无附件证据，不据此认定无附件</t>
        </is>
      </c>
      <c r="R209" s="3" t="n">
        <v>2024</v>
      </c>
      <c r="S209" s="3" t="inlineStr">
        <is>
          <t>2025发布版（2024指标年）</t>
        </is>
      </c>
      <c r="T209" s="3" t="inlineStr">
        <is>
          <t>AGRICULTURAL ENGINEERING; BIOTECHNOLOGY &amp; APPLIED MICROBIOLOGY; ENERGY &amp; FUELS</t>
        </is>
      </c>
      <c r="U209" s="3" t="inlineStr">
        <is>
          <t>AGRICULTURAL ENGINEERING: Q1; BIOTECHNOLOGY &amp; APPLIED MICROBIOLOGY: Q1; ENERGY &amp; FUELS: Q1</t>
        </is>
      </c>
      <c r="V209" s="4" t="inlineStr">
        <is>
          <t>是</t>
        </is>
      </c>
      <c r="W209" s="4" t="inlineStr">
        <is>
          <t>是</t>
        </is>
      </c>
      <c r="X209" s="3" t="inlineStr">
        <is>
          <t>是</t>
        </is>
      </c>
      <c r="Y209" s="3" t="inlineStr">
        <is>
          <t>https://topj.lib.whu.edu.cn/show.asp?cat=zk&amp;id=3976</t>
        </is>
      </c>
      <c r="Z209" s="3" t="inlineStr">
        <is>
          <t>https://api.crossref.org/works/10.1016/j.biortech.2015.02.033</t>
        </is>
      </c>
      <c r="AA20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09" s="3" t="inlineStr"/>
      <c r="AC209" s="3" t="inlineStr"/>
      <c r="AD209" s="3" t="inlineStr"/>
    </row>
    <row r="210" ht="48" customHeight="1">
      <c r="A210" s="2" t="inlineStr">
        <is>
          <t>R01895</t>
        </is>
      </c>
      <c r="B210" s="2" t="inlineStr">
        <is>
          <t>Hybrid alkali-hydrodynamic disintegration of waste-activated sludge before two-stage anaerobic digestion process</t>
        </is>
      </c>
      <c r="C210" s="2" t="inlineStr">
        <is>
          <t>2015</t>
        </is>
      </c>
      <c r="D210" s="2" t="inlineStr">
        <is>
          <t>2015</t>
        </is>
      </c>
      <c r="E210" s="2" t="inlineStr">
        <is>
          <t>10.1007/s11356-014-3705-y</t>
        </is>
      </c>
      <c r="F210" s="2" t="inlineStr">
        <is>
          <t>期刊文章</t>
        </is>
      </c>
      <c r="G210" s="2" t="inlineStr">
        <is>
          <t>5 排除</t>
        </is>
      </c>
      <c r="H210" s="2" t="inlineStr">
        <is>
          <t>否</t>
        </is>
      </c>
      <c r="I210" s="2" t="inlineStr">
        <is>
          <t>研究类</t>
        </is>
      </c>
      <c r="J210" s="2" t="inlineStr">
        <is>
          <t>否</t>
        </is>
      </c>
      <c r="K210" s="2" t="inlineStr">
        <is>
          <t>Environmental Science and Pollution Research</t>
        </is>
      </c>
      <c r="L210" s="2" t="inlineStr">
        <is>
          <t>Environmental Science and Pollution Research</t>
        </is>
      </c>
      <c r="M210" s="2" t="inlineStr">
        <is>
          <t>0944-1344</t>
        </is>
      </c>
      <c r="N210" s="2" t="inlineStr">
        <is>
          <t>1614-7499</t>
        </is>
      </c>
      <c r="O210" s="2" t="inlineStr">
        <is>
          <t>未取得全文</t>
        </is>
      </c>
      <c r="P210" s="2" t="inlineStr">
        <is>
          <t>否</t>
        </is>
      </c>
      <c r="Q210" s="2" t="inlineStr">
        <is>
          <t>当前无补充材料原件；沿用既有缺失/无附件证据，不据此认定无附件</t>
        </is>
      </c>
      <c r="R210" s="2" t="n">
        <v>2024</v>
      </c>
      <c r="S210" s="2" t="inlineStr">
        <is>
          <t>2025发布版（2024指标年）</t>
        </is>
      </c>
      <c r="T210" s="2" t="inlineStr"/>
      <c r="U210" s="2" t="inlineStr"/>
      <c r="V210" s="2" t="inlineStr">
        <is>
          <t>待核实</t>
        </is>
      </c>
      <c r="W210" s="2" t="inlineStr">
        <is>
          <t>待核实</t>
        </is>
      </c>
      <c r="X210" s="2" t="inlineStr">
        <is>
          <t>否</t>
        </is>
      </c>
      <c r="Y210" s="2" t="inlineStr"/>
      <c r="Z210" s="2" t="inlineStr">
        <is>
          <t>https://api.crossref.org/works/10.1007/s11356-014-3705-y</t>
        </is>
      </c>
      <c r="AA210" s="2" t="inlineStr">
        <is>
          <t>2024指标年JCR分区未核实；空白不能当非Q1。需要2025发布版/2024指标年的JCR全部学科导出。</t>
        </is>
      </c>
      <c r="AB210" s="2" t="inlineStr"/>
      <c r="AC210" s="2" t="inlineStr"/>
      <c r="AD210" s="2" t="inlineStr"/>
    </row>
    <row r="211" ht="48" customHeight="1">
      <c r="A211" s="3" t="inlineStr">
        <is>
          <t>R01924</t>
        </is>
      </c>
      <c r="B211" s="3" t="inlineStr">
        <is>
          <t>Influence of Different Fermentation on Activity of Heavy Metals in Pig Manure</t>
        </is>
      </c>
      <c r="C211" s="3" t="inlineStr">
        <is>
          <t>2015</t>
        </is>
      </c>
      <c r="D211" s="3" t="inlineStr">
        <is>
          <t>2015</t>
        </is>
      </c>
      <c r="E211" s="3" t="inlineStr"/>
      <c r="F211" s="3" t="inlineStr">
        <is>
          <t>期刊文章</t>
        </is>
      </c>
      <c r="G211" s="3" t="inlineStr">
        <is>
          <t>5 排除</t>
        </is>
      </c>
      <c r="H211" s="3" t="inlineStr">
        <is>
          <t>否</t>
        </is>
      </c>
      <c r="I211" s="3" t="inlineStr">
        <is>
          <t>研究类</t>
        </is>
      </c>
      <c r="J211" s="3" t="inlineStr">
        <is>
          <t>否</t>
        </is>
      </c>
      <c r="K211" s="3" t="inlineStr">
        <is>
          <t>Northern Horticulture</t>
        </is>
      </c>
      <c r="L211" s="3" t="inlineStr">
        <is>
          <t>Northern Horticulture</t>
        </is>
      </c>
      <c r="M211" s="3" t="inlineStr"/>
      <c r="N211" s="3" t="inlineStr"/>
      <c r="O211" s="3" t="inlineStr">
        <is>
          <t>未取得全文</t>
        </is>
      </c>
      <c r="P211" s="3" t="inlineStr">
        <is>
          <t>否</t>
        </is>
      </c>
      <c r="Q211" s="3" t="inlineStr">
        <is>
          <t>当前无补充材料原件；沿用既有缺失/无附件证据，不据此认定无附件</t>
        </is>
      </c>
      <c r="R211" s="3" t="n">
        <v>2024</v>
      </c>
      <c r="S211" s="3" t="inlineStr">
        <is>
          <t>2025发布版（2024指标年）</t>
        </is>
      </c>
      <c r="T211" s="3" t="inlineStr"/>
      <c r="U211" s="3" t="inlineStr"/>
      <c r="V211" s="3" t="inlineStr">
        <is>
          <t>待核实</t>
        </is>
      </c>
      <c r="W211" s="3" t="inlineStr">
        <is>
          <t>待核实</t>
        </is>
      </c>
      <c r="X211" s="3" t="inlineStr">
        <is>
          <t>否</t>
        </is>
      </c>
      <c r="Y211" s="3" t="inlineStr"/>
      <c r="Z211" s="3" t="inlineStr"/>
      <c r="AA211" s="3" t="inlineStr">
        <is>
          <t>2024指标年JCR分区未核实；空白不能当非Q1。需要2025发布版/2024指标年的JCR全部学科导出。</t>
        </is>
      </c>
      <c r="AB211" s="3" t="inlineStr"/>
      <c r="AC211" s="3" t="inlineStr"/>
      <c r="AD211" s="3" t="inlineStr"/>
    </row>
    <row r="212" ht="48" customHeight="1">
      <c r="A212" s="2" t="inlineStr">
        <is>
          <t>R02094</t>
        </is>
      </c>
      <c r="B212" s="2" t="inlineStr">
        <is>
          <t>Quick-start of full-scale anaerobic digestion (AD) using aeration</t>
        </is>
      </c>
      <c r="C212" s="2" t="inlineStr">
        <is>
          <t>2015</t>
        </is>
      </c>
      <c r="D212" s="2" t="inlineStr">
        <is>
          <t>2015</t>
        </is>
      </c>
      <c r="E212" s="2" t="inlineStr">
        <is>
          <t>10.1016/j.wasman.2014.12.016</t>
        </is>
      </c>
      <c r="F212" s="2" t="inlineStr">
        <is>
          <t>期刊文章</t>
        </is>
      </c>
      <c r="G212" s="2" t="inlineStr">
        <is>
          <t>1 直接向 AD 反应器或内部循环系统供氧</t>
        </is>
      </c>
      <c r="H212" s="2" t="inlineStr">
        <is>
          <t>是</t>
        </is>
      </c>
      <c r="I212" s="2" t="inlineStr">
        <is>
          <t>研究类</t>
        </is>
      </c>
      <c r="J212" s="2" t="inlineStr">
        <is>
          <t>是</t>
        </is>
      </c>
      <c r="K212" s="2" t="inlineStr">
        <is>
          <t>Waste Management</t>
        </is>
      </c>
      <c r="L212" s="2" t="inlineStr">
        <is>
          <t>Waste Management</t>
        </is>
      </c>
      <c r="M212" s="2" t="inlineStr">
        <is>
          <t>0956-053X</t>
        </is>
      </c>
      <c r="N212" s="2" t="inlineStr"/>
      <c r="O212" s="2" t="inlineStr">
        <is>
          <t>已取得核验全文</t>
        </is>
      </c>
      <c r="P212" s="2" t="inlineStr">
        <is>
          <t>是</t>
        </is>
      </c>
      <c r="Q212" s="2" t="inlineStr">
        <is>
          <t>当前无补充材料原件；沿用既有缺失/无附件证据，不据此认定无附件</t>
        </is>
      </c>
      <c r="R212" s="2" t="n">
        <v>2024</v>
      </c>
      <c r="S212" s="2" t="inlineStr">
        <is>
          <t>2025发布版（2024指标年）</t>
        </is>
      </c>
      <c r="T212" s="2" t="inlineStr">
        <is>
          <t>ENGINEERING, ENVIRONMENTAL; ENVIRONMENTAL SCIENCES</t>
        </is>
      </c>
      <c r="U212" s="2" t="inlineStr">
        <is>
          <t>ENGINEERING, ENVIRONMENTAL: Q1; ENVIRONMENTAL SCIENCES: Q1</t>
        </is>
      </c>
      <c r="V212" s="4" t="inlineStr">
        <is>
          <t>是</t>
        </is>
      </c>
      <c r="W212" s="4" t="inlineStr">
        <is>
          <t>是</t>
        </is>
      </c>
      <c r="X212" s="2" t="inlineStr">
        <is>
          <t>是</t>
        </is>
      </c>
      <c r="Y212" s="2" t="inlineStr">
        <is>
          <t>https://topj.lib.whu.edu.cn/show.asp?cat=zk&amp;id=4000</t>
        </is>
      </c>
      <c r="Z212" s="2" t="inlineStr">
        <is>
          <t>https://api.crossref.org/works/10.1016/j.wasman.2014.12.016</t>
        </is>
      </c>
      <c r="AA21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12" s="2" t="inlineStr">
        <is>
          <t>original_files/R02094/fulltext/fulltext__published__b306bbf706889c58.pdf</t>
        </is>
      </c>
      <c r="AC212" s="2" t="inlineStr"/>
      <c r="AD212" s="2" t="inlineStr">
        <is>
          <t>https://github.com/Colliam-Vermilion/FirstCodex/blob/results/ad-oxygen-literature-20261006/results/ad-oxygen-literature-20261006/original_files/R02094/fulltext/fulltext__published__b306bbf706889c58.pdf</t>
        </is>
      </c>
    </row>
    <row r="213" ht="48" customHeight="1">
      <c r="A213" s="3" t="inlineStr">
        <is>
          <t>R02172</t>
        </is>
      </c>
      <c r="B213" s="3" t="inlineStr">
        <is>
          <t>The Road to Energy Autarky in Municipal Water Resource Recovery Facilities</t>
        </is>
      </c>
      <c r="C213" s="3" t="inlineStr">
        <is>
          <t>2015</t>
        </is>
      </c>
      <c r="D213" s="3" t="inlineStr">
        <is>
          <t>2015</t>
        </is>
      </c>
      <c r="E213" s="3" t="inlineStr">
        <is>
          <t>10.7122/439585-ms</t>
        </is>
      </c>
      <c r="F213" s="3" t="inlineStr">
        <is>
          <t>会议研究论文（非期刊文章）</t>
        </is>
      </c>
      <c r="G213" s="3" t="inlineStr">
        <is>
          <t>5 排除</t>
        </is>
      </c>
      <c r="H213" s="3" t="inlineStr">
        <is>
          <t>否</t>
        </is>
      </c>
      <c r="I213" s="3" t="inlineStr">
        <is>
          <t>会议/非期刊</t>
        </is>
      </c>
      <c r="J213" s="3" t="inlineStr">
        <is>
          <t>否</t>
        </is>
      </c>
      <c r="K213" s="3" t="inlineStr">
        <is>
          <t>Carbon Management Technology Conference</t>
        </is>
      </c>
      <c r="L213" s="3" t="inlineStr">
        <is>
          <t>Carbon Management Technology Conference</t>
        </is>
      </c>
      <c r="M213" s="3" t="inlineStr"/>
      <c r="N213" s="3" t="inlineStr"/>
      <c r="O213" s="3" t="inlineStr">
        <is>
          <t>未取得全文</t>
        </is>
      </c>
      <c r="P213" s="3" t="inlineStr">
        <is>
          <t>否</t>
        </is>
      </c>
      <c r="Q213" s="3" t="inlineStr">
        <is>
          <t>当前无补充材料原件；沿用既有缺失/无附件证据，不据此认定无附件</t>
        </is>
      </c>
      <c r="R213" s="3" t="inlineStr"/>
      <c r="S213" s="3" t="inlineStr"/>
      <c r="T213" s="3" t="inlineStr"/>
      <c r="U213" s="3" t="inlineStr"/>
      <c r="V213" s="3" t="inlineStr">
        <is>
          <t>不适用</t>
        </is>
      </c>
      <c r="W213" s="3" t="inlineStr">
        <is>
          <t>不适用</t>
        </is>
      </c>
      <c r="X213" s="3" t="inlineStr">
        <is>
          <t>不适用</t>
        </is>
      </c>
      <c r="Y213" s="3" t="inlineStr"/>
      <c r="Z213" s="3" t="inlineStr">
        <is>
          <t>https://api.crossref.org/works/10.7122/439585-ms</t>
        </is>
      </c>
      <c r="AA213" s="3" t="inlineStr">
        <is>
          <t>非目标期刊论文或类型待核实，不进入JCR分母</t>
        </is>
      </c>
      <c r="AB213" s="3" t="inlineStr"/>
      <c r="AC213" s="3" t="inlineStr"/>
      <c r="AD213" s="3" t="inlineStr"/>
    </row>
    <row r="214" ht="48" customHeight="1">
      <c r="A214" s="2" t="inlineStr">
        <is>
          <t>R02370</t>
        </is>
      </c>
      <c r="B214" s="2" t="inlineStr">
        <is>
          <t>Change of the Digested Sludge Quality at Microaerobic Digestion</t>
        </is>
      </c>
      <c r="C214" s="2" t="n">
        <v>2011</v>
      </c>
      <c r="D214" s="2" t="inlineStr">
        <is>
          <t>2016</t>
        </is>
      </c>
      <c r="E214" s="2" t="inlineStr"/>
      <c r="F214" s="2" t="inlineStr">
        <is>
          <t>期刊文章</t>
        </is>
      </c>
      <c r="G214" s="2" t="inlineStr">
        <is>
          <t>1 直接向 AD 反应器或内部循环系统供氧</t>
        </is>
      </c>
      <c r="H214" s="2" t="inlineStr">
        <is>
          <t>是</t>
        </is>
      </c>
      <c r="I214" s="2" t="inlineStr">
        <is>
          <t>研究类</t>
        </is>
      </c>
      <c r="J214" s="2" t="inlineStr">
        <is>
          <t>是</t>
        </is>
      </c>
      <c r="K214" s="2" t="inlineStr">
        <is>
          <t>Journal of Residuals Science &amp; Technology</t>
        </is>
      </c>
      <c r="L214" s="2" t="inlineStr"/>
      <c r="M214" s="2" t="inlineStr">
        <is>
          <t>1544-8053</t>
        </is>
      </c>
      <c r="N214" s="2" t="inlineStr"/>
      <c r="O214" s="2" t="inlineStr">
        <is>
          <t>已取得核验全文</t>
        </is>
      </c>
      <c r="P214" s="2" t="inlineStr">
        <is>
          <t>是</t>
        </is>
      </c>
      <c r="Q214" s="2" t="inlineStr">
        <is>
          <t>当前无补充材料原件；沿用既有缺失/无附件证据，不据此认定无附件</t>
        </is>
      </c>
      <c r="R214" s="2" t="n">
        <v>2024</v>
      </c>
      <c r="S214" s="2" t="inlineStr">
        <is>
          <t>2025发布版（2024指标年）</t>
        </is>
      </c>
      <c r="T214" s="2" t="inlineStr"/>
      <c r="U214" s="2" t="inlineStr"/>
      <c r="V214" s="2" t="inlineStr">
        <is>
          <t>待核实</t>
        </is>
      </c>
      <c r="W214" s="2" t="inlineStr">
        <is>
          <t>待核实</t>
        </is>
      </c>
      <c r="X214" s="2" t="inlineStr">
        <is>
          <t>否</t>
        </is>
      </c>
      <c r="Y214" s="2" t="inlineStr"/>
      <c r="Z214" s="2" t="inlineStr">
        <is>
          <t>原件内容核验：original_files/R02370/fulltext/fulltext__published__534deaaf21ea8112.pdf</t>
        </is>
      </c>
      <c r="AA214" s="2" t="inlineStr">
        <is>
          <t>PDF p.1期刊页脚显示Vol.8, No.2 April 2011，与原年份存在差异，范围分类不因年份核验自动改变 | 2024指标年JCR分区未核实；空白不能当非Q1。需要2025发布版/2024指标年的JCR全部学科导出。</t>
        </is>
      </c>
      <c r="AB214" s="2" t="inlineStr">
        <is>
          <t>original_files/R02370/fulltext/fulltext__published__534deaaf21ea8112.pdf</t>
        </is>
      </c>
      <c r="AC214" s="2" t="inlineStr"/>
      <c r="AD214" s="2" t="inlineStr">
        <is>
          <t>https://github.com/Colliam-Vermilion/FirstCodex/blob/results/ad-oxygen-literature-20261006/results/ad-oxygen-literature-20261006/original_files/R02370/fulltext/fulltext__published__534deaaf21ea8112.pdf</t>
        </is>
      </c>
    </row>
    <row r="215" ht="48" customHeight="1">
      <c r="A215" s="3" t="inlineStr">
        <is>
          <t>R02386</t>
        </is>
      </c>
      <c r="B215" s="3" t="inlineStr">
        <is>
          <t>Comparison of micro-aerobic and anaerobic fermentative hydrogen production from corn straw</t>
        </is>
      </c>
      <c r="C215" s="3" t="inlineStr">
        <is>
          <t>2016</t>
        </is>
      </c>
      <c r="D215" s="3" t="inlineStr">
        <is>
          <t>2016</t>
        </is>
      </c>
      <c r="E215" s="3" t="inlineStr">
        <is>
          <t>10.1016/j.ijhydene.2016.01.141</t>
        </is>
      </c>
      <c r="F215" s="3" t="inlineStr">
        <is>
          <t>期刊文章</t>
        </is>
      </c>
      <c r="G215" s="3" t="inlineStr">
        <is>
          <t>2 向厌氧水解或产酸阶段供氧</t>
        </is>
      </c>
      <c r="H215" s="3" t="inlineStr">
        <is>
          <t>是</t>
        </is>
      </c>
      <c r="I215" s="3" t="inlineStr">
        <is>
          <t>研究类</t>
        </is>
      </c>
      <c r="J215" s="3" t="inlineStr">
        <is>
          <t>是</t>
        </is>
      </c>
      <c r="K215" s="3" t="inlineStr">
        <is>
          <t>INTERNATIONAL JOURNAL OF HYDROGEN ENERGY</t>
        </is>
      </c>
      <c r="L215" s="3" t="inlineStr">
        <is>
          <t>International Journal of Hydrogen Energy</t>
        </is>
      </c>
      <c r="M215" s="3" t="inlineStr">
        <is>
          <t>0360-3199</t>
        </is>
      </c>
      <c r="N215" s="3" t="inlineStr"/>
      <c r="O215" s="3" t="inlineStr">
        <is>
          <t>已取得核验全文</t>
        </is>
      </c>
      <c r="P215" s="3" t="inlineStr">
        <is>
          <t>是</t>
        </is>
      </c>
      <c r="Q215" s="3" t="inlineStr">
        <is>
          <t>已取得5件原格式补充材料；其中5件唯一关联待核实；完整性未确认</t>
        </is>
      </c>
      <c r="R215" s="3" t="n">
        <v>2024</v>
      </c>
      <c r="S215" s="3" t="inlineStr">
        <is>
          <t>2025发布版（2024指标年）</t>
        </is>
      </c>
      <c r="T215" s="3" t="inlineStr">
        <is>
          <t>CHEMISTRY, PHYSICAL; ELECTROCHEMISTRY; ENERGY &amp; FUELS</t>
        </is>
      </c>
      <c r="U215" s="3" t="inlineStr">
        <is>
          <t>CHEMISTRY, PHYSICAL: Q1; ELECTROCHEMISTRY: Q1; ENERGY &amp; FUELS: Q1</t>
        </is>
      </c>
      <c r="V215" s="4" t="inlineStr">
        <is>
          <t>是</t>
        </is>
      </c>
      <c r="W215" s="4" t="inlineStr">
        <is>
          <t>是</t>
        </is>
      </c>
      <c r="X215" s="3" t="inlineStr">
        <is>
          <t>是</t>
        </is>
      </c>
      <c r="Y215" s="3" t="inlineStr">
        <is>
          <t>https://topj.lib.whu.edu.cn/show.asp?cat=zk&amp;id=2795</t>
        </is>
      </c>
      <c r="Z215" s="3" t="inlineStr">
        <is>
          <t>https://api.crossref.org/works/10.1016/j.ijhydene.2016.01.141</t>
        </is>
      </c>
      <c r="AA21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15" s="3" t="inlineStr">
        <is>
          <t>original_files/R02386/fulltext/fulltext__published__1c804bc9cfc3b614.pdf</t>
        </is>
      </c>
      <c r="AC215" s="3" t="inlineStr">
        <is>
          <t>original_files/R02386/supplementary/supplementary__096f0ab6b5dd328b.txt; original_files/R02386/supplementary/supplementary__45b710c2659733b1.txt; original_files/R02386/supplementary/supplementary__6feec398919e2f0e.docx; original_files/R02386/supplementary/supplementary__e0166aff04eddaa4.txt; original_files/R02386/supplementary/supplementary__f7ab43f63a19c611.txt</t>
        </is>
      </c>
      <c r="AD215" s="3" t="inlineStr">
        <is>
          <t>https://github.com/Colliam-Vermilion/FirstCodex/blob/results/ad-oxygen-literature-20261006/results/ad-oxygen-literature-20261006/original_files/R02386/fulltext/fulltext__published__1c804bc9cfc3b614.pdf</t>
        </is>
      </c>
    </row>
    <row r="216" ht="48" customHeight="1">
      <c r="A216" s="2" t="inlineStr">
        <is>
          <t>R02498</t>
        </is>
      </c>
      <c r="B216" s="2" t="inlineStr">
        <is>
          <t>Enhancement of ultrasonic disintegration of sewage sludge by aeration</t>
        </is>
      </c>
      <c r="C216" s="2" t="inlineStr">
        <is>
          <t>2016</t>
        </is>
      </c>
      <c r="D216" s="2" t="inlineStr">
        <is>
          <t>2016</t>
        </is>
      </c>
      <c r="E216" s="2" t="inlineStr">
        <is>
          <t>10.1016/j.jes.2015.08.009</t>
        </is>
      </c>
      <c r="F216" s="2" t="inlineStr">
        <is>
          <t>期刊文章</t>
        </is>
      </c>
      <c r="G216" s="2" t="inlineStr">
        <is>
          <t>5 排除</t>
        </is>
      </c>
      <c r="H216" s="2" t="inlineStr">
        <is>
          <t>否</t>
        </is>
      </c>
      <c r="I216" s="2" t="inlineStr">
        <is>
          <t>研究类</t>
        </is>
      </c>
      <c r="J216" s="2" t="inlineStr">
        <is>
          <t>否</t>
        </is>
      </c>
      <c r="K216" s="2" t="inlineStr">
        <is>
          <t>Journal of Environmental Sciences</t>
        </is>
      </c>
      <c r="L216" s="2" t="inlineStr">
        <is>
          <t>Journal of Environmental Sciences</t>
        </is>
      </c>
      <c r="M216" s="2" t="inlineStr">
        <is>
          <t>1001-0742</t>
        </is>
      </c>
      <c r="N216" s="2" t="inlineStr"/>
      <c r="O216" s="2" t="inlineStr">
        <is>
          <t>未取得全文</t>
        </is>
      </c>
      <c r="P216" s="2" t="inlineStr">
        <is>
          <t>否</t>
        </is>
      </c>
      <c r="Q216" s="2" t="inlineStr">
        <is>
          <t>当前无补充材料原件；沿用既有缺失/无附件证据，不据此认定无附件</t>
        </is>
      </c>
      <c r="R216" s="2" t="n">
        <v>2024</v>
      </c>
      <c r="S216" s="2" t="inlineStr">
        <is>
          <t>2025发布版（2024指标年）</t>
        </is>
      </c>
      <c r="T216" s="2" t="inlineStr"/>
      <c r="U216" s="2" t="inlineStr"/>
      <c r="V216" s="2" t="inlineStr">
        <is>
          <t>待核实</t>
        </is>
      </c>
      <c r="W216" s="2" t="inlineStr">
        <is>
          <t>待核实</t>
        </is>
      </c>
      <c r="X216" s="2" t="inlineStr">
        <is>
          <t>否</t>
        </is>
      </c>
      <c r="Y216" s="2" t="inlineStr"/>
      <c r="Z216" s="2" t="inlineStr">
        <is>
          <t>https://api.crossref.org/works/10.1016/j.jes.2015.08.009</t>
        </is>
      </c>
      <c r="AA216" s="2" t="inlineStr">
        <is>
          <t>2024指标年JCR分区未核实；空白不能当非Q1。需要2025发布版/2024指标年的JCR全部学科导出。</t>
        </is>
      </c>
      <c r="AB216" s="2" t="inlineStr"/>
      <c r="AC216" s="2" t="inlineStr"/>
      <c r="AD216" s="2" t="inlineStr"/>
    </row>
    <row r="217" ht="48" customHeight="1">
      <c r="A217" s="3" t="inlineStr">
        <is>
          <t>R02578</t>
        </is>
      </c>
      <c r="B217" s="3" t="inlineStr">
        <is>
          <t>Impacts of microaeration on the anaerobic digestion of corn straw and the microbial community structure</t>
        </is>
      </c>
      <c r="C217" s="3" t="inlineStr">
        <is>
          <t>2016</t>
        </is>
      </c>
      <c r="D217" s="3" t="inlineStr">
        <is>
          <t>2016</t>
        </is>
      </c>
      <c r="E217" s="3" t="inlineStr">
        <is>
          <t>10.1016/j.cej.2015.11.070</t>
        </is>
      </c>
      <c r="F217" s="3" t="inlineStr">
        <is>
          <t>期刊文章</t>
        </is>
      </c>
      <c r="G217" s="3" t="inlineStr">
        <is>
          <t>1 直接向 AD 反应器或内部循环系统供氧</t>
        </is>
      </c>
      <c r="H217" s="3" t="inlineStr">
        <is>
          <t>是</t>
        </is>
      </c>
      <c r="I217" s="3" t="inlineStr">
        <is>
          <t>研究类</t>
        </is>
      </c>
      <c r="J217" s="3" t="inlineStr">
        <is>
          <t>是</t>
        </is>
      </c>
      <c r="K217" s="3" t="inlineStr">
        <is>
          <t>Chemical Engineering Journal</t>
        </is>
      </c>
      <c r="L217" s="3" t="inlineStr">
        <is>
          <t>Chemical Engineering Journal</t>
        </is>
      </c>
      <c r="M217" s="3" t="inlineStr">
        <is>
          <t>1385-8947</t>
        </is>
      </c>
      <c r="N217" s="3" t="inlineStr"/>
      <c r="O217" s="3" t="inlineStr">
        <is>
          <t>已取得核验全文</t>
        </is>
      </c>
      <c r="P217" s="3" t="inlineStr">
        <is>
          <t>是</t>
        </is>
      </c>
      <c r="Q217" s="3" t="inlineStr">
        <is>
          <t>当前无补充材料原件；沿用既有缺失/无附件证据，不据此认定无附件</t>
        </is>
      </c>
      <c r="R217" s="3" t="n">
        <v>2024</v>
      </c>
      <c r="S217" s="3" t="inlineStr">
        <is>
          <t>2025发布版（2024指标年）</t>
        </is>
      </c>
      <c r="T217" s="3" t="inlineStr">
        <is>
          <t>ENGINEERING, CHEMICAL; ENGINEERING, ENVIRONMENTAL</t>
        </is>
      </c>
      <c r="U217" s="3" t="inlineStr">
        <is>
          <t>ENGINEERING, CHEMICAL: Q1; ENGINEERING, ENVIRONMENTAL: Q1</t>
        </is>
      </c>
      <c r="V217" s="4" t="inlineStr">
        <is>
          <t>是</t>
        </is>
      </c>
      <c r="W217" s="4" t="inlineStr">
        <is>
          <t>是</t>
        </is>
      </c>
      <c r="X217" s="3" t="inlineStr">
        <is>
          <t>是</t>
        </is>
      </c>
      <c r="Y217" s="3" t="inlineStr">
        <is>
          <t>https://topj.lib.whu.edu.cn/show.asp?cat=zk&amp;id=2740</t>
        </is>
      </c>
      <c r="Z217" s="3" t="inlineStr">
        <is>
          <t>https://api.crossref.org/works/10.1016/j.cej.2015.11.070</t>
        </is>
      </c>
      <c r="AA21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17" s="3" t="inlineStr">
        <is>
          <t>original_files/R02578/fulltext/fulltext__published__6966d35ad0d267fc.pdf</t>
        </is>
      </c>
      <c r="AC217" s="3" t="inlineStr"/>
      <c r="AD217" s="3" t="inlineStr">
        <is>
          <t>https://github.com/Colliam-Vermilion/FirstCodex/blob/results/ad-oxygen-literature-20261006/results/ad-oxygen-literature-20261006/original_files/R02578/fulltext/fulltext__published__6966d35ad0d267fc.pdf</t>
        </is>
      </c>
    </row>
    <row r="218" ht="48" customHeight="1">
      <c r="A218" s="2" t="inlineStr">
        <is>
          <t>R02649</t>
        </is>
      </c>
      <c r="B218" s="2" t="inlineStr">
        <is>
          <t>Microbial community dynamics linked to enhanced substrate availability and biogas production of electrokinetically pre-treated waste activated sludge</t>
        </is>
      </c>
      <c r="C218" s="2" t="inlineStr">
        <is>
          <t>2016</t>
        </is>
      </c>
      <c r="D218" s="2" t="inlineStr">
        <is>
          <t>2016</t>
        </is>
      </c>
      <c r="E218" s="2" t="inlineStr">
        <is>
          <t>10.1016/j.biortech.2016.07.029</t>
        </is>
      </c>
      <c r="F218" s="2" t="inlineStr">
        <is>
          <t>期刊文章</t>
        </is>
      </c>
      <c r="G218" s="2" t="inlineStr">
        <is>
          <t>5 排除</t>
        </is>
      </c>
      <c r="H218" s="2" t="inlineStr">
        <is>
          <t>否</t>
        </is>
      </c>
      <c r="I218" s="2" t="inlineStr">
        <is>
          <t>研究类</t>
        </is>
      </c>
      <c r="J218" s="2" t="inlineStr">
        <is>
          <t>否</t>
        </is>
      </c>
      <c r="K218" s="2" t="inlineStr">
        <is>
          <t>BIORESOURCE TECHNOLOGY</t>
        </is>
      </c>
      <c r="L218" s="2" t="inlineStr">
        <is>
          <t>Bioresource Technology</t>
        </is>
      </c>
      <c r="M218" s="2" t="inlineStr">
        <is>
          <t>0960-8524</t>
        </is>
      </c>
      <c r="N218" s="2" t="inlineStr"/>
      <c r="O218" s="2" t="inlineStr">
        <is>
          <t>未取得全文</t>
        </is>
      </c>
      <c r="P218" s="2" t="inlineStr">
        <is>
          <t>否</t>
        </is>
      </c>
      <c r="Q218" s="2" t="inlineStr">
        <is>
          <t>当前无补充材料原件；沿用既有缺失/无附件证据，不据此认定无附件</t>
        </is>
      </c>
      <c r="R218" s="2" t="n">
        <v>2024</v>
      </c>
      <c r="S218" s="2" t="inlineStr">
        <is>
          <t>2025发布版（2024指标年）</t>
        </is>
      </c>
      <c r="T218" s="2" t="inlineStr">
        <is>
          <t>AGRICULTURAL ENGINEERING; BIOTECHNOLOGY &amp; APPLIED MICROBIOLOGY; ENERGY &amp; FUELS</t>
        </is>
      </c>
      <c r="U218" s="2" t="inlineStr">
        <is>
          <t>AGRICULTURAL ENGINEERING: Q1; BIOTECHNOLOGY &amp; APPLIED MICROBIOLOGY: Q1; ENERGY &amp; FUELS: Q1</t>
        </is>
      </c>
      <c r="V218" s="4" t="inlineStr">
        <is>
          <t>是</t>
        </is>
      </c>
      <c r="W218" s="4" t="inlineStr">
        <is>
          <t>是</t>
        </is>
      </c>
      <c r="X218" s="2" t="inlineStr">
        <is>
          <t>是</t>
        </is>
      </c>
      <c r="Y218" s="2" t="inlineStr">
        <is>
          <t>https://topj.lib.whu.edu.cn/show.asp?cat=zk&amp;id=3976</t>
        </is>
      </c>
      <c r="Z218" s="2" t="inlineStr">
        <is>
          <t>https://api.crossref.org/works/10.1016/j.biortech.2016.07.029</t>
        </is>
      </c>
      <c r="AA21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18" s="2" t="inlineStr"/>
      <c r="AC218" s="2" t="inlineStr"/>
      <c r="AD218" s="2" t="inlineStr"/>
    </row>
    <row r="219" ht="48" customHeight="1">
      <c r="A219" s="3" t="inlineStr">
        <is>
          <t>R02866</t>
        </is>
      </c>
      <c r="B219" s="3" t="inlineStr">
        <is>
          <t>Treatment of Wastewater in H-type Mfc with Protonic Exchange Membrane: Experimental Study of Organic Carbon and Ammonium Reduction with Electrochemical Characterization.</t>
        </is>
      </c>
      <c r="C219" s="3" t="inlineStr">
        <is>
          <t>2016</t>
        </is>
      </c>
      <c r="D219" s="3" t="inlineStr">
        <is>
          <t>2016</t>
        </is>
      </c>
      <c r="E219" s="3" t="inlineStr">
        <is>
          <t>10.3303/cet1647038</t>
        </is>
      </c>
      <c r="F219" s="3" t="inlineStr">
        <is>
          <t>期刊文章</t>
        </is>
      </c>
      <c r="G219" s="3" t="inlineStr">
        <is>
          <t>5 排除</t>
        </is>
      </c>
      <c r="H219" s="3" t="inlineStr">
        <is>
          <t>否</t>
        </is>
      </c>
      <c r="I219" s="3" t="inlineStr">
        <is>
          <t>研究类</t>
        </is>
      </c>
      <c r="J219" s="3" t="inlineStr">
        <is>
          <t>否</t>
        </is>
      </c>
      <c r="K219" s="3" t="inlineStr">
        <is>
          <t>Chemical engineering transactions</t>
        </is>
      </c>
      <c r="L219" s="3" t="inlineStr">
        <is>
          <t>Chemical engineering transactions</t>
        </is>
      </c>
      <c r="M219" s="3" t="inlineStr"/>
      <c r="N219" s="3" t="inlineStr"/>
      <c r="O219" s="3" t="inlineStr">
        <is>
          <t>未取得全文</t>
        </is>
      </c>
      <c r="P219" s="3" t="inlineStr">
        <is>
          <t>否</t>
        </is>
      </c>
      <c r="Q219" s="3" t="inlineStr">
        <is>
          <t>当前无补充材料原件；沿用既有缺失/无附件证据，不据此认定无附件</t>
        </is>
      </c>
      <c r="R219" s="3" t="n">
        <v>2024</v>
      </c>
      <c r="S219" s="3" t="inlineStr">
        <is>
          <t>2025发布版（2024指标年）</t>
        </is>
      </c>
      <c r="T219" s="3" t="inlineStr"/>
      <c r="U219" s="3" t="inlineStr"/>
      <c r="V219" s="3" t="inlineStr">
        <is>
          <t>待核实</t>
        </is>
      </c>
      <c r="W219" s="3" t="inlineStr">
        <is>
          <t>待核实</t>
        </is>
      </c>
      <c r="X219" s="3" t="inlineStr">
        <is>
          <t>否</t>
        </is>
      </c>
      <c r="Y219" s="3" t="inlineStr"/>
      <c r="Z219" s="3" t="inlineStr"/>
      <c r="AA219" s="3" t="inlineStr">
        <is>
          <t>既有DOI未由Crossref返回可用元数据（可能为DataCite/JaLC等）；不据此否认记录身份 | 2024指标年JCR分区未核实；空白不能当非Q1。需要2025发布版/2024指标年的JCR全部学科导出。</t>
        </is>
      </c>
      <c r="AB219" s="3" t="inlineStr"/>
      <c r="AC219" s="3" t="inlineStr"/>
      <c r="AD219" s="3" t="inlineStr"/>
    </row>
    <row r="220" ht="48" customHeight="1">
      <c r="A220" s="2" t="inlineStr">
        <is>
          <t>R02933</t>
        </is>
      </c>
      <c r="B220" s="2" t="inlineStr">
        <is>
          <t>A novel free ammonia based pretreatment technology to enhance anaerobic methane production from primary sludge</t>
        </is>
      </c>
      <c r="C220" s="2" t="inlineStr">
        <is>
          <t>2017</t>
        </is>
      </c>
      <c r="D220" s="2" t="inlineStr">
        <is>
          <t>2017</t>
        </is>
      </c>
      <c r="E220" s="2" t="inlineStr">
        <is>
          <t>10.1002/bit.26348</t>
        </is>
      </c>
      <c r="F220" s="2" t="inlineStr">
        <is>
          <t>期刊文章</t>
        </is>
      </c>
      <c r="G220" s="2" t="inlineStr">
        <is>
          <t>5 排除</t>
        </is>
      </c>
      <c r="H220" s="2" t="inlineStr">
        <is>
          <t>否</t>
        </is>
      </c>
      <c r="I220" s="2" t="inlineStr">
        <is>
          <t>研究类</t>
        </is>
      </c>
      <c r="J220" s="2" t="inlineStr">
        <is>
          <t>否</t>
        </is>
      </c>
      <c r="K220" s="2" t="inlineStr">
        <is>
          <t>Biotechnology and Bioengineering</t>
        </is>
      </c>
      <c r="L220" s="2" t="inlineStr">
        <is>
          <t>Biotechnology and Bioengineering</t>
        </is>
      </c>
      <c r="M220" s="2" t="inlineStr">
        <is>
          <t>0006-3592</t>
        </is>
      </c>
      <c r="N220" s="2" t="inlineStr">
        <is>
          <t>1097-0290</t>
        </is>
      </c>
      <c r="O220" s="2" t="inlineStr">
        <is>
          <t>未取得全文</t>
        </is>
      </c>
      <c r="P220" s="2" t="inlineStr">
        <is>
          <t>否</t>
        </is>
      </c>
      <c r="Q220" s="2" t="inlineStr">
        <is>
          <t>当前无补充材料原件；沿用既有缺失/无附件证据，不据此认定无附件</t>
        </is>
      </c>
      <c r="R220" s="2" t="n">
        <v>2024</v>
      </c>
      <c r="S220" s="2" t="inlineStr">
        <is>
          <t>2025发布版（2024指标年）</t>
        </is>
      </c>
      <c r="T220" s="2" t="inlineStr"/>
      <c r="U220" s="2" t="inlineStr"/>
      <c r="V220" s="2" t="inlineStr">
        <is>
          <t>待核实</t>
        </is>
      </c>
      <c r="W220" s="2" t="inlineStr">
        <is>
          <t>待核实</t>
        </is>
      </c>
      <c r="X220" s="2" t="inlineStr">
        <is>
          <t>否</t>
        </is>
      </c>
      <c r="Y220" s="2" t="inlineStr"/>
      <c r="Z220" s="2" t="inlineStr">
        <is>
          <t>https://api.crossref.org/works/10.1002/bit.26348</t>
        </is>
      </c>
      <c r="AA220" s="2" t="inlineStr">
        <is>
          <t>2024指标年JCR分区未核实；空白不能当非Q1。需要2025发布版/2024指标年的JCR全部学科导出。</t>
        </is>
      </c>
      <c r="AB220" s="2" t="inlineStr"/>
      <c r="AC220" s="2" t="inlineStr"/>
      <c r="AD220" s="2" t="inlineStr"/>
    </row>
    <row r="221" ht="48" customHeight="1">
      <c r="A221" s="3" t="inlineStr">
        <is>
          <t>R03019</t>
        </is>
      </c>
      <c r="B221" s="3" t="inlineStr">
        <is>
          <t>BIOLOGICAL TREATMENT OF TANNERY WASTEWATER PRE-TREATED BY COAGULATION USING Moringua oleifera AS NATURAL COAGULANT</t>
        </is>
      </c>
      <c r="C221" s="3" t="inlineStr">
        <is>
          <t>2017</t>
        </is>
      </c>
      <c r="D221" s="3" t="inlineStr">
        <is>
          <t>2017</t>
        </is>
      </c>
      <c r="E221" s="3" t="inlineStr"/>
      <c r="F221" s="3" t="inlineStr">
        <is>
          <t>期刊文章</t>
        </is>
      </c>
      <c r="G221" s="3" t="inlineStr">
        <is>
          <t>5 排除</t>
        </is>
      </c>
      <c r="H221" s="3" t="inlineStr">
        <is>
          <t>否</t>
        </is>
      </c>
      <c r="I221" s="3" t="inlineStr">
        <is>
          <t>研究类</t>
        </is>
      </c>
      <c r="J221" s="3" t="inlineStr">
        <is>
          <t>否</t>
        </is>
      </c>
      <c r="K221" s="3" t="inlineStr">
        <is>
          <t>Journal of applied chemical science international</t>
        </is>
      </c>
      <c r="L221" s="3" t="inlineStr">
        <is>
          <t>Journal of applied chemical science international</t>
        </is>
      </c>
      <c r="M221" s="3" t="inlineStr"/>
      <c r="N221" s="3" t="inlineStr"/>
      <c r="O221" s="3" t="inlineStr">
        <is>
          <t>未取得全文</t>
        </is>
      </c>
      <c r="P221" s="3" t="inlineStr">
        <is>
          <t>否</t>
        </is>
      </c>
      <c r="Q221" s="3" t="inlineStr">
        <is>
          <t>当前无补充材料原件；沿用既有缺失/无附件证据，不据此认定无附件</t>
        </is>
      </c>
      <c r="R221" s="3" t="n">
        <v>2024</v>
      </c>
      <c r="S221" s="3" t="inlineStr">
        <is>
          <t>2025发布版（2024指标年）</t>
        </is>
      </c>
      <c r="T221" s="3" t="inlineStr"/>
      <c r="U221" s="3" t="inlineStr"/>
      <c r="V221" s="3" t="inlineStr">
        <is>
          <t>待核实</t>
        </is>
      </c>
      <c r="W221" s="3" t="inlineStr">
        <is>
          <t>待核实</t>
        </is>
      </c>
      <c r="X221" s="3" t="inlineStr">
        <is>
          <t>否</t>
        </is>
      </c>
      <c r="Y221" s="3" t="inlineStr"/>
      <c r="Z221" s="3" t="inlineStr"/>
      <c r="AA221" s="3" t="inlineStr">
        <is>
          <t>2024指标年JCR分区未核实；空白不能当非Q1。需要2025发布版/2024指标年的JCR全部学科导出。</t>
        </is>
      </c>
      <c r="AB221" s="3" t="inlineStr"/>
      <c r="AC221" s="3" t="inlineStr"/>
      <c r="AD221" s="3" t="inlineStr"/>
    </row>
    <row r="222" ht="48" customHeight="1">
      <c r="A222" s="2" t="inlineStr">
        <is>
          <t>R03155</t>
        </is>
      </c>
      <c r="B222" s="2" t="inlineStr">
        <is>
          <t>Effect of bioaugmentation with hydrolytic bacteria and micro aeration on wheat straw biodegradability</t>
        </is>
      </c>
      <c r="C222" s="2" t="inlineStr">
        <is>
          <t>2016</t>
        </is>
      </c>
      <c r="D222" s="2" t="inlineStr">
        <is>
          <t>2016</t>
        </is>
      </c>
      <c r="E222" s="2" t="inlineStr"/>
      <c r="F222" s="2" t="inlineStr">
        <is>
          <t>硕士学位论文</t>
        </is>
      </c>
      <c r="G222" s="2" t="inlineStr">
        <is>
          <t>1 直接向 AD 反应器或内部循环系统供氧</t>
        </is>
      </c>
      <c r="H222" s="2" t="inlineStr">
        <is>
          <t>是</t>
        </is>
      </c>
      <c r="I222" s="2" t="inlineStr">
        <is>
          <t>学位/学生报告</t>
        </is>
      </c>
      <c r="J222" s="2" t="inlineStr">
        <is>
          <t>否</t>
        </is>
      </c>
      <c r="K222" s="2" t="inlineStr">
        <is>
          <t>DSpace - NTUA (National Technical University of Athens)</t>
        </is>
      </c>
      <c r="L222" s="2" t="inlineStr">
        <is>
          <t>DSpace - NTUA (National Technical University of Athens)</t>
        </is>
      </c>
      <c r="M222" s="2" t="inlineStr"/>
      <c r="N222" s="2" t="inlineStr"/>
      <c r="O222" s="2" t="inlineStr">
        <is>
          <t>未取得全文</t>
        </is>
      </c>
      <c r="P222" s="2" t="inlineStr">
        <is>
          <t>否</t>
        </is>
      </c>
      <c r="Q222" s="2" t="inlineStr">
        <is>
          <t>当前无补充材料原件；沿用既有缺失/无附件证据，不据此认定无附件</t>
        </is>
      </c>
      <c r="R222" s="2" t="inlineStr"/>
      <c r="S222" s="2" t="inlineStr"/>
      <c r="T222" s="2" t="inlineStr"/>
      <c r="U222" s="2" t="inlineStr"/>
      <c r="V222" s="2" t="inlineStr">
        <is>
          <t>不适用</t>
        </is>
      </c>
      <c r="W222" s="2" t="inlineStr">
        <is>
          <t>不适用</t>
        </is>
      </c>
      <c r="X222" s="2" t="inlineStr">
        <is>
          <t>不适用</t>
        </is>
      </c>
      <c r="Y222" s="2" t="inlineStr"/>
      <c r="Z222" s="2" t="inlineStr"/>
      <c r="AA222" s="2" t="inlineStr">
        <is>
          <t>非目标期刊论文或类型待核实，不进入JCR分母</t>
        </is>
      </c>
      <c r="AB222" s="2" t="inlineStr"/>
      <c r="AC222" s="2" t="inlineStr"/>
      <c r="AD222" s="2" t="inlineStr"/>
    </row>
    <row r="223" ht="48" customHeight="1">
      <c r="A223" s="3" t="inlineStr">
        <is>
          <t>R03367</t>
        </is>
      </c>
      <c r="B223" s="3" t="inlineStr">
        <is>
          <t>Microaeration reduces hydrogen sulfide in biogas</t>
        </is>
      </c>
      <c r="C223" s="3" t="inlineStr">
        <is>
          <t>2017</t>
        </is>
      </c>
      <c r="D223" s="3" t="inlineStr">
        <is>
          <t>2017</t>
        </is>
      </c>
      <c r="E223" s="3" t="inlineStr"/>
      <c r="F223" s="3" t="inlineStr">
        <is>
          <t>期刊文章</t>
        </is>
      </c>
      <c r="G223" s="3" t="inlineStr">
        <is>
          <t>1 直接向 AD 反应器或内部循环系统供氧</t>
        </is>
      </c>
      <c r="H223" s="3" t="inlineStr">
        <is>
          <t>是</t>
        </is>
      </c>
      <c r="I223" s="3" t="inlineStr">
        <is>
          <t>研究类</t>
        </is>
      </c>
      <c r="J223" s="3" t="inlineStr">
        <is>
          <t>是</t>
        </is>
      </c>
      <c r="K223" s="3" t="inlineStr">
        <is>
          <t>Biocycle</t>
        </is>
      </c>
      <c r="L223" s="3" t="inlineStr">
        <is>
          <t>Biocycle</t>
        </is>
      </c>
      <c r="M223" s="3" t="inlineStr"/>
      <c r="N223" s="3" t="inlineStr"/>
      <c r="O223" s="3" t="inlineStr">
        <is>
          <t>未取得全文</t>
        </is>
      </c>
      <c r="P223" s="3" t="inlineStr">
        <is>
          <t>否</t>
        </is>
      </c>
      <c r="Q223" s="3" t="inlineStr">
        <is>
          <t>当前无补充材料原件；沿用既有缺失/无附件证据，不据此认定无附件</t>
        </is>
      </c>
      <c r="R223" s="3" t="n">
        <v>2024</v>
      </c>
      <c r="S223" s="3" t="inlineStr">
        <is>
          <t>2025发布版（2024指标年）</t>
        </is>
      </c>
      <c r="T223" s="3" t="inlineStr"/>
      <c r="U223" s="3" t="inlineStr"/>
      <c r="V223" s="3" t="inlineStr">
        <is>
          <t>待核实</t>
        </is>
      </c>
      <c r="W223" s="3" t="inlineStr">
        <is>
          <t>待核实</t>
        </is>
      </c>
      <c r="X223" s="3" t="inlineStr">
        <is>
          <t>否</t>
        </is>
      </c>
      <c r="Y223" s="3" t="inlineStr"/>
      <c r="Z223" s="3" t="inlineStr"/>
      <c r="AA223" s="3" t="inlineStr">
        <is>
          <t>2024指标年JCR分区未核实；空白不能当非Q1。需要2025发布版/2024指标年的JCR全部学科导出。</t>
        </is>
      </c>
      <c r="AB223" s="3" t="inlineStr"/>
      <c r="AC223" s="3" t="inlineStr"/>
      <c r="AD223" s="3" t="inlineStr"/>
    </row>
    <row r="224" ht="48" customHeight="1">
      <c r="A224" s="2" t="inlineStr">
        <is>
          <t>R03400</t>
        </is>
      </c>
      <c r="B224" s="2" t="inlineStr">
        <is>
          <t>Model-based optimization of microaeration for biogas desulfurization in UASB reactors</t>
        </is>
      </c>
      <c r="C224" s="2" t="inlineStr">
        <is>
          <t>2017</t>
        </is>
      </c>
      <c r="D224" s="2" t="inlineStr">
        <is>
          <t>2017</t>
        </is>
      </c>
      <c r="E224" s="2" t="inlineStr">
        <is>
          <t>10.1016/j.bej.2017.06.009</t>
        </is>
      </c>
      <c r="F224" s="2" t="inlineStr">
        <is>
          <t>期刊文章</t>
        </is>
      </c>
      <c r="G224" s="2" t="inlineStr">
        <is>
          <t>1 直接向 AD 反应器或内部循环系统供氧</t>
        </is>
      </c>
      <c r="H224" s="2" t="inlineStr">
        <is>
          <t>是</t>
        </is>
      </c>
      <c r="I224" s="2" t="inlineStr">
        <is>
          <t>研究类</t>
        </is>
      </c>
      <c r="J224" s="2" t="inlineStr">
        <is>
          <t>是</t>
        </is>
      </c>
      <c r="K224" s="2" t="inlineStr">
        <is>
          <t>Biochemical Engineering Journal</t>
        </is>
      </c>
      <c r="L224" s="2" t="inlineStr">
        <is>
          <t>Biochemical Engineering Journal</t>
        </is>
      </c>
      <c r="M224" s="2" t="inlineStr">
        <is>
          <t>1369-703X</t>
        </is>
      </c>
      <c r="N224" s="2" t="inlineStr"/>
      <c r="O224" s="2" t="inlineStr">
        <is>
          <t>已取得核验全文</t>
        </is>
      </c>
      <c r="P224" s="2" t="inlineStr">
        <is>
          <t>是</t>
        </is>
      </c>
      <c r="Q224" s="2" t="inlineStr">
        <is>
          <t>已取得1件原格式补充材料；其中1件唯一关联待核实；完整性未确认</t>
        </is>
      </c>
      <c r="R224" s="2" t="n">
        <v>2024</v>
      </c>
      <c r="S224" s="2" t="inlineStr">
        <is>
          <t>2025发布版（2024指标年）</t>
        </is>
      </c>
      <c r="T224" s="2" t="inlineStr">
        <is>
          <t>BIOTECHNOLOGY &amp; APPLIED MICROBIOLOGY; ENGINEERING, CHEMICAL</t>
        </is>
      </c>
      <c r="U224" s="2" t="inlineStr">
        <is>
          <t>BIOTECHNOLOGY &amp; APPLIED MICROBIOLOGY: Q2; ENGINEERING, CHEMICAL: Q2</t>
        </is>
      </c>
      <c r="V224" s="2" t="inlineStr">
        <is>
          <t>否</t>
        </is>
      </c>
      <c r="W224" s="2" t="inlineStr">
        <is>
          <t>否</t>
        </is>
      </c>
      <c r="X224" s="2" t="inlineStr">
        <is>
          <t>是</t>
        </is>
      </c>
      <c r="Y224" s="2" t="inlineStr">
        <is>
          <t>https://topj.lib.whu.edu.cn/show.asp?cat=sci&amp;id=5875</t>
        </is>
      </c>
      <c r="Z224" s="2" t="inlineStr">
        <is>
          <t>https://api.crossref.org/works/10.1016/j.bej.2017.06.009</t>
        </is>
      </c>
      <c r="AA22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24" s="2" t="inlineStr">
        <is>
          <t>original_files/R03400/fulltext/fulltext__published__cba2185ab15ca24d.pdf</t>
        </is>
      </c>
      <c r="AC224" s="2" t="inlineStr">
        <is>
          <t>original_files/R03400/supplementary/supplementary__01a0c3f189551435.docx</t>
        </is>
      </c>
      <c r="AD224" s="2" t="inlineStr">
        <is>
          <t>https://github.com/Colliam-Vermilion/FirstCodex/blob/results/ad-oxygen-literature-20261006/results/ad-oxygen-literature-20261006/original_files/R03400/fulltext/fulltext__published__cba2185ab15ca24d.pdf</t>
        </is>
      </c>
    </row>
    <row r="225" ht="48" customHeight="1">
      <c r="A225" s="3" t="inlineStr">
        <is>
          <t>R03497</t>
        </is>
      </c>
      <c r="B225" s="3" t="inlineStr">
        <is>
          <t>Recovery of elemental sulphur from anaerobic effluents through the biological oxidation of sulphides</t>
        </is>
      </c>
      <c r="C225" s="3" t="inlineStr">
        <is>
          <t>2017</t>
        </is>
      </c>
      <c r="D225" s="3" t="inlineStr">
        <is>
          <t>2017</t>
        </is>
      </c>
      <c r="E225" s="3" t="inlineStr">
        <is>
          <t>10.1080/09593330.2016.1201148</t>
        </is>
      </c>
      <c r="F225" s="3" t="inlineStr">
        <is>
          <t>期刊文章</t>
        </is>
      </c>
      <c r="G225" s="3" t="inlineStr">
        <is>
          <t>1 直接向 AD 反应器或内部循环系统供氧</t>
        </is>
      </c>
      <c r="H225" s="3" t="inlineStr">
        <is>
          <t>是</t>
        </is>
      </c>
      <c r="I225" s="3" t="inlineStr">
        <is>
          <t>研究类</t>
        </is>
      </c>
      <c r="J225" s="3" t="inlineStr">
        <is>
          <t>是</t>
        </is>
      </c>
      <c r="K225" s="3" t="inlineStr">
        <is>
          <t>ENVIRONMENTAL TECHNOLOGY</t>
        </is>
      </c>
      <c r="L225" s="3" t="inlineStr">
        <is>
          <t>Environmental Technology</t>
        </is>
      </c>
      <c r="M225" s="3" t="inlineStr">
        <is>
          <t>0959-3330</t>
        </is>
      </c>
      <c r="N225" s="3" t="inlineStr">
        <is>
          <t>1479-487X</t>
        </is>
      </c>
      <c r="O225" s="3" t="inlineStr">
        <is>
          <t>已取得核验全文</t>
        </is>
      </c>
      <c r="P225" s="3" t="inlineStr">
        <is>
          <t>是</t>
        </is>
      </c>
      <c r="Q225" s="3" t="inlineStr">
        <is>
          <t>当前无补充材料原件；沿用既有缺失/无附件证据，不据此认定无附件</t>
        </is>
      </c>
      <c r="R225" s="3" t="n">
        <v>2024</v>
      </c>
      <c r="S225" s="3" t="inlineStr">
        <is>
          <t>2025发布版（2024指标年）</t>
        </is>
      </c>
      <c r="T225" s="3" t="inlineStr">
        <is>
          <t>ENVIRONMENTAL SCIENCES</t>
        </is>
      </c>
      <c r="U225" s="3" t="inlineStr">
        <is>
          <t>ENVIRONMENTAL SCIENCES: Q3</t>
        </is>
      </c>
      <c r="V225" s="3" t="inlineStr">
        <is>
          <t>否</t>
        </is>
      </c>
      <c r="W225" s="3" t="inlineStr">
        <is>
          <t>否</t>
        </is>
      </c>
      <c r="X225" s="3" t="inlineStr">
        <is>
          <t>是</t>
        </is>
      </c>
      <c r="Y225" s="3" t="inlineStr">
        <is>
          <t>https://topj.lib.whu.edu.cn/searchxk1.asp?ordertype=desc&amp;page=11&amp;q=&amp;xk=488</t>
        </is>
      </c>
      <c r="Z225" s="3" t="inlineStr">
        <is>
          <t>https://api.crossref.org/works/10.1080/09593330.2016.1201148</t>
        </is>
      </c>
      <c r="AA225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225" s="3" t="inlineStr">
        <is>
          <t>original_files/R03497/fulltext/fulltext__published__2d594b9c7205bdf2.pdf</t>
        </is>
      </c>
      <c r="AC225" s="3" t="inlineStr"/>
      <c r="AD225" s="3" t="inlineStr">
        <is>
          <t>https://github.com/Colliam-Vermilion/FirstCodex/blob/results/ad-oxygen-literature-20261006/results/ad-oxygen-literature-20261006/original_files/R03497/fulltext/fulltext__published__2d594b9c7205bdf2.pdf</t>
        </is>
      </c>
    </row>
    <row r="226" ht="48" customHeight="1">
      <c r="A226" s="2" t="inlineStr">
        <is>
          <t>R03518</t>
        </is>
      </c>
      <c r="B226" s="2" t="inlineStr">
        <is>
          <t>Short-term pre-aeration applied to the dry anaerobic digestion of MSW, with a focus on the spectroscopic characteristics of dissolved organic matter</t>
        </is>
      </c>
      <c r="C226" s="2" t="inlineStr">
        <is>
          <t>2017</t>
        </is>
      </c>
      <c r="D226" s="2" t="inlineStr">
        <is>
          <t>2017</t>
        </is>
      </c>
      <c r="E226" s="2" t="inlineStr">
        <is>
          <t>10.1016/j.cej.2016.11.020</t>
        </is>
      </c>
      <c r="F226" s="2" t="inlineStr">
        <is>
          <t>期刊文章</t>
        </is>
      </c>
      <c r="G226" s="2" t="inlineStr">
        <is>
          <t>3 独立好氧或微好氧预处理</t>
        </is>
      </c>
      <c r="H226" s="2" t="inlineStr">
        <is>
          <t>是</t>
        </is>
      </c>
      <c r="I226" s="2" t="inlineStr">
        <is>
          <t>研究类</t>
        </is>
      </c>
      <c r="J226" s="2" t="inlineStr">
        <is>
          <t>是</t>
        </is>
      </c>
      <c r="K226" s="2" t="inlineStr">
        <is>
          <t>Chemical Engineering Journal</t>
        </is>
      </c>
      <c r="L226" s="2" t="inlineStr">
        <is>
          <t>Chemical Engineering Journal</t>
        </is>
      </c>
      <c r="M226" s="2" t="inlineStr">
        <is>
          <t>1385-8947</t>
        </is>
      </c>
      <c r="N226" s="2" t="inlineStr"/>
      <c r="O226" s="2" t="inlineStr">
        <is>
          <t>已取得核验全文</t>
        </is>
      </c>
      <c r="P226" s="2" t="inlineStr">
        <is>
          <t>是</t>
        </is>
      </c>
      <c r="Q226" s="2" t="inlineStr">
        <is>
          <t>已取得1件原格式补充材料；其中1件唯一关联待核实；完整性未确认</t>
        </is>
      </c>
      <c r="R226" s="2" t="n">
        <v>2024</v>
      </c>
      <c r="S226" s="2" t="inlineStr">
        <is>
          <t>2025发布版（2024指标年）</t>
        </is>
      </c>
      <c r="T226" s="2" t="inlineStr">
        <is>
          <t>ENGINEERING, CHEMICAL; ENGINEERING, ENVIRONMENTAL</t>
        </is>
      </c>
      <c r="U226" s="2" t="inlineStr">
        <is>
          <t>ENGINEERING, CHEMICAL: Q1; ENGINEERING, ENVIRONMENTAL: Q1</t>
        </is>
      </c>
      <c r="V226" s="4" t="inlineStr">
        <is>
          <t>是</t>
        </is>
      </c>
      <c r="W226" s="4" t="inlineStr">
        <is>
          <t>是</t>
        </is>
      </c>
      <c r="X226" s="2" t="inlineStr">
        <is>
          <t>是</t>
        </is>
      </c>
      <c r="Y226" s="2" t="inlineStr">
        <is>
          <t>https://topj.lib.whu.edu.cn/show.asp?cat=zk&amp;id=2740</t>
        </is>
      </c>
      <c r="Z226" s="2" t="inlineStr">
        <is>
          <t>https://api.crossref.org/works/10.1016/j.cej.2016.11.020</t>
        </is>
      </c>
      <c r="AA22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26" s="2" t="inlineStr">
        <is>
          <t>original_files/R03518/fulltext/fulltext__published__aa5fd3d1e00f1e87.pdf</t>
        </is>
      </c>
      <c r="AC226" s="2" t="inlineStr">
        <is>
          <t>original_files/R03518/supplementary/supplementary__be818d1094ea8d29.docx</t>
        </is>
      </c>
      <c r="AD226" s="2" t="inlineStr">
        <is>
          <t>https://github.com/Colliam-Vermilion/FirstCodex/blob/results/ad-oxygen-literature-20261006/results/ad-oxygen-literature-20261006/original_files/R03518/fulltext/fulltext__published__aa5fd3d1e00f1e87.pdf</t>
        </is>
      </c>
    </row>
    <row r="227" ht="48" customHeight="1">
      <c r="A227" s="3" t="inlineStr">
        <is>
          <t>R03587</t>
        </is>
      </c>
      <c r="B227" s="3" t="inlineStr">
        <is>
          <t>The use of a silicone-based biomembrane for microaerobic H2S removal from biogas</t>
        </is>
      </c>
      <c r="C227" s="3" t="inlineStr">
        <is>
          <t>2017</t>
        </is>
      </c>
      <c r="D227" s="3" t="inlineStr">
        <is>
          <t>2017</t>
        </is>
      </c>
      <c r="E227" s="3" t="inlineStr">
        <is>
          <t>10.1016/j.seppur.2017.07.077</t>
        </is>
      </c>
      <c r="F227" s="3" t="inlineStr">
        <is>
          <t>期刊文章</t>
        </is>
      </c>
      <c r="G227" s="3" t="inlineStr">
        <is>
          <t>5 排除</t>
        </is>
      </c>
      <c r="H227" s="3" t="inlineStr">
        <is>
          <t>否</t>
        </is>
      </c>
      <c r="I227" s="3" t="inlineStr">
        <is>
          <t>研究类</t>
        </is>
      </c>
      <c r="J227" s="3" t="inlineStr">
        <is>
          <t>否</t>
        </is>
      </c>
      <c r="K227" s="3" t="inlineStr">
        <is>
          <t>Separation and Purification Technology</t>
        </is>
      </c>
      <c r="L227" s="3" t="inlineStr">
        <is>
          <t>Separation and Purification Technology</t>
        </is>
      </c>
      <c r="M227" s="3" t="inlineStr">
        <is>
          <t>1383-5866</t>
        </is>
      </c>
      <c r="N227" s="3" t="inlineStr"/>
      <c r="O227" s="3" t="inlineStr">
        <is>
          <t>未取得全文</t>
        </is>
      </c>
      <c r="P227" s="3" t="inlineStr">
        <is>
          <t>否</t>
        </is>
      </c>
      <c r="Q227" s="3" t="inlineStr">
        <is>
          <t>当前无补充材料原件；沿用既有缺失/无附件证据，不据此认定无附件</t>
        </is>
      </c>
      <c r="R227" s="3" t="n">
        <v>2024</v>
      </c>
      <c r="S227" s="3" t="inlineStr">
        <is>
          <t>2025发布版（2024指标年）</t>
        </is>
      </c>
      <c r="T227" s="3" t="inlineStr"/>
      <c r="U227" s="3" t="inlineStr"/>
      <c r="V227" s="3" t="inlineStr">
        <is>
          <t>待核实</t>
        </is>
      </c>
      <c r="W227" s="3" t="inlineStr">
        <is>
          <t>待核实</t>
        </is>
      </c>
      <c r="X227" s="3" t="inlineStr">
        <is>
          <t>否</t>
        </is>
      </c>
      <c r="Y227" s="3" t="inlineStr"/>
      <c r="Z227" s="3" t="inlineStr">
        <is>
          <t>https://api.crossref.org/works/10.1016/j.seppur.2017.07.077</t>
        </is>
      </c>
      <c r="AA227" s="3" t="inlineStr">
        <is>
          <t>2024指标年JCR分区未核实；空白不能当非Q1。需要2025发布版/2024指标年的JCR全部学科导出。</t>
        </is>
      </c>
      <c r="AB227" s="3" t="inlineStr"/>
      <c r="AC227" s="3" t="inlineStr"/>
      <c r="AD227" s="3" t="inlineStr"/>
    </row>
    <row r="228" ht="48" customHeight="1">
      <c r="A228" s="2" t="inlineStr">
        <is>
          <t>R03598</t>
        </is>
      </c>
      <c r="B228" s="2" t="inlineStr">
        <is>
          <t>Towards sustainable pollution management</t>
        </is>
      </c>
      <c r="C228" s="2" t="inlineStr">
        <is>
          <t>2017</t>
        </is>
      </c>
      <c r="D228" s="2" t="inlineStr">
        <is>
          <t>2017</t>
        </is>
      </c>
      <c r="E228" s="2" t="inlineStr">
        <is>
          <t>10.1088/1755-1315/60/1/012001</t>
        </is>
      </c>
      <c r="F228" s="2" t="inlineStr">
        <is>
          <t>会议摘要（非论文全文）</t>
        </is>
      </c>
      <c r="G228" s="2" t="inlineStr">
        <is>
          <t>5 排除</t>
        </is>
      </c>
      <c r="H228" s="2" t="inlineStr">
        <is>
          <t>否</t>
        </is>
      </c>
      <c r="I228" s="2" t="inlineStr">
        <is>
          <t>会议/非期刊</t>
        </is>
      </c>
      <c r="J228" s="2" t="inlineStr">
        <is>
          <t>否</t>
        </is>
      </c>
      <c r="K228" s="2" t="inlineStr">
        <is>
          <t>IOP Conference Series: Earth and Environmental Science</t>
        </is>
      </c>
      <c r="L228" s="2" t="inlineStr">
        <is>
          <t>IOP Conference Series: Earth and Environmental Science</t>
        </is>
      </c>
      <c r="M228" s="2" t="inlineStr">
        <is>
          <t>1755-1307</t>
        </is>
      </c>
      <c r="N228" s="2" t="inlineStr">
        <is>
          <t>1755-1315</t>
        </is>
      </c>
      <c r="O228" s="2" t="inlineStr">
        <is>
          <t>未取得全文</t>
        </is>
      </c>
      <c r="P228" s="2" t="inlineStr">
        <is>
          <t>否</t>
        </is>
      </c>
      <c r="Q228" s="2" t="inlineStr">
        <is>
          <t>当前无补充材料原件；沿用既有缺失/无附件证据，不据此认定无附件</t>
        </is>
      </c>
      <c r="R228" s="2" t="inlineStr"/>
      <c r="S228" s="2" t="inlineStr"/>
      <c r="T228" s="2" t="inlineStr"/>
      <c r="U228" s="2" t="inlineStr"/>
      <c r="V228" s="2" t="inlineStr">
        <is>
          <t>不适用</t>
        </is>
      </c>
      <c r="W228" s="2" t="inlineStr">
        <is>
          <t>不适用</t>
        </is>
      </c>
      <c r="X228" s="2" t="inlineStr">
        <is>
          <t>不适用</t>
        </is>
      </c>
      <c r="Y228" s="2" t="inlineStr"/>
      <c r="Z228" s="2" t="inlineStr">
        <is>
          <t>https://api.crossref.org/works/10.1088/1755-1315/60/1/012001</t>
        </is>
      </c>
      <c r="AA228" s="2" t="inlineStr">
        <is>
          <t>非目标期刊论文或类型待核实，不进入JCR分母</t>
        </is>
      </c>
      <c r="AB228" s="2" t="inlineStr"/>
      <c r="AC228" s="2" t="inlineStr"/>
      <c r="AD228" s="2" t="inlineStr"/>
    </row>
    <row r="229" ht="48" customHeight="1">
      <c r="A229" s="3" t="inlineStr">
        <is>
          <t>R03675</t>
        </is>
      </c>
      <c r="B229" s="3" t="inlineStr">
        <is>
          <t>Aerobic treatment of swine manure to enhance anaerobic digestion and microalgal cultivation</t>
        </is>
      </c>
      <c r="C229" s="3" t="inlineStr">
        <is>
          <t>2018</t>
        </is>
      </c>
      <c r="D229" s="3" t="inlineStr">
        <is>
          <t>2018</t>
        </is>
      </c>
      <c r="E229" s="3" t="inlineStr">
        <is>
          <t>10.1080/03601234.2017.1397454</t>
        </is>
      </c>
      <c r="F229" s="3" t="inlineStr">
        <is>
          <t>期刊文章</t>
        </is>
      </c>
      <c r="G229" s="3" t="inlineStr">
        <is>
          <t>3 独立好氧或微好氧预处理</t>
        </is>
      </c>
      <c r="H229" s="3" t="inlineStr">
        <is>
          <t>是</t>
        </is>
      </c>
      <c r="I229" s="3" t="inlineStr">
        <is>
          <t>研究类</t>
        </is>
      </c>
      <c r="J229" s="3" t="inlineStr">
        <is>
          <t>是</t>
        </is>
      </c>
      <c r="K229" s="3" t="inlineStr">
        <is>
          <t>JOURNAL OF ENVIRONMENTAL SCIENCE AND HEALTH PART B-PESTICIDES FOOD CONTAMINANTS AND AGRICULTURAL WASTES</t>
        </is>
      </c>
      <c r="L229" s="3" t="inlineStr">
        <is>
          <t>Journal of Environmental Science and Health, Part B</t>
        </is>
      </c>
      <c r="M229" s="3" t="inlineStr">
        <is>
          <t>0360-1234</t>
        </is>
      </c>
      <c r="N229" s="3" t="inlineStr">
        <is>
          <t>1532-4109</t>
        </is>
      </c>
      <c r="O229" s="3" t="inlineStr">
        <is>
          <t>未取得全文</t>
        </is>
      </c>
      <c r="P229" s="3" t="inlineStr">
        <is>
          <t>否</t>
        </is>
      </c>
      <c r="Q229" s="3" t="inlineStr">
        <is>
          <t>当前无补充材料原件；沿用既有缺失/无附件证据，不据此认定无附件</t>
        </is>
      </c>
      <c r="R229" s="3" t="n">
        <v>2024</v>
      </c>
      <c r="S229" s="3" t="inlineStr">
        <is>
          <t>2025发布版（2024指标年）</t>
        </is>
      </c>
      <c r="T229" s="3" t="inlineStr">
        <is>
          <t>ENVIRONMENTAL SCIENCES; PUBLIC, ENVIRONMENTAL &amp; OCCUPATIONAL HEALTH</t>
        </is>
      </c>
      <c r="U229" s="3" t="inlineStr">
        <is>
          <t>ENVIRONMENTAL SCIENCES: Q4; PUBLIC, ENVIRONMENTAL &amp; OCCUPATIONAL HEALTH: Q3</t>
        </is>
      </c>
      <c r="V229" s="3" t="inlineStr">
        <is>
          <t>否</t>
        </is>
      </c>
      <c r="W229" s="3" t="inlineStr">
        <is>
          <t>否</t>
        </is>
      </c>
      <c r="X229" s="3" t="inlineStr">
        <is>
          <t>是</t>
        </is>
      </c>
      <c r="Y229" s="3" t="inlineStr">
        <is>
          <t>https://topj.lib.whu.edu.cn/show.asp?cat=esi&amp;id=6727</t>
        </is>
      </c>
      <c r="Z229" s="3" t="inlineStr">
        <is>
          <t>https://api.crossref.org/works/10.1080/03601234.2017.1397454</t>
        </is>
      </c>
      <c r="AA22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29" s="3" t="inlineStr"/>
      <c r="AC229" s="3" t="inlineStr"/>
      <c r="AD229" s="3" t="inlineStr"/>
    </row>
    <row r="230" ht="48" customHeight="1">
      <c r="A230" s="2" t="inlineStr">
        <is>
          <t>R03822</t>
        </is>
      </c>
      <c r="B230" s="2" t="inlineStr">
        <is>
          <t>Conversion of organic residue from solid-state anaerobic digestion of livestock waste to produce the solid fuel through hydrothermal carbonization</t>
        </is>
      </c>
      <c r="C230" s="2" t="inlineStr">
        <is>
          <t>2018</t>
        </is>
      </c>
      <c r="D230" s="2" t="inlineStr">
        <is>
          <t>2018</t>
        </is>
      </c>
      <c r="E230" s="2" t="inlineStr">
        <is>
          <t>10.4491/eer.2018.055</t>
        </is>
      </c>
      <c r="F230" s="2" t="inlineStr">
        <is>
          <t>期刊文章</t>
        </is>
      </c>
      <c r="G230" s="2" t="inlineStr">
        <is>
          <t>5 排除</t>
        </is>
      </c>
      <c r="H230" s="2" t="inlineStr">
        <is>
          <t>否</t>
        </is>
      </c>
      <c r="I230" s="2" t="inlineStr">
        <is>
          <t>研究类</t>
        </is>
      </c>
      <c r="J230" s="2" t="inlineStr">
        <is>
          <t>否</t>
        </is>
      </c>
      <c r="K230" s="2" t="inlineStr">
        <is>
          <t>ENVIRONMENTAL ENGINEERING RESEARCH</t>
        </is>
      </c>
      <c r="L230" s="2" t="inlineStr">
        <is>
          <t>Environmental Engineering Research</t>
        </is>
      </c>
      <c r="M230" s="2" t="inlineStr">
        <is>
          <t>1226-1025</t>
        </is>
      </c>
      <c r="N230" s="2" t="inlineStr">
        <is>
          <t>2005-968X</t>
        </is>
      </c>
      <c r="O230" s="2" t="inlineStr">
        <is>
          <t>未取得全文</t>
        </is>
      </c>
      <c r="P230" s="2" t="inlineStr">
        <is>
          <t>否</t>
        </is>
      </c>
      <c r="Q230" s="2" t="inlineStr">
        <is>
          <t>当前无补充材料原件；沿用既有缺失/无附件证据，不据此认定无附件</t>
        </is>
      </c>
      <c r="R230" s="2" t="n">
        <v>2024</v>
      </c>
      <c r="S230" s="2" t="inlineStr">
        <is>
          <t>2025发布版（2024指标年）</t>
        </is>
      </c>
      <c r="T230" s="2" t="inlineStr">
        <is>
          <t>ENGINEERING, ENVIRONMENTAL; ENVIRONMENTAL SCIENCES</t>
        </is>
      </c>
      <c r="U230" s="2" t="inlineStr">
        <is>
          <t>ENGINEERING, ENVIRONMENTAL: Q3; ENVIRONMENTAL SCIENCES: Q3</t>
        </is>
      </c>
      <c r="V230" s="2" t="inlineStr">
        <is>
          <t>否</t>
        </is>
      </c>
      <c r="W230" s="2" t="inlineStr">
        <is>
          <t>否</t>
        </is>
      </c>
      <c r="X230" s="2" t="inlineStr">
        <is>
          <t>是</t>
        </is>
      </c>
      <c r="Y230" s="2" t="inlineStr">
        <is>
          <t>https://topj.lib.whu.edu.cn/search2.asp?ordertype=&amp;page=18&amp;q=&amp;sea=e&amp;searchtype=esi</t>
        </is>
      </c>
      <c r="Z230" s="2" t="inlineStr">
        <is>
          <t>https://api.crossref.org/works/10.4491/eer.2018.055</t>
        </is>
      </c>
      <c r="AA230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230" s="2" t="inlineStr"/>
      <c r="AC230" s="2" t="inlineStr"/>
      <c r="AD230" s="2" t="inlineStr"/>
    </row>
    <row r="231" ht="48" customHeight="1">
      <c r="A231" s="3" t="inlineStr">
        <is>
          <t>R03853</t>
        </is>
      </c>
      <c r="B231" s="3" t="inlineStr">
        <is>
          <t>Effect of Aeration Applied During Different Phases of Anaerobic Digestion</t>
        </is>
      </c>
      <c r="C231" s="3" t="inlineStr">
        <is>
          <t>2018</t>
        </is>
      </c>
      <c r="D231" s="3" t="inlineStr">
        <is>
          <t>2018</t>
        </is>
      </c>
      <c r="E231" s="3" t="inlineStr">
        <is>
          <t>10.1007/s12649-016-9785-9</t>
        </is>
      </c>
      <c r="F231" s="3" t="inlineStr">
        <is>
          <t>综述</t>
        </is>
      </c>
      <c r="G231" s="3" t="inlineStr">
        <is>
          <t>4 综述</t>
        </is>
      </c>
      <c r="H231" s="3" t="inlineStr">
        <is>
          <t>是</t>
        </is>
      </c>
      <c r="I231" s="3" t="inlineStr">
        <is>
          <t>综述</t>
        </is>
      </c>
      <c r="J231" s="3" t="inlineStr">
        <is>
          <t>是</t>
        </is>
      </c>
      <c r="K231" s="3" t="inlineStr">
        <is>
          <t>Waste and Biomass Valorization</t>
        </is>
      </c>
      <c r="L231" s="3" t="inlineStr">
        <is>
          <t>Waste and Biomass Valorization</t>
        </is>
      </c>
      <c r="M231" s="3" t="inlineStr">
        <is>
          <t>1877-2641</t>
        </is>
      </c>
      <c r="N231" s="3" t="inlineStr">
        <is>
          <t>1877-265X</t>
        </is>
      </c>
      <c r="O231" s="3" t="inlineStr">
        <is>
          <t>已取得核验全文</t>
        </is>
      </c>
      <c r="P231" s="3" t="inlineStr">
        <is>
          <t>是</t>
        </is>
      </c>
      <c r="Q231" s="3" t="inlineStr">
        <is>
          <t>当前无补充材料原件；沿用既有缺失/无附件证据，不据此认定无附件</t>
        </is>
      </c>
      <c r="R231" s="3" t="n">
        <v>2024</v>
      </c>
      <c r="S231" s="3" t="inlineStr">
        <is>
          <t>2025发布版（2024指标年）</t>
        </is>
      </c>
      <c r="T231" s="3" t="inlineStr">
        <is>
          <t>ENVIRONMENTAL SCIENCES</t>
        </is>
      </c>
      <c r="U231" s="3" t="inlineStr">
        <is>
          <t>ENVIRONMENTAL SCIENCES: Q3</t>
        </is>
      </c>
      <c r="V231" s="3" t="inlineStr">
        <is>
          <t>否</t>
        </is>
      </c>
      <c r="W231" s="3" t="inlineStr">
        <is>
          <t>否</t>
        </is>
      </c>
      <c r="X231" s="3" t="inlineStr">
        <is>
          <t>是</t>
        </is>
      </c>
      <c r="Y231" s="3" t="inlineStr">
        <is>
          <t>https://topj.lib.whu.edu.cn/show.asp?cat=zk&amp;id=4277</t>
        </is>
      </c>
      <c r="Z231" s="3" t="inlineStr">
        <is>
          <t>https://api.crossref.org/works/10.1007/s12649-016-9785-9</t>
        </is>
      </c>
      <c r="AA23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31" s="3" t="inlineStr">
        <is>
          <t>original_files/R03853/fulltext/fulltext__published__db4333af1eda5b33.pdf</t>
        </is>
      </c>
      <c r="AC231" s="3" t="inlineStr"/>
      <c r="AD231" s="3" t="inlineStr">
        <is>
          <t>https://github.com/Colliam-Vermilion/FirstCodex/blob/results/ad-oxygen-literature-20261006/results/ad-oxygen-literature-20261006/original_files/R03853/fulltext/fulltext__published__db4333af1eda5b33.pdf</t>
        </is>
      </c>
    </row>
    <row r="232" ht="48" customHeight="1">
      <c r="A232" s="2" t="inlineStr">
        <is>
          <t>R03909</t>
        </is>
      </c>
      <c r="B232" s="2" t="inlineStr">
        <is>
          <t>Enhanced Methane Production from Food Waste Using Cysteine To Increase Biotransformation of l -Monosaccharide, Volatile Fatty Acids, and Biohydrogen</t>
        </is>
      </c>
      <c r="C232" s="2" t="inlineStr">
        <is>
          <t>2018</t>
        </is>
      </c>
      <c r="D232" s="2" t="inlineStr">
        <is>
          <t>2018</t>
        </is>
      </c>
      <c r="E232" s="2" t="inlineStr">
        <is>
          <t>10.1021/acs.est.7b05355</t>
        </is>
      </c>
      <c r="F232" s="2" t="inlineStr">
        <is>
          <t>期刊文章</t>
        </is>
      </c>
      <c r="G232" s="2" t="inlineStr">
        <is>
          <t>5 排除</t>
        </is>
      </c>
      <c r="H232" s="2" t="inlineStr">
        <is>
          <t>否</t>
        </is>
      </c>
      <c r="I232" s="2" t="inlineStr">
        <is>
          <t>研究类</t>
        </is>
      </c>
      <c r="J232" s="2" t="inlineStr">
        <is>
          <t>否</t>
        </is>
      </c>
      <c r="K232" s="2" t="inlineStr">
        <is>
          <t>ENVIRONMENTAL SCIENCE &amp; TECHNOLOGY</t>
        </is>
      </c>
      <c r="L232" s="2" t="inlineStr">
        <is>
          <t>Environmental Science &amp;amp; Technology</t>
        </is>
      </c>
      <c r="M232" s="2" t="inlineStr">
        <is>
          <t>0013-936X</t>
        </is>
      </c>
      <c r="N232" s="2" t="inlineStr">
        <is>
          <t>1520-5851</t>
        </is>
      </c>
      <c r="O232" s="2" t="inlineStr">
        <is>
          <t>未取得全文</t>
        </is>
      </c>
      <c r="P232" s="2" t="inlineStr">
        <is>
          <t>否</t>
        </is>
      </c>
      <c r="Q232" s="2" t="inlineStr">
        <is>
          <t>当前无补充材料原件；沿用既有缺失/无附件证据，不据此认定无附件</t>
        </is>
      </c>
      <c r="R232" s="2" t="n">
        <v>2024</v>
      </c>
      <c r="S232" s="2" t="inlineStr">
        <is>
          <t>2025发布版（2024指标年）</t>
        </is>
      </c>
      <c r="T232" s="2" t="inlineStr">
        <is>
          <t>ENGINEERING, ENVIRONMENTAL; ENVIRONMENTAL SCIENCES</t>
        </is>
      </c>
      <c r="U232" s="2" t="inlineStr">
        <is>
          <t>ENGINEERING, ENVIRONMENTAL: Q1; ENVIRONMENTAL SCIENCES: Q1</t>
        </is>
      </c>
      <c r="V232" s="4" t="inlineStr">
        <is>
          <t>是</t>
        </is>
      </c>
      <c r="W232" s="4" t="inlineStr">
        <is>
          <t>是</t>
        </is>
      </c>
      <c r="X232" s="2" t="inlineStr">
        <is>
          <t>是</t>
        </is>
      </c>
      <c r="Y232" s="2" t="inlineStr">
        <is>
          <t>https://topj.lib.whu.edu.cn/show.asp?cat=zk&amp;id=3966</t>
        </is>
      </c>
      <c r="Z232" s="2" t="inlineStr">
        <is>
          <t>https://api.crossref.org/works/10.1021/acs.est.7b05355</t>
        </is>
      </c>
      <c r="AA23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32" s="2" t="inlineStr"/>
      <c r="AC232" s="2" t="inlineStr"/>
      <c r="AD232" s="2" t="inlineStr"/>
    </row>
    <row r="233" ht="48" customHeight="1">
      <c r="A233" s="3" t="inlineStr">
        <is>
          <t>R03965</t>
        </is>
      </c>
      <c r="B233" s="3" t="inlineStr">
        <is>
          <t>Fate of ammonia, solids, sterols, pharmaceuticals and polycyclic aromatic hydrocarbons in anaerobic digestion and intermittent aeration of mixed sludge</t>
        </is>
      </c>
      <c r="C233" s="3" t="inlineStr">
        <is>
          <t>2018</t>
        </is>
      </c>
      <c r="D233" s="3" t="inlineStr">
        <is>
          <t>2018</t>
        </is>
      </c>
      <c r="E233" s="3" t="inlineStr">
        <is>
          <t>10.2175/193864718824828948</t>
        </is>
      </c>
      <c r="F233" s="3" t="inlineStr">
        <is>
          <t>会议研究论文（非期刊文章）</t>
        </is>
      </c>
      <c r="G233" s="3" t="inlineStr">
        <is>
          <t>1 直接向 AD 反应器或内部循环系统供氧</t>
        </is>
      </c>
      <c r="H233" s="3" t="inlineStr">
        <is>
          <t>是</t>
        </is>
      </c>
      <c r="I233" s="3" t="inlineStr">
        <is>
          <t>会议/非期刊</t>
        </is>
      </c>
      <c r="J233" s="3" t="inlineStr">
        <is>
          <t>否</t>
        </is>
      </c>
      <c r="K233" s="3" t="inlineStr">
        <is>
          <t>Proceedings of the Water Environment Federation</t>
        </is>
      </c>
      <c r="L233" s="3" t="inlineStr">
        <is>
          <t>Proceedings of the Water Environment Federation</t>
        </is>
      </c>
      <c r="M233" s="3" t="inlineStr">
        <is>
          <t>1938-6478</t>
        </is>
      </c>
      <c r="N233" s="3" t="inlineStr"/>
      <c r="O233" s="3" t="inlineStr">
        <is>
          <t>未取得全文（上传件身份错配/相关版本，目标正文缺失）</t>
        </is>
      </c>
      <c r="P233" s="3" t="inlineStr">
        <is>
          <t>否</t>
        </is>
      </c>
      <c r="Q233" s="3" t="inlineStr">
        <is>
          <t>已取得1件原格式补充材料；其中1件唯一关联待核实；完整性未确认</t>
        </is>
      </c>
      <c r="R233" s="3" t="inlineStr"/>
      <c r="S233" s="3" t="inlineStr"/>
      <c r="T233" s="3" t="inlineStr"/>
      <c r="U233" s="3" t="inlineStr"/>
      <c r="V233" s="3" t="inlineStr">
        <is>
          <t>不适用</t>
        </is>
      </c>
      <c r="W233" s="3" t="inlineStr">
        <is>
          <t>不适用</t>
        </is>
      </c>
      <c r="X233" s="3" t="inlineStr">
        <is>
          <t>不适用</t>
        </is>
      </c>
      <c r="Y233" s="3" t="inlineStr"/>
      <c r="Z233" s="3" t="inlineStr">
        <is>
          <t>https://api.crossref.org/works/10.2175/193864718824828948</t>
        </is>
      </c>
      <c r="AA233" s="3" t="inlineStr">
        <is>
          <t>非目标期刊论文或类型待核实，不进入JCR分母 | 上传2019期刊文章，目标为2018会议文献；作者及主题关联，但题名和DOI不同，目标会议全文仍未取得</t>
        </is>
      </c>
      <c r="AB233" s="3" t="inlineStr"/>
      <c r="AC233" s="3" t="inlineStr">
        <is>
          <t>original_files/R03965/supplementary/supplementary__2a701df2118e05e1.docx</t>
        </is>
      </c>
      <c r="AD233" s="3" t="inlineStr"/>
    </row>
    <row r="234" ht="48" customHeight="1">
      <c r="A234" s="2" t="inlineStr">
        <is>
          <t>R03972</t>
        </is>
      </c>
      <c r="B234" s="2" t="inlineStr">
        <is>
          <t>Final products and kinetics of biochemical and chemical sulfide oxidation under microaerobic conditions</t>
        </is>
      </c>
      <c r="C234" s="2" t="inlineStr">
        <is>
          <t>2018</t>
        </is>
      </c>
      <c r="D234" s="2" t="inlineStr">
        <is>
          <t>2018</t>
        </is>
      </c>
      <c r="E234" s="2" t="inlineStr">
        <is>
          <t>10.2166/wst.2018.485</t>
        </is>
      </c>
      <c r="F234" s="2" t="inlineStr">
        <is>
          <t>期刊文章</t>
        </is>
      </c>
      <c r="G234" s="2" t="inlineStr">
        <is>
          <t>5 排除</t>
        </is>
      </c>
      <c r="H234" s="2" t="inlineStr">
        <is>
          <t>否</t>
        </is>
      </c>
      <c r="I234" s="2" t="inlineStr">
        <is>
          <t>研究类</t>
        </is>
      </c>
      <c r="J234" s="2" t="inlineStr">
        <is>
          <t>否</t>
        </is>
      </c>
      <c r="K234" s="2" t="inlineStr">
        <is>
          <t>WATER SCIENCE AND TECHNOLOGY</t>
        </is>
      </c>
      <c r="L234" s="2" t="inlineStr">
        <is>
          <t>Water Science and Technology</t>
        </is>
      </c>
      <c r="M234" s="2" t="inlineStr">
        <is>
          <t>0273-1223</t>
        </is>
      </c>
      <c r="N234" s="2" t="inlineStr">
        <is>
          <t>1996-9732</t>
        </is>
      </c>
      <c r="O234" s="2" t="inlineStr">
        <is>
          <t>未取得全文</t>
        </is>
      </c>
      <c r="P234" s="2" t="inlineStr">
        <is>
          <t>否</t>
        </is>
      </c>
      <c r="Q234" s="2" t="inlineStr">
        <is>
          <t>当前无补充材料原件；沿用既有缺失/无附件证据，不据此认定无附件</t>
        </is>
      </c>
      <c r="R234" s="2" t="n">
        <v>2024</v>
      </c>
      <c r="S234" s="2" t="inlineStr">
        <is>
          <t>2025发布版（2024指标年）</t>
        </is>
      </c>
      <c r="T234" s="2" t="inlineStr">
        <is>
          <t>WATER RESOURCES; ENGINEERING, ENVIRONMENTAL; ENVIRONMENTAL SCIENCES</t>
        </is>
      </c>
      <c r="U234" s="2" t="inlineStr">
        <is>
          <t>WATER RESOURCES: Q2; ENGINEERING, ENVIRONMENTAL: Q3; ENVIRONMENTAL SCIENCES: Q3</t>
        </is>
      </c>
      <c r="V234" s="2" t="inlineStr">
        <is>
          <t>否</t>
        </is>
      </c>
      <c r="W234" s="2" t="inlineStr">
        <is>
          <t>否</t>
        </is>
      </c>
      <c r="X234" s="2" t="inlineStr">
        <is>
          <t>是</t>
        </is>
      </c>
      <c r="Y234" s="2" t="inlineStr">
        <is>
          <t>https://topj.lib.whu.edu.cn/search2.asp?ordertype=&amp;page=2&amp;q=&amp;sea=w&amp;searchtype=esi</t>
        </is>
      </c>
      <c r="Z234" s="2" t="inlineStr">
        <is>
          <t>https://api.crossref.org/works/10.2166/wst.2018.485</t>
        </is>
      </c>
      <c r="AA234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234" s="2" t="inlineStr"/>
      <c r="AC234" s="2" t="inlineStr"/>
      <c r="AD234" s="2" t="inlineStr"/>
    </row>
    <row r="235" ht="48" customHeight="1">
      <c r="A235" s="3" t="inlineStr">
        <is>
          <t>R04033</t>
        </is>
      </c>
      <c r="B235" s="3" t="inlineStr">
        <is>
          <t>Improvement of anaerobic digestion of sewage mixed sludge using free nitrous acid and Fenton pre-treatment</t>
        </is>
      </c>
      <c r="C235" s="3" t="inlineStr">
        <is>
          <t>2018</t>
        </is>
      </c>
      <c r="D235" s="3" t="inlineStr">
        <is>
          <t>2018</t>
        </is>
      </c>
      <c r="E235" s="3" t="inlineStr">
        <is>
          <t>10.1186/s13068-018-1235-4</t>
        </is>
      </c>
      <c r="F235" s="3" t="inlineStr">
        <is>
          <t>期刊文章</t>
        </is>
      </c>
      <c r="G235" s="3" t="inlineStr">
        <is>
          <t>5 排除</t>
        </is>
      </c>
      <c r="H235" s="3" t="inlineStr">
        <is>
          <t>否</t>
        </is>
      </c>
      <c r="I235" s="3" t="inlineStr">
        <is>
          <t>研究类</t>
        </is>
      </c>
      <c r="J235" s="3" t="inlineStr">
        <is>
          <t>否</t>
        </is>
      </c>
      <c r="K235" s="3" t="inlineStr">
        <is>
          <t>Biotechnology for Biofuels</t>
        </is>
      </c>
      <c r="L235" s="3" t="inlineStr">
        <is>
          <t>Biotechnology for Biofuels</t>
        </is>
      </c>
      <c r="M235" s="3" t="inlineStr"/>
      <c r="N235" s="3" t="inlineStr">
        <is>
          <t>1754-6834</t>
        </is>
      </c>
      <c r="O235" s="3" t="inlineStr">
        <is>
          <t>未取得全文</t>
        </is>
      </c>
      <c r="P235" s="3" t="inlineStr">
        <is>
          <t>否</t>
        </is>
      </c>
      <c r="Q235" s="3" t="inlineStr">
        <is>
          <t>当前无补充材料原件；沿用既有缺失/无附件证据，不据此认定无附件</t>
        </is>
      </c>
      <c r="R235" s="3" t="n">
        <v>2024</v>
      </c>
      <c r="S235" s="3" t="inlineStr">
        <is>
          <t>2025发布版（2024指标年）</t>
        </is>
      </c>
      <c r="T235" s="3" t="inlineStr"/>
      <c r="U235" s="3" t="inlineStr"/>
      <c r="V235" s="3" t="inlineStr">
        <is>
          <t>待核实</t>
        </is>
      </c>
      <c r="W235" s="3" t="inlineStr">
        <is>
          <t>待核实</t>
        </is>
      </c>
      <c r="X235" s="3" t="inlineStr">
        <is>
          <t>否</t>
        </is>
      </c>
      <c r="Y235" s="3" t="inlineStr"/>
      <c r="Z235" s="3" t="inlineStr">
        <is>
          <t>https://api.crossref.org/works/10.1186/s13068-018-1235-4</t>
        </is>
      </c>
      <c r="AA235" s="3" t="inlineStr">
        <is>
          <t>2024指标年JCR分区未核实；空白不能当非Q1。需要2025发布版/2024指标年的JCR全部学科导出。</t>
        </is>
      </c>
      <c r="AB235" s="3" t="inlineStr"/>
      <c r="AC235" s="3" t="inlineStr"/>
      <c r="AD235" s="3" t="inlineStr"/>
    </row>
    <row r="236" ht="48" customHeight="1">
      <c r="A236" s="2" t="inlineStr">
        <is>
          <t>R04060</t>
        </is>
      </c>
      <c r="B236" s="2" t="inlineStr">
        <is>
          <t>Inter-stage thermophilic aerobic digestion may increase organic matter removal from wastewater sludge without decreasing biogas production</t>
        </is>
      </c>
      <c r="C236" s="2" t="inlineStr">
        <is>
          <t>2018</t>
        </is>
      </c>
      <c r="D236" s="2" t="inlineStr">
        <is>
          <t>2018</t>
        </is>
      </c>
      <c r="E236" s="2" t="inlineStr">
        <is>
          <t>10.2166/wst.2017.590</t>
        </is>
      </c>
      <c r="F236" s="2" t="inlineStr">
        <is>
          <t>期刊文章</t>
        </is>
      </c>
      <c r="G236" s="2" t="inlineStr">
        <is>
          <t>3 独立好氧或微好氧预处理</t>
        </is>
      </c>
      <c r="H236" s="2" t="inlineStr">
        <is>
          <t>是</t>
        </is>
      </c>
      <c r="I236" s="2" t="inlineStr">
        <is>
          <t>研究类</t>
        </is>
      </c>
      <c r="J236" s="2" t="inlineStr">
        <is>
          <t>是</t>
        </is>
      </c>
      <c r="K236" s="2" t="inlineStr">
        <is>
          <t>WATER SCIENCE AND TECHNOLOGY</t>
        </is>
      </c>
      <c r="L236" s="2" t="inlineStr">
        <is>
          <t>Water Science and Technology</t>
        </is>
      </c>
      <c r="M236" s="2" t="inlineStr">
        <is>
          <t>0273-1223</t>
        </is>
      </c>
      <c r="N236" s="2" t="inlineStr">
        <is>
          <t>1996-9732</t>
        </is>
      </c>
      <c r="O236" s="2" t="inlineStr">
        <is>
          <t>已取得核验全文</t>
        </is>
      </c>
      <c r="P236" s="2" t="inlineStr">
        <is>
          <t>是</t>
        </is>
      </c>
      <c r="Q236" s="2" t="inlineStr">
        <is>
          <t>当前无补充材料原件；沿用既有缺失/无附件证据，不据此认定无附件</t>
        </is>
      </c>
      <c r="R236" s="2" t="n">
        <v>2024</v>
      </c>
      <c r="S236" s="2" t="inlineStr">
        <is>
          <t>2025发布版（2024指标年）</t>
        </is>
      </c>
      <c r="T236" s="2" t="inlineStr">
        <is>
          <t>WATER RESOURCES; ENGINEERING, ENVIRONMENTAL; ENVIRONMENTAL SCIENCES</t>
        </is>
      </c>
      <c r="U236" s="2" t="inlineStr">
        <is>
          <t>WATER RESOURCES: Q2; ENGINEERING, ENVIRONMENTAL: Q3; ENVIRONMENTAL SCIENCES: Q3</t>
        </is>
      </c>
      <c r="V236" s="2" t="inlineStr">
        <is>
          <t>否</t>
        </is>
      </c>
      <c r="W236" s="2" t="inlineStr">
        <is>
          <t>否</t>
        </is>
      </c>
      <c r="X236" s="2" t="inlineStr">
        <is>
          <t>是</t>
        </is>
      </c>
      <c r="Y236" s="2" t="inlineStr">
        <is>
          <t>https://topj.lib.whu.edu.cn/search2.asp?ordertype=&amp;page=2&amp;q=&amp;sea=w&amp;searchtype=esi</t>
        </is>
      </c>
      <c r="Z236" s="2" t="inlineStr">
        <is>
          <t>https://api.crossref.org/works/10.2166/wst.2017.590</t>
        </is>
      </c>
      <c r="AA236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236" s="2" t="inlineStr">
        <is>
          <t>original_files/R04060/fulltext/fulltext__published__5cb0e5b9a358787b.pdf</t>
        </is>
      </c>
      <c r="AC236" s="2" t="inlineStr"/>
      <c r="AD236" s="2" t="inlineStr">
        <is>
          <t>https://github.com/Colliam-Vermilion/FirstCodex/blob/results/ad-oxygen-literature-20261006/results/ad-oxygen-literature-20261006/original_files/R04060/fulltext/fulltext__published__5cb0e5b9a358787b.pdf</t>
        </is>
      </c>
    </row>
    <row r="237" ht="48" customHeight="1">
      <c r="A237" s="3" t="inlineStr">
        <is>
          <t>R04074</t>
        </is>
      </c>
      <c r="B237" s="3" t="inlineStr">
        <is>
          <t>Lab-scale evaluation of aerated burial concept for treatment and emergency disposal of infectious animal carcasses</t>
        </is>
      </c>
      <c r="C237" s="3" t="inlineStr">
        <is>
          <t>2018</t>
        </is>
      </c>
      <c r="D237" s="3" t="inlineStr">
        <is>
          <t>2018</t>
        </is>
      </c>
      <c r="E237" s="3" t="inlineStr">
        <is>
          <t>10.1016/j.wasman.2018.03.009</t>
        </is>
      </c>
      <c r="F237" s="3" t="inlineStr">
        <is>
          <t>期刊文章</t>
        </is>
      </c>
      <c r="G237" s="3" t="inlineStr">
        <is>
          <t>5 排除</t>
        </is>
      </c>
      <c r="H237" s="3" t="inlineStr">
        <is>
          <t>否</t>
        </is>
      </c>
      <c r="I237" s="3" t="inlineStr">
        <is>
          <t>研究类</t>
        </is>
      </c>
      <c r="J237" s="3" t="inlineStr">
        <is>
          <t>否</t>
        </is>
      </c>
      <c r="K237" s="3" t="inlineStr">
        <is>
          <t>Waste Management</t>
        </is>
      </c>
      <c r="L237" s="3" t="inlineStr">
        <is>
          <t>Waste Management</t>
        </is>
      </c>
      <c r="M237" s="3" t="inlineStr">
        <is>
          <t>0956-053X</t>
        </is>
      </c>
      <c r="N237" s="3" t="inlineStr"/>
      <c r="O237" s="3" t="inlineStr">
        <is>
          <t>未取得全文</t>
        </is>
      </c>
      <c r="P237" s="3" t="inlineStr">
        <is>
          <t>否</t>
        </is>
      </c>
      <c r="Q237" s="3" t="inlineStr">
        <is>
          <t>当前无补充材料原件；沿用既有缺失/无附件证据，不据此认定无附件</t>
        </is>
      </c>
      <c r="R237" s="3" t="n">
        <v>2024</v>
      </c>
      <c r="S237" s="3" t="inlineStr">
        <is>
          <t>2025发布版（2024指标年）</t>
        </is>
      </c>
      <c r="T237" s="3" t="inlineStr">
        <is>
          <t>ENGINEERING, ENVIRONMENTAL; ENVIRONMENTAL SCIENCES</t>
        </is>
      </c>
      <c r="U237" s="3" t="inlineStr">
        <is>
          <t>ENGINEERING, ENVIRONMENTAL: Q1; ENVIRONMENTAL SCIENCES: Q1</t>
        </is>
      </c>
      <c r="V237" s="4" t="inlineStr">
        <is>
          <t>是</t>
        </is>
      </c>
      <c r="W237" s="4" t="inlineStr">
        <is>
          <t>是</t>
        </is>
      </c>
      <c r="X237" s="3" t="inlineStr">
        <is>
          <t>是</t>
        </is>
      </c>
      <c r="Y237" s="3" t="inlineStr">
        <is>
          <t>https://topj.lib.whu.edu.cn/show.asp?cat=zk&amp;id=4000</t>
        </is>
      </c>
      <c r="Z237" s="3" t="inlineStr">
        <is>
          <t>https://api.crossref.org/works/10.1016/j.wasman.2018.03.009</t>
        </is>
      </c>
      <c r="AA23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37" s="3" t="inlineStr"/>
      <c r="AC237" s="3" t="inlineStr"/>
      <c r="AD237" s="3" t="inlineStr"/>
    </row>
    <row r="238" ht="48" customHeight="1">
      <c r="A238" s="2" t="inlineStr">
        <is>
          <t>R04111</t>
        </is>
      </c>
      <c r="B238" s="2" t="inlineStr">
        <is>
          <t>Microaeration through a biomembrane for biogas desulfurization: lab-scale and pilot-scale experiences</t>
        </is>
      </c>
      <c r="C238" s="2" t="inlineStr">
        <is>
          <t>2018</t>
        </is>
      </c>
      <c r="D238" s="2" t="inlineStr">
        <is>
          <t>2018</t>
        </is>
      </c>
      <c r="E238" s="2" t="inlineStr">
        <is>
          <t>10.1039/c8ew00232k</t>
        </is>
      </c>
      <c r="F238" s="2" t="inlineStr">
        <is>
          <t>期刊文章</t>
        </is>
      </c>
      <c r="G238" s="2" t="inlineStr">
        <is>
          <t>1 直接向 AD 反应器或内部循环系统供氧</t>
        </is>
      </c>
      <c r="H238" s="2" t="inlineStr">
        <is>
          <t>是</t>
        </is>
      </c>
      <c r="I238" s="2" t="inlineStr">
        <is>
          <t>研究类</t>
        </is>
      </c>
      <c r="J238" s="2" t="inlineStr">
        <is>
          <t>是</t>
        </is>
      </c>
      <c r="K238" s="2" t="inlineStr">
        <is>
          <t>Environmental Science-Water Research &amp; Technology</t>
        </is>
      </c>
      <c r="L238" s="2" t="inlineStr">
        <is>
          <t>Environmental Science: Water Research &amp;amp; Technology</t>
        </is>
      </c>
      <c r="M238" s="2" t="inlineStr">
        <is>
          <t>2053-1400</t>
        </is>
      </c>
      <c r="N238" s="2" t="inlineStr">
        <is>
          <t>2053-1419</t>
        </is>
      </c>
      <c r="O238" s="2" t="inlineStr">
        <is>
          <t>已取得核验全文</t>
        </is>
      </c>
      <c r="P238" s="2" t="inlineStr">
        <is>
          <t>是</t>
        </is>
      </c>
      <c r="Q238" s="2" t="inlineStr">
        <is>
          <t>当前无补充材料原件；沿用既有缺失/无附件证据，不据此认定无附件</t>
        </is>
      </c>
      <c r="R238" s="2" t="n">
        <v>2024</v>
      </c>
      <c r="S238" s="2" t="inlineStr">
        <is>
          <t>2025发布版（2024指标年）</t>
        </is>
      </c>
      <c r="T238" s="2" t="inlineStr">
        <is>
          <t>WATER RESOURCES; ENGINEERING, ENVIRONMENTAL; ENVIRONMENTAL SCIENCES</t>
        </is>
      </c>
      <c r="U238" s="2" t="inlineStr">
        <is>
          <t>WATER RESOURCES: Q2; ENGINEERING, ENVIRONMENTAL: Q3; ENVIRONMENTAL SCIENCES: Q2</t>
        </is>
      </c>
      <c r="V238" s="2" t="inlineStr">
        <is>
          <t>否</t>
        </is>
      </c>
      <c r="W238" s="2" t="inlineStr">
        <is>
          <t>否</t>
        </is>
      </c>
      <c r="X238" s="2" t="inlineStr">
        <is>
          <t>是</t>
        </is>
      </c>
      <c r="Y238" s="2" t="inlineStr">
        <is>
          <t>https://topj.lib.whu.edu.cn/show.asp?cat=sci&amp;id=6402</t>
        </is>
      </c>
      <c r="Z238" s="2" t="inlineStr">
        <is>
          <t>https://api.crossref.org/works/10.1039/c8ew00232k</t>
        </is>
      </c>
      <c r="AA23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38" s="2" t="inlineStr">
        <is>
          <t>original_files/R04111/fulltext/fulltext__published__4e16411a50808da0.pdf</t>
        </is>
      </c>
      <c r="AC238" s="2" t="inlineStr"/>
      <c r="AD238" s="2" t="inlineStr">
        <is>
          <t>https://github.com/Colliam-Vermilion/FirstCodex/blob/results/ad-oxygen-literature-20261006/results/ad-oxygen-literature-20261006/original_files/R04111/fulltext/fulltext__published__4e16411a50808da0.pdf</t>
        </is>
      </c>
    </row>
    <row r="239" ht="48" customHeight="1">
      <c r="A239" s="3" t="inlineStr">
        <is>
          <t>R04119</t>
        </is>
      </c>
      <c r="B239" s="3" t="inlineStr">
        <is>
          <t>Microbial pretreatment of lignocellulosic biomass for enhanced biomethanation and waste management</t>
        </is>
      </c>
      <c r="C239" s="3" t="inlineStr">
        <is>
          <t>2018</t>
        </is>
      </c>
      <c r="D239" s="3" t="inlineStr">
        <is>
          <t>2018</t>
        </is>
      </c>
      <c r="E239" s="3" t="inlineStr">
        <is>
          <t>10.1007/s13205-018-1480-z</t>
        </is>
      </c>
      <c r="F239" s="3" t="inlineStr">
        <is>
          <t>综述</t>
        </is>
      </c>
      <c r="G239" s="3" t="inlineStr">
        <is>
          <t>4 综述</t>
        </is>
      </c>
      <c r="H239" s="3" t="inlineStr">
        <is>
          <t>是</t>
        </is>
      </c>
      <c r="I239" s="3" t="inlineStr">
        <is>
          <t>综述</t>
        </is>
      </c>
      <c r="J239" s="3" t="inlineStr">
        <is>
          <t>是</t>
        </is>
      </c>
      <c r="K239" s="3" t="inlineStr">
        <is>
          <t>3 Biotech</t>
        </is>
      </c>
      <c r="L239" s="3" t="inlineStr">
        <is>
          <t>3 Biotech</t>
        </is>
      </c>
      <c r="M239" s="3" t="inlineStr">
        <is>
          <t>2190-572X</t>
        </is>
      </c>
      <c r="N239" s="3" t="inlineStr">
        <is>
          <t>2190-5738</t>
        </is>
      </c>
      <c r="O239" s="3" t="inlineStr">
        <is>
          <t>已取得核验全文</t>
        </is>
      </c>
      <c r="P239" s="3" t="inlineStr">
        <is>
          <t>是</t>
        </is>
      </c>
      <c r="Q239" s="3" t="inlineStr">
        <is>
          <t>当前无补充材料原件；沿用既有缺失/无附件证据，不据此认定无附件</t>
        </is>
      </c>
      <c r="R239" s="3" t="n">
        <v>2024</v>
      </c>
      <c r="S239" s="3" t="inlineStr">
        <is>
          <t>2025发布版（2024指标年）</t>
        </is>
      </c>
      <c r="T239" s="3" t="inlineStr">
        <is>
          <t>BIOTECHNOLOGY &amp; APPLIED MICROBIOLOGY</t>
        </is>
      </c>
      <c r="U239" s="3" t="inlineStr">
        <is>
          <t>BIOTECHNOLOGY &amp; APPLIED MICROBIOLOGY: Q2</t>
        </is>
      </c>
      <c r="V239" s="3" t="inlineStr">
        <is>
          <t>否</t>
        </is>
      </c>
      <c r="W239" s="3" t="inlineStr">
        <is>
          <t>否</t>
        </is>
      </c>
      <c r="X239" s="3" t="inlineStr">
        <is>
          <t>是</t>
        </is>
      </c>
      <c r="Y239" s="3" t="inlineStr">
        <is>
          <t>https://topj.lib.whu.edu.cn/show.asp?cat=sci&amp;id=2819</t>
        </is>
      </c>
      <c r="Z239" s="3" t="inlineStr">
        <is>
          <t>https://api.crossref.org/works/10.1007/s13205-018-1480-z</t>
        </is>
      </c>
      <c r="AA23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39" s="3" t="inlineStr">
        <is>
          <t>original_files/R04119/fulltext/fulltext__published__c9b1902447e38978.pdf</t>
        </is>
      </c>
      <c r="AC239" s="3" t="inlineStr"/>
      <c r="AD239" s="3" t="inlineStr">
        <is>
          <t>https://github.com/Colliam-Vermilion/FirstCodex/blob/results/ad-oxygen-literature-20261006/results/ad-oxygen-literature-20261006/original_files/R04119/fulltext/fulltext__published__c9b1902447e38978.pdf</t>
        </is>
      </c>
    </row>
    <row r="240" ht="48" customHeight="1">
      <c r="A240" s="2" t="inlineStr">
        <is>
          <t>R04186</t>
        </is>
      </c>
      <c r="B240" s="2" t="inlineStr">
        <is>
          <t>Optimizing the synergistic effect of sodium hydroxide/ultrasound pre-treatment of sludge</t>
        </is>
      </c>
      <c r="C240" s="2" t="inlineStr">
        <is>
          <t>2018</t>
        </is>
      </c>
      <c r="D240" s="2" t="inlineStr">
        <is>
          <t>2018</t>
        </is>
      </c>
      <c r="E240" s="2" t="inlineStr">
        <is>
          <t>10.1016/j.ultsonch.2018.07.005</t>
        </is>
      </c>
      <c r="F240" s="2" t="inlineStr">
        <is>
          <t>期刊文章</t>
        </is>
      </c>
      <c r="G240" s="2" t="inlineStr">
        <is>
          <t>5 排除</t>
        </is>
      </c>
      <c r="H240" s="2" t="inlineStr">
        <is>
          <t>否</t>
        </is>
      </c>
      <c r="I240" s="2" t="inlineStr">
        <is>
          <t>研究类</t>
        </is>
      </c>
      <c r="J240" s="2" t="inlineStr">
        <is>
          <t>否</t>
        </is>
      </c>
      <c r="K240" s="2" t="inlineStr">
        <is>
          <t>ULTRASONICS SONOCHEMISTRY</t>
        </is>
      </c>
      <c r="L240" s="2" t="inlineStr">
        <is>
          <t>Ultrasonics Sonochemistry</t>
        </is>
      </c>
      <c r="M240" s="2" t="inlineStr">
        <is>
          <t>1350-4177</t>
        </is>
      </c>
      <c r="N240" s="2" t="inlineStr"/>
      <c r="O240" s="2" t="inlineStr">
        <is>
          <t>未取得全文</t>
        </is>
      </c>
      <c r="P240" s="2" t="inlineStr">
        <is>
          <t>否</t>
        </is>
      </c>
      <c r="Q240" s="2" t="inlineStr">
        <is>
          <t>当前无补充材料原件；沿用既有缺失/无附件证据，不据此认定无附件</t>
        </is>
      </c>
      <c r="R240" s="2" t="n">
        <v>2024</v>
      </c>
      <c r="S240" s="2" t="inlineStr">
        <is>
          <t>2025发布版（2024指标年）</t>
        </is>
      </c>
      <c r="T240" s="2" t="inlineStr">
        <is>
          <t>ACOUSTICS; CHEMISTRY, MULTIDISCIPLINARY</t>
        </is>
      </c>
      <c r="U240" s="2" t="inlineStr">
        <is>
          <t>ACOUSTICS: Q1; CHEMISTRY, MULTIDISCIPLINARY: Q1</t>
        </is>
      </c>
      <c r="V240" s="4" t="inlineStr">
        <is>
          <t>是</t>
        </is>
      </c>
      <c r="W240" s="4" t="inlineStr">
        <is>
          <t>是</t>
        </is>
      </c>
      <c r="X240" s="2" t="inlineStr">
        <is>
          <t>是</t>
        </is>
      </c>
      <c r="Y240" s="2" t="inlineStr">
        <is>
          <t>https://topj.lib.whu.edu.cn/show.asp?cat=sci&amp;id=3541</t>
        </is>
      </c>
      <c r="Z240" s="2" t="inlineStr">
        <is>
          <t>https://api.crossref.org/works/10.1016/j.ultsonch.2018.07.005</t>
        </is>
      </c>
      <c r="AA24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40" s="2" t="inlineStr"/>
      <c r="AC240" s="2" t="inlineStr"/>
      <c r="AD240" s="2" t="inlineStr"/>
    </row>
    <row r="241" ht="48" customHeight="1">
      <c r="A241" s="3" t="inlineStr">
        <is>
          <t>R04269</t>
        </is>
      </c>
      <c r="B241" s="3" t="inlineStr">
        <is>
          <t>Re-engineering Domestic Septic Tanks into Biogas Tanks</t>
        </is>
      </c>
      <c r="C241" s="3" t="inlineStr">
        <is>
          <t>2018</t>
        </is>
      </c>
      <c r="D241" s="3" t="inlineStr">
        <is>
          <t>2018</t>
        </is>
      </c>
      <c r="E241" s="3" t="inlineStr">
        <is>
          <t>10.26796/jenrm.v2i0.45</t>
        </is>
      </c>
      <c r="F241" s="3" t="inlineStr">
        <is>
          <t>期刊文章</t>
        </is>
      </c>
      <c r="G241" s="3" t="inlineStr">
        <is>
          <t>5 排除</t>
        </is>
      </c>
      <c r="H241" s="3" t="inlineStr">
        <is>
          <t>否</t>
        </is>
      </c>
      <c r="I241" s="3" t="inlineStr">
        <is>
          <t>研究类</t>
        </is>
      </c>
      <c r="J241" s="3" t="inlineStr">
        <is>
          <t>否</t>
        </is>
      </c>
      <c r="K241" s="3" t="inlineStr">
        <is>
          <t>Journal of Energy and Natural Resource Management</t>
        </is>
      </c>
      <c r="L241" s="3" t="inlineStr">
        <is>
          <t>Journal of Energy and Natural Resource Management</t>
        </is>
      </c>
      <c r="M241" s="3" t="inlineStr"/>
      <c r="N241" s="3" t="inlineStr">
        <is>
          <t>2026-6189</t>
        </is>
      </c>
      <c r="O241" s="3" t="inlineStr">
        <is>
          <t>未取得全文</t>
        </is>
      </c>
      <c r="P241" s="3" t="inlineStr">
        <is>
          <t>否</t>
        </is>
      </c>
      <c r="Q241" s="3" t="inlineStr">
        <is>
          <t>当前无补充材料原件；沿用既有缺失/无附件证据，不据此认定无附件</t>
        </is>
      </c>
      <c r="R241" s="3" t="n">
        <v>2024</v>
      </c>
      <c r="S241" s="3" t="inlineStr">
        <is>
          <t>2025发布版（2024指标年）</t>
        </is>
      </c>
      <c r="T241" s="3" t="inlineStr"/>
      <c r="U241" s="3" t="inlineStr"/>
      <c r="V241" s="3" t="inlineStr">
        <is>
          <t>待核实</t>
        </is>
      </c>
      <c r="W241" s="3" t="inlineStr">
        <is>
          <t>待核实</t>
        </is>
      </c>
      <c r="X241" s="3" t="inlineStr">
        <is>
          <t>否</t>
        </is>
      </c>
      <c r="Y241" s="3" t="inlineStr"/>
      <c r="Z241" s="3" t="inlineStr">
        <is>
          <t>https://api.crossref.org/works/10.26796/jenrm.v2i0.45</t>
        </is>
      </c>
      <c r="AA241" s="3" t="inlineStr">
        <is>
          <t>2024指标年JCR分区未核实；空白不能当非Q1。需要2025发布版/2024指标年的JCR全部学科导出。</t>
        </is>
      </c>
      <c r="AB241" s="3" t="inlineStr"/>
      <c r="AC241" s="3" t="inlineStr"/>
      <c r="AD241" s="3" t="inlineStr"/>
    </row>
    <row r="242" ht="48" customHeight="1">
      <c r="A242" s="2" t="inlineStr">
        <is>
          <t>R04270</t>
        </is>
      </c>
      <c r="B242" s="2" t="inlineStr">
        <is>
          <t>Re-engineering Domestic Septic Tanks into Biogas Tanks</t>
        </is>
      </c>
      <c r="C242" s="2" t="inlineStr">
        <is>
          <t>2018</t>
        </is>
      </c>
      <c r="D242" s="2" t="inlineStr">
        <is>
          <t>2018</t>
        </is>
      </c>
      <c r="E242" s="2" t="inlineStr">
        <is>
          <t>10.26796/jenrm.v2i2.45</t>
        </is>
      </c>
      <c r="F242" s="2" t="inlineStr">
        <is>
          <t>期刊文章</t>
        </is>
      </c>
      <c r="G242" s="2" t="inlineStr">
        <is>
          <t>5 排除</t>
        </is>
      </c>
      <c r="H242" s="2" t="inlineStr">
        <is>
          <t>否</t>
        </is>
      </c>
      <c r="I242" s="2" t="inlineStr">
        <is>
          <t>研究类</t>
        </is>
      </c>
      <c r="J242" s="2" t="inlineStr">
        <is>
          <t>否</t>
        </is>
      </c>
      <c r="K242" s="2" t="inlineStr">
        <is>
          <t>Journal of Energy and Natural Resource Management</t>
        </is>
      </c>
      <c r="L242" s="2" t="inlineStr">
        <is>
          <t>Journal of Energy and Natural Resource Management</t>
        </is>
      </c>
      <c r="M242" s="2" t="inlineStr">
        <is>
          <t>2026-6189</t>
        </is>
      </c>
      <c r="N242" s="2" t="inlineStr"/>
      <c r="O242" s="2" t="inlineStr">
        <is>
          <t>未取得全文</t>
        </is>
      </c>
      <c r="P242" s="2" t="inlineStr">
        <is>
          <t>否</t>
        </is>
      </c>
      <c r="Q242" s="2" t="inlineStr">
        <is>
          <t>当前无补充材料原件；沿用既有缺失/无附件证据，不据此认定无附件</t>
        </is>
      </c>
      <c r="R242" s="2" t="n">
        <v>2024</v>
      </c>
      <c r="S242" s="2" t="inlineStr">
        <is>
          <t>2025发布版（2024指标年）</t>
        </is>
      </c>
      <c r="T242" s="2" t="inlineStr"/>
      <c r="U242" s="2" t="inlineStr"/>
      <c r="V242" s="2" t="inlineStr">
        <is>
          <t>待核实</t>
        </is>
      </c>
      <c r="W242" s="2" t="inlineStr">
        <is>
          <t>待核实</t>
        </is>
      </c>
      <c r="X242" s="2" t="inlineStr">
        <is>
          <t>否</t>
        </is>
      </c>
      <c r="Y242" s="2" t="inlineStr"/>
      <c r="Z242" s="2" t="inlineStr">
        <is>
          <t>https://api.crossref.org/works/10.26796/jenrm.v2i2.45</t>
        </is>
      </c>
      <c r="AA242" s="2" t="inlineStr">
        <is>
          <t>2024指标年JCR分区未核实；空白不能当非Q1。需要2025发布版/2024指标年的JCR全部学科导出。</t>
        </is>
      </c>
      <c r="AB242" s="2" t="inlineStr"/>
      <c r="AC242" s="2" t="inlineStr"/>
      <c r="AD242" s="2" t="inlineStr"/>
    </row>
    <row r="243" ht="48" customHeight="1">
      <c r="A243" s="3" t="inlineStr">
        <is>
          <t>R04278</t>
        </is>
      </c>
      <c r="B243" s="3" t="inlineStr">
        <is>
          <t>Removal of H2S in Biogas Using Hybrid Desulfurization Media</t>
        </is>
      </c>
      <c r="C243" s="3" t="inlineStr">
        <is>
          <t>2018</t>
        </is>
      </c>
      <c r="D243" s="3" t="inlineStr">
        <is>
          <t>2018</t>
        </is>
      </c>
      <c r="E243" s="3" t="inlineStr">
        <is>
          <t>10.17640/kswst.2018.26.2.35</t>
        </is>
      </c>
      <c r="F243" s="3" t="inlineStr">
        <is>
          <t>期刊文章</t>
        </is>
      </c>
      <c r="G243" s="3" t="inlineStr">
        <is>
          <t>5 排除</t>
        </is>
      </c>
      <c r="H243" s="3" t="inlineStr">
        <is>
          <t>否</t>
        </is>
      </c>
      <c r="I243" s="3" t="inlineStr">
        <is>
          <t>研究类</t>
        </is>
      </c>
      <c r="J243" s="3" t="inlineStr">
        <is>
          <t>否</t>
        </is>
      </c>
      <c r="K243" s="3" t="inlineStr">
        <is>
          <t>Journal of Korean Society of Water Science and Technology</t>
        </is>
      </c>
      <c r="L243" s="3" t="inlineStr">
        <is>
          <t>Journal of Korean Society of Water Science and Technology</t>
        </is>
      </c>
      <c r="M243" s="3" t="inlineStr">
        <is>
          <t>1225-7192</t>
        </is>
      </c>
      <c r="N243" s="3" t="inlineStr"/>
      <c r="O243" s="3" t="inlineStr">
        <is>
          <t>未取得全文</t>
        </is>
      </c>
      <c r="P243" s="3" t="inlineStr">
        <is>
          <t>否</t>
        </is>
      </c>
      <c r="Q243" s="3" t="inlineStr">
        <is>
          <t>当前无补充材料原件；沿用既有缺失/无附件证据，不据此认定无附件</t>
        </is>
      </c>
      <c r="R243" s="3" t="n">
        <v>2024</v>
      </c>
      <c r="S243" s="3" t="inlineStr">
        <is>
          <t>2025发布版（2024指标年）</t>
        </is>
      </c>
      <c r="T243" s="3" t="inlineStr"/>
      <c r="U243" s="3" t="inlineStr"/>
      <c r="V243" s="3" t="inlineStr">
        <is>
          <t>待核实</t>
        </is>
      </c>
      <c r="W243" s="3" t="inlineStr">
        <is>
          <t>待核实</t>
        </is>
      </c>
      <c r="X243" s="3" t="inlineStr">
        <is>
          <t>否</t>
        </is>
      </c>
      <c r="Y243" s="3" t="inlineStr"/>
      <c r="Z243" s="3" t="inlineStr">
        <is>
          <t>https://api.crossref.org/works/10.17640/kswst.2018.26.2.35</t>
        </is>
      </c>
      <c r="AA243" s="3" t="inlineStr">
        <is>
          <t>2024指标年JCR分区未核实；空白不能当非Q1。需要2025发布版/2024指标年的JCR全部学科导出。</t>
        </is>
      </c>
      <c r="AB243" s="3" t="inlineStr"/>
      <c r="AC243" s="3" t="inlineStr"/>
      <c r="AD243" s="3" t="inlineStr"/>
    </row>
    <row r="244" ht="48" customHeight="1">
      <c r="A244" s="2" t="inlineStr">
        <is>
          <t>R04332</t>
        </is>
      </c>
      <c r="B244" s="2" t="inlineStr">
        <is>
          <t>Sub- and supercritical water oxidation of anaerobic fermentation sludge for carbon and nitrogen recovery in a regenerative life support system</t>
        </is>
      </c>
      <c r="C244" s="2" t="inlineStr">
        <is>
          <t>2018</t>
        </is>
      </c>
      <c r="D244" s="2" t="inlineStr">
        <is>
          <t>2018</t>
        </is>
      </c>
      <c r="E244" s="2" t="inlineStr">
        <is>
          <t>10.1016/j.wasman.2018.04.008</t>
        </is>
      </c>
      <c r="F244" s="2" t="inlineStr">
        <is>
          <t>期刊文章</t>
        </is>
      </c>
      <c r="G244" s="2" t="inlineStr">
        <is>
          <t>5 排除</t>
        </is>
      </c>
      <c r="H244" s="2" t="inlineStr">
        <is>
          <t>否</t>
        </is>
      </c>
      <c r="I244" s="2" t="inlineStr">
        <is>
          <t>研究类</t>
        </is>
      </c>
      <c r="J244" s="2" t="inlineStr">
        <is>
          <t>否</t>
        </is>
      </c>
      <c r="K244" s="2" t="inlineStr">
        <is>
          <t>Waste Management</t>
        </is>
      </c>
      <c r="L244" s="2" t="inlineStr">
        <is>
          <t>Waste Management</t>
        </is>
      </c>
      <c r="M244" s="2" t="inlineStr">
        <is>
          <t>0956-053X</t>
        </is>
      </c>
      <c r="N244" s="2" t="inlineStr"/>
      <c r="O244" s="2" t="inlineStr">
        <is>
          <t>未取得全文</t>
        </is>
      </c>
      <c r="P244" s="2" t="inlineStr">
        <is>
          <t>否</t>
        </is>
      </c>
      <c r="Q244" s="2" t="inlineStr">
        <is>
          <t>当前无补充材料原件；沿用既有缺失/无附件证据，不据此认定无附件</t>
        </is>
      </c>
      <c r="R244" s="2" t="n">
        <v>2024</v>
      </c>
      <c r="S244" s="2" t="inlineStr">
        <is>
          <t>2025发布版（2024指标年）</t>
        </is>
      </c>
      <c r="T244" s="2" t="inlineStr">
        <is>
          <t>ENGINEERING, ENVIRONMENTAL; ENVIRONMENTAL SCIENCES</t>
        </is>
      </c>
      <c r="U244" s="2" t="inlineStr">
        <is>
          <t>ENGINEERING, ENVIRONMENTAL: Q1; ENVIRONMENTAL SCIENCES: Q1</t>
        </is>
      </c>
      <c r="V244" s="4" t="inlineStr">
        <is>
          <t>是</t>
        </is>
      </c>
      <c r="W244" s="4" t="inlineStr">
        <is>
          <t>是</t>
        </is>
      </c>
      <c r="X244" s="2" t="inlineStr">
        <is>
          <t>是</t>
        </is>
      </c>
      <c r="Y244" s="2" t="inlineStr">
        <is>
          <t>https://topj.lib.whu.edu.cn/show.asp?cat=zk&amp;id=4000</t>
        </is>
      </c>
      <c r="Z244" s="2" t="inlineStr">
        <is>
          <t>https://api.crossref.org/works/10.1016/j.wasman.2018.04.008</t>
        </is>
      </c>
      <c r="AA24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44" s="2" t="inlineStr"/>
      <c r="AC244" s="2" t="inlineStr"/>
      <c r="AD244" s="2" t="inlineStr"/>
    </row>
    <row r="245" ht="48" customHeight="1">
      <c r="A245" s="3" t="inlineStr">
        <is>
          <t>R04350</t>
        </is>
      </c>
      <c r="B245" s="3" t="inlineStr">
        <is>
          <t>Temperature-Phased Biological Hydrolysis and Thermal Hydrolysis Pretreatment for Anaerobic Digestion Performance Enhancement</t>
        </is>
      </c>
      <c r="C245" s="3" t="inlineStr">
        <is>
          <t>2018</t>
        </is>
      </c>
      <c r="D245" s="3" t="inlineStr">
        <is>
          <t>2018</t>
        </is>
      </c>
      <c r="E245" s="3" t="inlineStr">
        <is>
          <t>10.3390/w10121812</t>
        </is>
      </c>
      <c r="F245" s="3" t="inlineStr">
        <is>
          <t>期刊文章</t>
        </is>
      </c>
      <c r="G245" s="3" t="inlineStr">
        <is>
          <t>5 排除</t>
        </is>
      </c>
      <c r="H245" s="3" t="inlineStr">
        <is>
          <t>否</t>
        </is>
      </c>
      <c r="I245" s="3" t="inlineStr">
        <is>
          <t>研究类</t>
        </is>
      </c>
      <c r="J245" s="3" t="inlineStr">
        <is>
          <t>否</t>
        </is>
      </c>
      <c r="K245" s="3" t="inlineStr">
        <is>
          <t>WATER</t>
        </is>
      </c>
      <c r="L245" s="3" t="inlineStr">
        <is>
          <t>Water</t>
        </is>
      </c>
      <c r="M245" s="3" t="inlineStr"/>
      <c r="N245" s="3" t="inlineStr">
        <is>
          <t>2073-4441</t>
        </is>
      </c>
      <c r="O245" s="3" t="inlineStr">
        <is>
          <t>未取得全文</t>
        </is>
      </c>
      <c r="P245" s="3" t="inlineStr">
        <is>
          <t>否</t>
        </is>
      </c>
      <c r="Q245" s="3" t="inlineStr">
        <is>
          <t>当前无补充材料原件；沿用既有缺失/无附件证据，不据此认定无附件</t>
        </is>
      </c>
      <c r="R245" s="3" t="n">
        <v>2024</v>
      </c>
      <c r="S245" s="3" t="inlineStr">
        <is>
          <t>2025发布版（2024指标年）</t>
        </is>
      </c>
      <c r="T245" s="3" t="inlineStr">
        <is>
          <t>WATER RESOURCES; ENVIRONMENTAL SCIENCES</t>
        </is>
      </c>
      <c r="U245" s="3" t="inlineStr">
        <is>
          <t>WATER RESOURCES: Q2; ENVIRONMENTAL SCIENCES: Q3</t>
        </is>
      </c>
      <c r="V245" s="3" t="inlineStr">
        <is>
          <t>否</t>
        </is>
      </c>
      <c r="W245" s="3" t="inlineStr">
        <is>
          <t>否</t>
        </is>
      </c>
      <c r="X245" s="3" t="inlineStr">
        <is>
          <t>是</t>
        </is>
      </c>
      <c r="Y245" s="3" t="inlineStr">
        <is>
          <t>https://topj.lib.whu.edu.cn/show.asp?cat=esi&amp;id=12057</t>
        </is>
      </c>
      <c r="Z245" s="3" t="inlineStr">
        <is>
          <t>https://api.crossref.org/works/10.3390/w10121812</t>
        </is>
      </c>
      <c r="AA24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45" s="3" t="inlineStr"/>
      <c r="AC245" s="3" t="inlineStr"/>
      <c r="AD245" s="3" t="inlineStr"/>
    </row>
    <row r="246" ht="48" customHeight="1">
      <c r="A246" s="2" t="inlineStr">
        <is>
          <t>R04605</t>
        </is>
      </c>
      <c r="B246" s="2" t="inlineStr">
        <is>
          <t>Characteristics of Ultra-Fine Bubble Water and Its Effects on Anaerobic Digestion of Waste Activated Sludge</t>
        </is>
      </c>
      <c r="C246" s="2" t="inlineStr">
        <is>
          <t>2019</t>
        </is>
      </c>
      <c r="D246" s="2" t="inlineStr">
        <is>
          <t>2019</t>
        </is>
      </c>
      <c r="E246" s="2" t="inlineStr">
        <is>
          <t>10.15068/00158028</t>
        </is>
      </c>
      <c r="F246" s="2" t="inlineStr">
        <is>
          <t>博士学位论文</t>
        </is>
      </c>
      <c r="G246" s="2" t="inlineStr">
        <is>
          <t>1 直接向 AD 反应器或内部循环系统供氧</t>
        </is>
      </c>
      <c r="H246" s="2" t="inlineStr">
        <is>
          <t>是</t>
        </is>
      </c>
      <c r="I246" s="2" t="inlineStr">
        <is>
          <t>学位/学生报告</t>
        </is>
      </c>
      <c r="J246" s="2" t="inlineStr">
        <is>
          <t>否</t>
        </is>
      </c>
      <c r="K246" s="2" t="inlineStr"/>
      <c r="L246" s="2" t="inlineStr"/>
      <c r="M246" s="2" t="inlineStr"/>
      <c r="N246" s="2" t="inlineStr"/>
      <c r="O246" s="2" t="inlineStr">
        <is>
          <t>未取得全文（上传件身份错配/相关版本，目标正文缺失）</t>
        </is>
      </c>
      <c r="P246" s="2" t="inlineStr">
        <is>
          <t>否</t>
        </is>
      </c>
      <c r="Q246" s="2" t="inlineStr">
        <is>
          <t>当前无补充材料原件；沿用既有缺失/无附件证据，不据此认定无附件</t>
        </is>
      </c>
      <c r="R246" s="2" t="inlineStr"/>
      <c r="S246" s="2" t="inlineStr"/>
      <c r="T246" s="2" t="inlineStr"/>
      <c r="U246" s="2" t="inlineStr"/>
      <c r="V246" s="2" t="inlineStr">
        <is>
          <t>不适用</t>
        </is>
      </c>
      <c r="W246" s="2" t="inlineStr">
        <is>
          <t>不适用</t>
        </is>
      </c>
      <c r="X246" s="2" t="inlineStr">
        <is>
          <t>不适用</t>
        </is>
      </c>
      <c r="Y246" s="2" t="inlineStr"/>
      <c r="Z246" s="2" t="inlineStr"/>
      <c r="AA246" s="2" t="inlineStr">
        <is>
          <t>既有DOI未由Crossref返回可用元数据（可能为DataCite/JaLC等）；不据此否认记录身份 | 非目标期刊论文或类型待核实，不进入JCR分母 | 上传7页Bioresource Technology 273 (2019) 63–69期刊文章，不是目标Wang Di博士学位全文；同研究关联待核实，未另增文献ID</t>
        </is>
      </c>
      <c r="AB246" s="2" t="inlineStr"/>
      <c r="AC246" s="2" t="inlineStr"/>
      <c r="AD246" s="2" t="inlineStr"/>
    </row>
    <row r="247" ht="48" customHeight="1">
      <c r="A247" s="3" t="inlineStr">
        <is>
          <t>R04646</t>
        </is>
      </c>
      <c r="B247" s="3" t="inlineStr">
        <is>
          <t>Coupling intermittent micro-aeration to anaerobic digestion improves tetra-azo dye Direct Black 22 treatment in sequencing batch reactors</t>
        </is>
      </c>
      <c r="C247" s="3" t="inlineStr">
        <is>
          <t>2019</t>
        </is>
      </c>
      <c r="D247" s="3" t="inlineStr">
        <is>
          <t>2019</t>
        </is>
      </c>
      <c r="E247" s="3" t="inlineStr">
        <is>
          <t>10.1016/j.cherd.2019.04.020</t>
        </is>
      </c>
      <c r="F247" s="3" t="inlineStr">
        <is>
          <t>期刊文章</t>
        </is>
      </c>
      <c r="G247" s="3" t="inlineStr">
        <is>
          <t>1 直接向 AD 反应器或内部循环系统供氧</t>
        </is>
      </c>
      <c r="H247" s="3" t="inlineStr">
        <is>
          <t>是</t>
        </is>
      </c>
      <c r="I247" s="3" t="inlineStr">
        <is>
          <t>研究类</t>
        </is>
      </c>
      <c r="J247" s="3" t="inlineStr">
        <is>
          <t>是</t>
        </is>
      </c>
      <c r="K247" s="3" t="inlineStr">
        <is>
          <t>Chemical Engineering Research and Design</t>
        </is>
      </c>
      <c r="L247" s="3" t="inlineStr">
        <is>
          <t>Chemical Engineering Research and Design</t>
        </is>
      </c>
      <c r="M247" s="3" t="inlineStr">
        <is>
          <t>0263-8762</t>
        </is>
      </c>
      <c r="N247" s="3" t="inlineStr"/>
      <c r="O247" s="3" t="inlineStr">
        <is>
          <t>已取得核验全文</t>
        </is>
      </c>
      <c r="P247" s="3" t="inlineStr">
        <is>
          <t>是</t>
        </is>
      </c>
      <c r="Q247" s="3" t="inlineStr">
        <is>
          <t>当前无补充材料原件；沿用既有缺失/无附件证据，不据此认定无附件</t>
        </is>
      </c>
      <c r="R247" s="3" t="n">
        <v>2024</v>
      </c>
      <c r="S247" s="3" t="inlineStr">
        <is>
          <t>2025发布版（2024指标年）</t>
        </is>
      </c>
      <c r="T247" s="3" t="inlineStr"/>
      <c r="U247" s="3" t="inlineStr"/>
      <c r="V247" s="3" t="inlineStr">
        <is>
          <t>待核实</t>
        </is>
      </c>
      <c r="W247" s="3" t="inlineStr">
        <is>
          <t>待核实</t>
        </is>
      </c>
      <c r="X247" s="3" t="inlineStr">
        <is>
          <t>否</t>
        </is>
      </c>
      <c r="Y247" s="3" t="inlineStr"/>
      <c r="Z247" s="3" t="inlineStr">
        <is>
          <t>https://api.crossref.org/works/10.1016/j.cherd.2019.04.020</t>
        </is>
      </c>
      <c r="AA247" s="3" t="inlineStr">
        <is>
          <t>2024指标年JCR分区未核实；空白不能当非Q1。需要2025发布版/2024指标年的JCR全部学科导出。</t>
        </is>
      </c>
      <c r="AB247" s="3" t="inlineStr">
        <is>
          <t>original_files/R04646/fulltext/fulltext__published__e1d4e0f3c97d519f.pdf</t>
        </is>
      </c>
      <c r="AC247" s="3" t="inlineStr"/>
      <c r="AD247" s="3" t="inlineStr">
        <is>
          <t>https://github.com/Colliam-Vermilion/FirstCodex/blob/results/ad-oxygen-literature-20261006/results/ad-oxygen-literature-20261006/original_files/R04646/fulltext/fulltext__published__e1d4e0f3c97d519f.pdf</t>
        </is>
      </c>
    </row>
    <row r="248" ht="48" customHeight="1">
      <c r="A248" s="2" t="inlineStr">
        <is>
          <t>R04689</t>
        </is>
      </c>
      <c r="B248" s="2" t="inlineStr">
        <is>
          <t>Effect of CO2 and metal-rich waste water on bioproduct potential of the diazotrophic freshwater cyanobacterium, Tolypothrix sp.</t>
        </is>
      </c>
      <c r="C248" s="2" t="inlineStr">
        <is>
          <t>2019</t>
        </is>
      </c>
      <c r="D248" s="2" t="inlineStr">
        <is>
          <t>2019</t>
        </is>
      </c>
      <c r="E248" s="2" t="inlineStr">
        <is>
          <t>10.1016/j.heliyon.2019.e01549</t>
        </is>
      </c>
      <c r="F248" s="2" t="inlineStr">
        <is>
          <t>期刊文章</t>
        </is>
      </c>
      <c r="G248" s="2" t="inlineStr">
        <is>
          <t>5 排除</t>
        </is>
      </c>
      <c r="H248" s="2" t="inlineStr">
        <is>
          <t>否</t>
        </is>
      </c>
      <c r="I248" s="2" t="inlineStr">
        <is>
          <t>研究类</t>
        </is>
      </c>
      <c r="J248" s="2" t="inlineStr">
        <is>
          <t>否</t>
        </is>
      </c>
      <c r="K248" s="2" t="inlineStr">
        <is>
          <t>Heliyon</t>
        </is>
      </c>
      <c r="L248" s="2" t="inlineStr">
        <is>
          <t>Heliyon</t>
        </is>
      </c>
      <c r="M248" s="2" t="inlineStr">
        <is>
          <t>2405-8440</t>
        </is>
      </c>
      <c r="N248" s="2" t="inlineStr"/>
      <c r="O248" s="2" t="inlineStr">
        <is>
          <t>未取得全文</t>
        </is>
      </c>
      <c r="P248" s="2" t="inlineStr">
        <is>
          <t>否</t>
        </is>
      </c>
      <c r="Q248" s="2" t="inlineStr">
        <is>
          <t>当前无补充材料原件；沿用既有缺失/无附件证据，不据此认定无附件</t>
        </is>
      </c>
      <c r="R248" s="2" t="n">
        <v>2024</v>
      </c>
      <c r="S248" s="2" t="inlineStr">
        <is>
          <t>2025发布版（2024指标年）</t>
        </is>
      </c>
      <c r="T248" s="2" t="inlineStr"/>
      <c r="U248" s="2" t="inlineStr"/>
      <c r="V248" s="2" t="inlineStr">
        <is>
          <t>待核实</t>
        </is>
      </c>
      <c r="W248" s="2" t="inlineStr">
        <is>
          <t>待核实</t>
        </is>
      </c>
      <c r="X248" s="2" t="inlineStr">
        <is>
          <t>否</t>
        </is>
      </c>
      <c r="Y248" s="2" t="inlineStr"/>
      <c r="Z248" s="2" t="inlineStr">
        <is>
          <t>https://api.crossref.org/works/10.1016/j.heliyon.2019.e01549</t>
        </is>
      </c>
      <c r="AA248" s="2" t="inlineStr">
        <is>
          <t>2024指标年JCR分区未核实；空白不能当非Q1。需要2025发布版/2024指标年的JCR全部学科导出。</t>
        </is>
      </c>
      <c r="AB248" s="2" t="inlineStr"/>
      <c r="AC248" s="2" t="inlineStr"/>
      <c r="AD248" s="2" t="inlineStr"/>
    </row>
    <row r="249" ht="48" customHeight="1">
      <c r="A249" s="3" t="inlineStr">
        <is>
          <t>R04700</t>
        </is>
      </c>
      <c r="B249" s="3" t="inlineStr">
        <is>
          <t>Effect of aeration by micro - bubbles on methane production in anaerobic digestion</t>
        </is>
      </c>
      <c r="C249" s="3" t="inlineStr">
        <is>
          <t>2019</t>
        </is>
      </c>
      <c r="D249" s="3" t="inlineStr">
        <is>
          <t>2019</t>
        </is>
      </c>
      <c r="E249" s="3" t="inlineStr"/>
      <c r="F249" s="3" t="inlineStr">
        <is>
          <t>学位论文/Additional Thesis（非期刊文章）</t>
        </is>
      </c>
      <c r="G249" s="3" t="inlineStr">
        <is>
          <t>3 独立好氧或微好氧预处理</t>
        </is>
      </c>
      <c r="H249" s="3" t="inlineStr">
        <is>
          <t>是</t>
        </is>
      </c>
      <c r="I249" s="3" t="inlineStr">
        <is>
          <t>学位/学生报告</t>
        </is>
      </c>
      <c r="J249" s="3" t="inlineStr">
        <is>
          <t>否</t>
        </is>
      </c>
      <c r="K249" s="3" t="inlineStr">
        <is>
          <t>Research Repository (Delft University of Technology)</t>
        </is>
      </c>
      <c r="L249" s="3" t="inlineStr">
        <is>
          <t>Research Repository (Delft University of Technology)</t>
        </is>
      </c>
      <c r="M249" s="3" t="inlineStr"/>
      <c r="N249" s="3" t="inlineStr"/>
      <c r="O249" s="3" t="inlineStr">
        <is>
          <t>已取得核验全文</t>
        </is>
      </c>
      <c r="P249" s="3" t="inlineStr">
        <is>
          <t>是</t>
        </is>
      </c>
      <c r="Q249" s="3" t="inlineStr">
        <is>
          <t>当前无补充材料原件；沿用既有缺失/无附件证据，不据此认定无附件</t>
        </is>
      </c>
      <c r="R249" s="3" t="inlineStr"/>
      <c r="S249" s="3" t="inlineStr"/>
      <c r="T249" s="3" t="inlineStr"/>
      <c r="U249" s="3" t="inlineStr"/>
      <c r="V249" s="3" t="inlineStr">
        <is>
          <t>不适用</t>
        </is>
      </c>
      <c r="W249" s="3" t="inlineStr">
        <is>
          <t>不适用</t>
        </is>
      </c>
      <c r="X249" s="3" t="inlineStr">
        <is>
          <t>不适用</t>
        </is>
      </c>
      <c r="Y249" s="3" t="inlineStr"/>
      <c r="Z249" s="3" t="inlineStr"/>
      <c r="AA249" s="3" t="inlineStr">
        <is>
          <t>非目标期刊论文或类型待核实，不进入JCR分母</t>
        </is>
      </c>
      <c r="AB249" s="3" t="inlineStr">
        <is>
          <t>original_files/R04700/fulltext/fulltext__thesis__40ac0de29f75851c.pdf</t>
        </is>
      </c>
      <c r="AC249" s="3" t="inlineStr"/>
      <c r="AD249" s="3" t="inlineStr">
        <is>
          <t>https://github.com/Colliam-Vermilion/FirstCodex/blob/results/ad-oxygen-literature-20261006/results/ad-oxygen-literature-20261006/original_files/R04700/fulltext/fulltext__thesis__40ac0de29f75851c.pdf</t>
        </is>
      </c>
    </row>
    <row r="250" ht="48" customHeight="1">
      <c r="A250" s="2" t="inlineStr">
        <is>
          <t>R04719</t>
        </is>
      </c>
      <c r="B250" s="2" t="inlineStr">
        <is>
          <t>Effect of trace oxygen on H 2 S removal in anaerobic digestion</t>
        </is>
      </c>
      <c r="C250" s="2" t="inlineStr">
        <is>
          <t>2019</t>
        </is>
      </c>
      <c r="D250" s="2" t="inlineStr">
        <is>
          <t>2019</t>
        </is>
      </c>
      <c r="E250" s="2" t="inlineStr">
        <is>
          <t>10.22805/jit.2019.39.1.021</t>
        </is>
      </c>
      <c r="F250" s="2" t="inlineStr">
        <is>
          <t>期刊文章</t>
        </is>
      </c>
      <c r="G250" s="2" t="inlineStr">
        <is>
          <t>5 排除</t>
        </is>
      </c>
      <c r="H250" s="2" t="inlineStr">
        <is>
          <t>否</t>
        </is>
      </c>
      <c r="I250" s="2" t="inlineStr">
        <is>
          <t>研究类</t>
        </is>
      </c>
      <c r="J250" s="2" t="inlineStr">
        <is>
          <t>否</t>
        </is>
      </c>
      <c r="K250" s="2" t="inlineStr">
        <is>
          <t>Journal of industrial technology</t>
        </is>
      </c>
      <c r="L250" s="2" t="inlineStr">
        <is>
          <t>Journal of industrial technology</t>
        </is>
      </c>
      <c r="M250" s="2" t="inlineStr"/>
      <c r="N250" s="2" t="inlineStr"/>
      <c r="O250" s="2" t="inlineStr">
        <is>
          <t>未取得全文</t>
        </is>
      </c>
      <c r="P250" s="2" t="inlineStr">
        <is>
          <t>否</t>
        </is>
      </c>
      <c r="Q250" s="2" t="inlineStr">
        <is>
          <t>当前无补充材料原件；沿用既有缺失/无附件证据，不据此认定无附件</t>
        </is>
      </c>
      <c r="R250" s="2" t="n">
        <v>2024</v>
      </c>
      <c r="S250" s="2" t="inlineStr">
        <is>
          <t>2025发布版（2024指标年）</t>
        </is>
      </c>
      <c r="T250" s="2" t="inlineStr"/>
      <c r="U250" s="2" t="inlineStr"/>
      <c r="V250" s="2" t="inlineStr">
        <is>
          <t>待核实</t>
        </is>
      </c>
      <c r="W250" s="2" t="inlineStr">
        <is>
          <t>待核实</t>
        </is>
      </c>
      <c r="X250" s="2" t="inlineStr">
        <is>
          <t>否</t>
        </is>
      </c>
      <c r="Y250" s="2" t="inlineStr"/>
      <c r="Z250" s="2" t="inlineStr"/>
      <c r="AA250" s="2" t="inlineStr">
        <is>
          <t>既有DOI未由Crossref返回可用元数据（可能为DataCite/JaLC等）；不据此否认记录身份 | 2024指标年JCR分区未核实；空白不能当非Q1。需要2025发布版/2024指标年的JCR全部学科导出。</t>
        </is>
      </c>
      <c r="AB250" s="2" t="inlineStr"/>
      <c r="AC250" s="2" t="inlineStr"/>
      <c r="AD250" s="2" t="inlineStr"/>
    </row>
    <row r="251" ht="48" customHeight="1">
      <c r="A251" s="3" t="inlineStr">
        <is>
          <t>R04796</t>
        </is>
      </c>
      <c r="B251" s="3" t="inlineStr">
        <is>
          <t>Evaluation of Hydrogen Sulfide Scrubbing Systems for Anaerobic Digesters on Two U.S. Dairy Farms</t>
        </is>
      </c>
      <c r="C251" s="3" t="inlineStr">
        <is>
          <t>2019</t>
        </is>
      </c>
      <c r="D251" s="3" t="inlineStr">
        <is>
          <t>2019</t>
        </is>
      </c>
      <c r="E251" s="3" t="inlineStr">
        <is>
          <t>10.3390/en12244605</t>
        </is>
      </c>
      <c r="F251" s="3" t="inlineStr">
        <is>
          <t>期刊文章</t>
        </is>
      </c>
      <c r="G251" s="3" t="inlineStr">
        <is>
          <t>1 直接向 AD 反应器或内部循环系统供氧</t>
        </is>
      </c>
      <c r="H251" s="3" t="inlineStr">
        <is>
          <t>是</t>
        </is>
      </c>
      <c r="I251" s="3" t="inlineStr">
        <is>
          <t>研究类</t>
        </is>
      </c>
      <c r="J251" s="3" t="inlineStr">
        <is>
          <t>是</t>
        </is>
      </c>
      <c r="K251" s="3" t="inlineStr">
        <is>
          <t>Energies</t>
        </is>
      </c>
      <c r="L251" s="3" t="inlineStr">
        <is>
          <t>Energies</t>
        </is>
      </c>
      <c r="M251" s="3" t="inlineStr"/>
      <c r="N251" s="3" t="inlineStr">
        <is>
          <t>1996-1073</t>
        </is>
      </c>
      <c r="O251" s="3" t="inlineStr">
        <is>
          <t>已取得核验全文</t>
        </is>
      </c>
      <c r="P251" s="3" t="inlineStr">
        <is>
          <t>是</t>
        </is>
      </c>
      <c r="Q251" s="3" t="inlineStr">
        <is>
          <t>当前无补充材料原件；沿用既有缺失/无附件证据，不据此认定无附件</t>
        </is>
      </c>
      <c r="R251" s="3" t="n">
        <v>2024</v>
      </c>
      <c r="S251" s="3" t="inlineStr">
        <is>
          <t>2025发布版（2024指标年）</t>
        </is>
      </c>
      <c r="T251" s="3" t="inlineStr"/>
      <c r="U251" s="3" t="inlineStr"/>
      <c r="V251" s="3" t="inlineStr">
        <is>
          <t>待核实</t>
        </is>
      </c>
      <c r="W251" s="3" t="inlineStr">
        <is>
          <t>待核实</t>
        </is>
      </c>
      <c r="X251" s="3" t="inlineStr">
        <is>
          <t>否</t>
        </is>
      </c>
      <c r="Y251" s="3" t="inlineStr"/>
      <c r="Z251" s="3" t="inlineStr">
        <is>
          <t>https://api.crossref.org/works/10.3390/en12244605</t>
        </is>
      </c>
      <c r="AA251" s="3" t="inlineStr">
        <is>
          <t>2024指标年JCR分区未核实；空白不能当非Q1。需要2025发布版/2024指标年的JCR全部学科导出。</t>
        </is>
      </c>
      <c r="AB251" s="3" t="inlineStr">
        <is>
          <t>original_files/R04796/fulltext/fulltext__published__6844f12fe56c174d.pdf</t>
        </is>
      </c>
      <c r="AC251" s="3" t="inlineStr"/>
      <c r="AD251" s="3" t="inlineStr">
        <is>
          <t>https://github.com/Colliam-Vermilion/FirstCodex/blob/results/ad-oxygen-literature-20261006/results/ad-oxygen-literature-20261006/original_files/R04796/fulltext/fulltext__published__6844f12fe56c174d.pdf</t>
        </is>
      </c>
    </row>
    <row r="252" ht="48" customHeight="1">
      <c r="A252" s="2" t="inlineStr">
        <is>
          <t>R04877</t>
        </is>
      </c>
      <c r="B252" s="2" t="inlineStr">
        <is>
          <t>Improving Post-Anaerobic Digestion of Full-Scale Anaerobic Digestate Using Free Ammonia Treatment</t>
        </is>
      </c>
      <c r="C252" s="2" t="inlineStr">
        <is>
          <t>2019</t>
        </is>
      </c>
      <c r="D252" s="2" t="inlineStr">
        <is>
          <t>2019</t>
        </is>
      </c>
      <c r="E252" s="2" t="inlineStr">
        <is>
          <t>10.1021/acssuschemeng.9b00152</t>
        </is>
      </c>
      <c r="F252" s="2" t="inlineStr">
        <is>
          <t>期刊文章</t>
        </is>
      </c>
      <c r="G252" s="2" t="inlineStr">
        <is>
          <t>5 排除</t>
        </is>
      </c>
      <c r="H252" s="2" t="inlineStr">
        <is>
          <t>否</t>
        </is>
      </c>
      <c r="I252" s="2" t="inlineStr">
        <is>
          <t>研究类</t>
        </is>
      </c>
      <c r="J252" s="2" t="inlineStr">
        <is>
          <t>否</t>
        </is>
      </c>
      <c r="K252" s="2" t="inlineStr">
        <is>
          <t>ACS Sustainable Chemistry &amp; Engineering</t>
        </is>
      </c>
      <c r="L252" s="2" t="inlineStr">
        <is>
          <t>ACS Sustainable Chemistry &amp;amp; Engineering</t>
        </is>
      </c>
      <c r="M252" s="2" t="inlineStr">
        <is>
          <t>2168-0485</t>
        </is>
      </c>
      <c r="N252" s="2" t="inlineStr">
        <is>
          <t>2168-0485</t>
        </is>
      </c>
      <c r="O252" s="2" t="inlineStr">
        <is>
          <t>未取得全文</t>
        </is>
      </c>
      <c r="P252" s="2" t="inlineStr">
        <is>
          <t>否</t>
        </is>
      </c>
      <c r="Q252" s="2" t="inlineStr">
        <is>
          <t>当前无补充材料原件；沿用既有缺失/无附件证据，不据此认定无附件</t>
        </is>
      </c>
      <c r="R252" s="2" t="n">
        <v>2024</v>
      </c>
      <c r="S252" s="2" t="inlineStr">
        <is>
          <t>2025发布版（2024指标年）</t>
        </is>
      </c>
      <c r="T252" s="2" t="inlineStr"/>
      <c r="U252" s="2" t="inlineStr"/>
      <c r="V252" s="2" t="inlineStr">
        <is>
          <t>待核实</t>
        </is>
      </c>
      <c r="W252" s="2" t="inlineStr">
        <is>
          <t>待核实</t>
        </is>
      </c>
      <c r="X252" s="2" t="inlineStr">
        <is>
          <t>否</t>
        </is>
      </c>
      <c r="Y252" s="2" t="inlineStr"/>
      <c r="Z252" s="2" t="inlineStr">
        <is>
          <t>https://api.crossref.org/works/10.1021/acssuschemeng.9b00152</t>
        </is>
      </c>
      <c r="AA252" s="2" t="inlineStr">
        <is>
          <t>2024指标年JCR分区未核实；空白不能当非Q1。需要2025发布版/2024指标年的JCR全部学科导出。</t>
        </is>
      </c>
      <c r="AB252" s="2" t="inlineStr"/>
      <c r="AC252" s="2" t="inlineStr"/>
      <c r="AD252" s="2" t="inlineStr"/>
    </row>
    <row r="253" ht="48" customHeight="1">
      <c r="A253" s="3" t="inlineStr">
        <is>
          <t>R04892</t>
        </is>
      </c>
      <c r="B253" s="3" t="inlineStr">
        <is>
          <t>Insights into the methanogenic degradation of N, N-dimethylformamide: The functional microorganisms and their ecological relationships</t>
        </is>
      </c>
      <c r="C253" s="3" t="inlineStr">
        <is>
          <t>2019</t>
        </is>
      </c>
      <c r="D253" s="3" t="inlineStr">
        <is>
          <t>2019</t>
        </is>
      </c>
      <c r="E253" s="3" t="inlineStr">
        <is>
          <t>10.1016/j.biortech.2018.09.074</t>
        </is>
      </c>
      <c r="F253" s="3" t="inlineStr">
        <is>
          <t>期刊文章</t>
        </is>
      </c>
      <c r="G253" s="3" t="inlineStr">
        <is>
          <t>5 排除</t>
        </is>
      </c>
      <c r="H253" s="3" t="inlineStr">
        <is>
          <t>否</t>
        </is>
      </c>
      <c r="I253" s="3" t="inlineStr">
        <is>
          <t>研究类</t>
        </is>
      </c>
      <c r="J253" s="3" t="inlineStr">
        <is>
          <t>否</t>
        </is>
      </c>
      <c r="K253" s="3" t="inlineStr">
        <is>
          <t>BIORESOURCE TECHNOLOGY</t>
        </is>
      </c>
      <c r="L253" s="3" t="inlineStr">
        <is>
          <t>Bioresource Technology</t>
        </is>
      </c>
      <c r="M253" s="3" t="inlineStr">
        <is>
          <t>0960-8524</t>
        </is>
      </c>
      <c r="N253" s="3" t="inlineStr"/>
      <c r="O253" s="3" t="inlineStr">
        <is>
          <t>未取得全文</t>
        </is>
      </c>
      <c r="P253" s="3" t="inlineStr">
        <is>
          <t>否</t>
        </is>
      </c>
      <c r="Q253" s="3" t="inlineStr">
        <is>
          <t>当前无补充材料原件；沿用既有缺失/无附件证据，不据此认定无附件</t>
        </is>
      </c>
      <c r="R253" s="3" t="n">
        <v>2024</v>
      </c>
      <c r="S253" s="3" t="inlineStr">
        <is>
          <t>2025发布版（2024指标年）</t>
        </is>
      </c>
      <c r="T253" s="3" t="inlineStr">
        <is>
          <t>AGRICULTURAL ENGINEERING; BIOTECHNOLOGY &amp; APPLIED MICROBIOLOGY; ENERGY &amp; FUELS</t>
        </is>
      </c>
      <c r="U253" s="3" t="inlineStr">
        <is>
          <t>AGRICULTURAL ENGINEERING: Q1; BIOTECHNOLOGY &amp; APPLIED MICROBIOLOGY: Q1; ENERGY &amp; FUELS: Q1</t>
        </is>
      </c>
      <c r="V253" s="4" t="inlineStr">
        <is>
          <t>是</t>
        </is>
      </c>
      <c r="W253" s="4" t="inlineStr">
        <is>
          <t>是</t>
        </is>
      </c>
      <c r="X253" s="3" t="inlineStr">
        <is>
          <t>是</t>
        </is>
      </c>
      <c r="Y253" s="3" t="inlineStr">
        <is>
          <t>https://topj.lib.whu.edu.cn/show.asp?cat=zk&amp;id=3976</t>
        </is>
      </c>
      <c r="Z253" s="3" t="inlineStr">
        <is>
          <t>https://api.crossref.org/works/10.1016/j.biortech.2018.09.074</t>
        </is>
      </c>
      <c r="AA25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53" s="3" t="inlineStr"/>
      <c r="AC253" s="3" t="inlineStr"/>
      <c r="AD253" s="3" t="inlineStr"/>
    </row>
    <row r="254" ht="48" customHeight="1">
      <c r="A254" s="2" t="inlineStr">
        <is>
          <t>R04922</t>
        </is>
      </c>
      <c r="B254" s="2" t="inlineStr">
        <is>
          <t>Long-term biogas desulfurization under different microaerobic conditions in full-scale thermophilic digesters co-digesting high-solid sewage sludge</t>
        </is>
      </c>
      <c r="C254" s="2" t="inlineStr">
        <is>
          <t>2019</t>
        </is>
      </c>
      <c r="D254" s="2" t="inlineStr">
        <is>
          <t>2019</t>
        </is>
      </c>
      <c r="E254" s="2" t="inlineStr">
        <is>
          <t>10.1016/j.ibiod.2019.05.017</t>
        </is>
      </c>
      <c r="F254" s="2" t="inlineStr">
        <is>
          <t>期刊文章</t>
        </is>
      </c>
      <c r="G254" s="2" t="inlineStr">
        <is>
          <t>1 直接向 AD 反应器或内部循环系统供氧</t>
        </is>
      </c>
      <c r="H254" s="2" t="inlineStr">
        <is>
          <t>是</t>
        </is>
      </c>
      <c r="I254" s="2" t="inlineStr">
        <is>
          <t>研究类</t>
        </is>
      </c>
      <c r="J254" s="2" t="inlineStr">
        <is>
          <t>是</t>
        </is>
      </c>
      <c r="K254" s="2" t="inlineStr">
        <is>
          <t>INTERNATIONAL BIODETERIORATION &amp; BIODEGRADATION</t>
        </is>
      </c>
      <c r="L254" s="2" t="inlineStr">
        <is>
          <t>International Biodeterioration &amp;amp; Biodegradation</t>
        </is>
      </c>
      <c r="M254" s="2" t="inlineStr">
        <is>
          <t>0964-8305</t>
        </is>
      </c>
      <c r="N254" s="2" t="inlineStr"/>
      <c r="O254" s="2" t="inlineStr">
        <is>
          <t>已取得核验全文</t>
        </is>
      </c>
      <c r="P254" s="2" t="inlineStr">
        <is>
          <t>是</t>
        </is>
      </c>
      <c r="Q254" s="2" t="inlineStr">
        <is>
          <t>当前无补充材料原件；沿用既有缺失/无附件证据，不据此认定无附件</t>
        </is>
      </c>
      <c r="R254" s="2" t="n">
        <v>2024</v>
      </c>
      <c r="S254" s="2" t="inlineStr">
        <is>
          <t>2025发布版（2024指标年）</t>
        </is>
      </c>
      <c r="T254" s="2" t="inlineStr">
        <is>
          <t>BIOTECHNOLOGY &amp; APPLIED MICROBIOLOGY; ENVIRONMENTAL SCIENCES</t>
        </is>
      </c>
      <c r="U254" s="2" t="inlineStr">
        <is>
          <t>BIOTECHNOLOGY &amp; APPLIED MICROBIOLOGY: Q2; ENVIRONMENTAL SCIENCES: Q2</t>
        </is>
      </c>
      <c r="V254" s="2" t="inlineStr">
        <is>
          <t>否</t>
        </is>
      </c>
      <c r="W254" s="2" t="inlineStr">
        <is>
          <t>否</t>
        </is>
      </c>
      <c r="X254" s="2" t="inlineStr">
        <is>
          <t>是</t>
        </is>
      </c>
      <c r="Y254" s="2" t="inlineStr">
        <is>
          <t>https://topj.lib.whu.edu.cn/show.asp?cat=sci&amp;id=7031</t>
        </is>
      </c>
      <c r="Z254" s="2" t="inlineStr">
        <is>
          <t>https://api.crossref.org/works/10.1016/j.ibiod.2019.05.017</t>
        </is>
      </c>
      <c r="AA25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54" s="2" t="inlineStr">
        <is>
          <t>original_files/R04922/fulltext/fulltext__published__d4f609c42961a5d2.pdf</t>
        </is>
      </c>
      <c r="AC254" s="2" t="inlineStr"/>
      <c r="AD254" s="2" t="inlineStr">
        <is>
          <t>https://github.com/Colliam-Vermilion/FirstCodex/blob/results/ad-oxygen-literature-20261006/results/ad-oxygen-literature-20261006/original_files/R04922/fulltext/fulltext__published__d4f609c42961a5d2.pdf</t>
        </is>
      </c>
    </row>
    <row r="255" ht="48" customHeight="1">
      <c r="A255" s="3" t="inlineStr">
        <is>
          <t>R04958</t>
        </is>
      </c>
      <c r="B255" s="3" t="inlineStr">
        <is>
          <t>Microaeration in anaerobic digestion systems: effect of low oxygen concentrations on methanogenic communities</t>
        </is>
      </c>
      <c r="C255" s="3" t="inlineStr">
        <is>
          <t>2019</t>
        </is>
      </c>
      <c r="D255" s="3" t="inlineStr">
        <is>
          <t>2019</t>
        </is>
      </c>
      <c r="E255" s="3" t="inlineStr"/>
      <c r="F255" s="3" t="inlineStr">
        <is>
          <t>会议研究论文（非期刊文章）</t>
        </is>
      </c>
      <c r="G255" s="3" t="inlineStr">
        <is>
          <t>1 直接向 AD 反应器或内部循环系统供氧</t>
        </is>
      </c>
      <c r="H255" s="3" t="inlineStr">
        <is>
          <t>是</t>
        </is>
      </c>
      <c r="I255" s="3" t="inlineStr">
        <is>
          <t>会议/非期刊</t>
        </is>
      </c>
      <c r="J255" s="3" t="inlineStr">
        <is>
          <t>否</t>
        </is>
      </c>
      <c r="K255" s="3" t="inlineStr">
        <is>
          <t>Portuguese National Funding Agency for Science, Research and Technology (RCAAP Project by FCT)</t>
        </is>
      </c>
      <c r="L255" s="3" t="inlineStr">
        <is>
          <t>Portuguese National Funding Agency for Science, Research and Technology (RCAAP Project by FCT)</t>
        </is>
      </c>
      <c r="M255" s="3" t="inlineStr"/>
      <c r="N255" s="3" t="inlineStr"/>
      <c r="O255" s="3" t="inlineStr">
        <is>
          <t>未取得全文</t>
        </is>
      </c>
      <c r="P255" s="3" t="inlineStr">
        <is>
          <t>否</t>
        </is>
      </c>
      <c r="Q255" s="3" t="inlineStr">
        <is>
          <t>当前无补充材料原件；沿用既有缺失/无附件证据，不据此认定无附件</t>
        </is>
      </c>
      <c r="R255" s="3" t="inlineStr"/>
      <c r="S255" s="3" t="inlineStr"/>
      <c r="T255" s="3" t="inlineStr"/>
      <c r="U255" s="3" t="inlineStr"/>
      <c r="V255" s="3" t="inlineStr">
        <is>
          <t>不适用</t>
        </is>
      </c>
      <c r="W255" s="3" t="inlineStr">
        <is>
          <t>不适用</t>
        </is>
      </c>
      <c r="X255" s="3" t="inlineStr">
        <is>
          <t>不适用</t>
        </is>
      </c>
      <c r="Y255" s="3" t="inlineStr"/>
      <c r="Z255" s="3" t="inlineStr"/>
      <c r="AA255" s="3" t="inlineStr">
        <is>
          <t>非目标期刊论文或类型待核实，不进入JCR分母</t>
        </is>
      </c>
      <c r="AB255" s="3" t="inlineStr"/>
      <c r="AC255" s="3" t="inlineStr"/>
      <c r="AD255" s="3" t="inlineStr"/>
    </row>
    <row r="256" ht="48" customHeight="1">
      <c r="A256" s="2" t="inlineStr">
        <is>
          <t>R05046</t>
        </is>
      </c>
      <c r="B256" s="2" t="inlineStr">
        <is>
          <t>Paddy straw based biogas generation technology for rural areas of Punjab</t>
        </is>
      </c>
      <c r="C256" s="2" t="inlineStr">
        <is>
          <t>2019</t>
        </is>
      </c>
      <c r="D256" s="2" t="inlineStr">
        <is>
          <t>2019</t>
        </is>
      </c>
      <c r="E256" s="2" t="inlineStr"/>
      <c r="F256" s="2" t="inlineStr">
        <is>
          <t>期刊文章</t>
        </is>
      </c>
      <c r="G256" s="2" t="inlineStr">
        <is>
          <t>5 排除</t>
        </is>
      </c>
      <c r="H256" s="2" t="inlineStr">
        <is>
          <t>否</t>
        </is>
      </c>
      <c r="I256" s="2" t="inlineStr">
        <is>
          <t>研究类</t>
        </is>
      </c>
      <c r="J256" s="2" t="inlineStr">
        <is>
          <t>否</t>
        </is>
      </c>
      <c r="K256" s="2" t="inlineStr">
        <is>
          <t>International Journal of Chemical Studies</t>
        </is>
      </c>
      <c r="L256" s="2" t="inlineStr">
        <is>
          <t>International Journal of Chemical Studies</t>
        </is>
      </c>
      <c r="M256" s="2" t="inlineStr"/>
      <c r="N256" s="2" t="inlineStr"/>
      <c r="O256" s="2" t="inlineStr">
        <is>
          <t>未取得全文</t>
        </is>
      </c>
      <c r="P256" s="2" t="inlineStr">
        <is>
          <t>否</t>
        </is>
      </c>
      <c r="Q256" s="2" t="inlineStr">
        <is>
          <t>当前无补充材料原件；沿用既有缺失/无附件证据，不据此认定无附件</t>
        </is>
      </c>
      <c r="R256" s="2" t="n">
        <v>2024</v>
      </c>
      <c r="S256" s="2" t="inlineStr">
        <is>
          <t>2025发布版（2024指标年）</t>
        </is>
      </c>
      <c r="T256" s="2" t="inlineStr"/>
      <c r="U256" s="2" t="inlineStr"/>
      <c r="V256" s="2" t="inlineStr">
        <is>
          <t>待核实</t>
        </is>
      </c>
      <c r="W256" s="2" t="inlineStr">
        <is>
          <t>待核实</t>
        </is>
      </c>
      <c r="X256" s="2" t="inlineStr">
        <is>
          <t>否</t>
        </is>
      </c>
      <c r="Y256" s="2" t="inlineStr"/>
      <c r="Z256" s="2" t="inlineStr"/>
      <c r="AA256" s="2" t="inlineStr">
        <is>
          <t>2024指标年JCR分区未核实；空白不能当非Q1。需要2025发布版/2024指标年的JCR全部学科导出。</t>
        </is>
      </c>
      <c r="AB256" s="2" t="inlineStr"/>
      <c r="AC256" s="2" t="inlineStr"/>
      <c r="AD256" s="2" t="inlineStr"/>
    </row>
    <row r="257" ht="48" customHeight="1">
      <c r="A257" s="3" t="inlineStr">
        <is>
          <t>R05066</t>
        </is>
      </c>
      <c r="B257" s="3" t="inlineStr">
        <is>
          <t>Performance of microaerobic granular sludge system for pentachlorophenol (PCP) degradation responding to PCP loading shock</t>
        </is>
      </c>
      <c r="C257" s="3" t="inlineStr">
        <is>
          <t>2019</t>
        </is>
      </c>
      <c r="D257" s="3" t="inlineStr">
        <is>
          <t>2019</t>
        </is>
      </c>
      <c r="E257" s="3" t="inlineStr">
        <is>
          <t>10.1515/npprj-2018-0069</t>
        </is>
      </c>
      <c r="F257" s="3" t="inlineStr">
        <is>
          <t>期刊文章</t>
        </is>
      </c>
      <c r="G257" s="3" t="inlineStr">
        <is>
          <t>2 向厌氧水解或产酸阶段供氧</t>
        </is>
      </c>
      <c r="H257" s="3" t="inlineStr">
        <is>
          <t>是</t>
        </is>
      </c>
      <c r="I257" s="3" t="inlineStr">
        <is>
          <t>研究类</t>
        </is>
      </c>
      <c r="J257" s="3" t="inlineStr">
        <is>
          <t>是</t>
        </is>
      </c>
      <c r="K257" s="3" t="inlineStr">
        <is>
          <t>Nordic Pulp &amp; Paper Research Journal</t>
        </is>
      </c>
      <c r="L257" s="3" t="inlineStr">
        <is>
          <t>Nordic Pulp &amp;amp; Paper Research Journal</t>
        </is>
      </c>
      <c r="M257" s="3" t="inlineStr">
        <is>
          <t>0283-2631</t>
        </is>
      </c>
      <c r="N257" s="3" t="inlineStr">
        <is>
          <t>2000-0669</t>
        </is>
      </c>
      <c r="O257" s="3" t="inlineStr">
        <is>
          <t>未取得全文</t>
        </is>
      </c>
      <c r="P257" s="3" t="inlineStr">
        <is>
          <t>否</t>
        </is>
      </c>
      <c r="Q257" s="3" t="inlineStr">
        <is>
          <t>当前无补充材料原件；沿用既有缺失/无附件证据，不据此认定无附件</t>
        </is>
      </c>
      <c r="R257" s="3" t="n">
        <v>2024</v>
      </c>
      <c r="S257" s="3" t="inlineStr">
        <is>
          <t>2025发布版（2024指标年）</t>
        </is>
      </c>
      <c r="T257" s="3" t="inlineStr"/>
      <c r="U257" s="3" t="inlineStr"/>
      <c r="V257" s="3" t="inlineStr">
        <is>
          <t>待核实</t>
        </is>
      </c>
      <c r="W257" s="3" t="inlineStr">
        <is>
          <t>待核实</t>
        </is>
      </c>
      <c r="X257" s="3" t="inlineStr">
        <is>
          <t>否</t>
        </is>
      </c>
      <c r="Y257" s="3" t="inlineStr"/>
      <c r="Z257" s="3" t="inlineStr">
        <is>
          <t>https://api.crossref.org/works/10.1515/npprj-2018-0069</t>
        </is>
      </c>
      <c r="AA257" s="3" t="inlineStr">
        <is>
          <t>2024指标年JCR分区未核实；空白不能当非Q1。需要2025发布版/2024指标年的JCR全部学科导出。</t>
        </is>
      </c>
      <c r="AB257" s="3" t="inlineStr"/>
      <c r="AC257" s="3" t="inlineStr"/>
      <c r="AD257" s="3" t="inlineStr"/>
    </row>
    <row r="258" ht="48" customHeight="1">
      <c r="A258" s="2" t="inlineStr">
        <is>
          <t>R05085</t>
        </is>
      </c>
      <c r="B258" s="2" t="inlineStr">
        <is>
          <t>Preservation of mesophilic mixed culture for anaerobic palm oil mill effluent treatment by convective drying methods</t>
        </is>
      </c>
      <c r="C258" s="2" t="inlineStr">
        <is>
          <t>2019</t>
        </is>
      </c>
      <c r="D258" s="2" t="inlineStr">
        <is>
          <t>2019</t>
        </is>
      </c>
      <c r="E258" s="2" t="inlineStr">
        <is>
          <t>10.1080/07373937.2018.1446445</t>
        </is>
      </c>
      <c r="F258" s="2" t="inlineStr">
        <is>
          <t>期刊文章</t>
        </is>
      </c>
      <c r="G258" s="2" t="inlineStr">
        <is>
          <t>5 排除</t>
        </is>
      </c>
      <c r="H258" s="2" t="inlineStr">
        <is>
          <t>否</t>
        </is>
      </c>
      <c r="I258" s="2" t="inlineStr">
        <is>
          <t>研究类</t>
        </is>
      </c>
      <c r="J258" s="2" t="inlineStr">
        <is>
          <t>否</t>
        </is>
      </c>
      <c r="K258" s="2" t="inlineStr">
        <is>
          <t>Drying Technology</t>
        </is>
      </c>
      <c r="L258" s="2" t="inlineStr">
        <is>
          <t>Drying Technology</t>
        </is>
      </c>
      <c r="M258" s="2" t="inlineStr">
        <is>
          <t>0737-3937</t>
        </is>
      </c>
      <c r="N258" s="2" t="inlineStr">
        <is>
          <t>1532-2300</t>
        </is>
      </c>
      <c r="O258" s="2" t="inlineStr">
        <is>
          <t>未取得全文</t>
        </is>
      </c>
      <c r="P258" s="2" t="inlineStr">
        <is>
          <t>否</t>
        </is>
      </c>
      <c r="Q258" s="2" t="inlineStr">
        <is>
          <t>当前无补充材料原件；沿用既有缺失/无附件证据，不据此认定无附件</t>
        </is>
      </c>
      <c r="R258" s="2" t="n">
        <v>2024</v>
      </c>
      <c r="S258" s="2" t="inlineStr">
        <is>
          <t>2025发布版（2024指标年）</t>
        </is>
      </c>
      <c r="T258" s="2" t="inlineStr"/>
      <c r="U258" s="2" t="inlineStr"/>
      <c r="V258" s="2" t="inlineStr">
        <is>
          <t>待核实</t>
        </is>
      </c>
      <c r="W258" s="2" t="inlineStr">
        <is>
          <t>待核实</t>
        </is>
      </c>
      <c r="X258" s="2" t="inlineStr">
        <is>
          <t>否</t>
        </is>
      </c>
      <c r="Y258" s="2" t="inlineStr"/>
      <c r="Z258" s="2" t="inlineStr">
        <is>
          <t>https://api.crossref.org/works/10.1080/07373937.2018.1446445</t>
        </is>
      </c>
      <c r="AA258" s="2" t="inlineStr">
        <is>
          <t>2024指标年JCR分区未核实；空白不能当非Q1。需要2025发布版/2024指标年的JCR全部学科导出。</t>
        </is>
      </c>
      <c r="AB258" s="2" t="inlineStr"/>
      <c r="AC258" s="2" t="inlineStr"/>
      <c r="AD258" s="2" t="inlineStr"/>
    </row>
    <row r="259" ht="48" customHeight="1">
      <c r="A259" s="3" t="inlineStr">
        <is>
          <t>R05196</t>
        </is>
      </c>
      <c r="B259" s="3" t="inlineStr">
        <is>
          <t>The effectiveness of pH adjustment and controlled oxygen injection to enhance acidogenic performance in two stage anaerobic digestion</t>
        </is>
      </c>
      <c r="C259" s="3" t="inlineStr">
        <is>
          <t>2019</t>
        </is>
      </c>
      <c r="D259" s="3" t="inlineStr">
        <is>
          <t>2019</t>
        </is>
      </c>
      <c r="E259" s="3" t="inlineStr">
        <is>
          <t>10.1063/1.5094994</t>
        </is>
      </c>
      <c r="F259" s="3" t="inlineStr">
        <is>
          <t>会议研究论文（非期刊文章）</t>
        </is>
      </c>
      <c r="G259" s="3" t="inlineStr">
        <is>
          <t>2 向厌氧水解或产酸阶段供氧</t>
        </is>
      </c>
      <c r="H259" s="3" t="inlineStr">
        <is>
          <t>是</t>
        </is>
      </c>
      <c r="I259" s="3" t="inlineStr">
        <is>
          <t>会议/非期刊</t>
        </is>
      </c>
      <c r="J259" s="3" t="inlineStr">
        <is>
          <t>否</t>
        </is>
      </c>
      <c r="K259" s="3" t="inlineStr">
        <is>
          <t>AIP Conference Proceedings</t>
        </is>
      </c>
      <c r="L259" s="3" t="inlineStr">
        <is>
          <t>AIP Conference Proceedings</t>
        </is>
      </c>
      <c r="M259" s="3" t="inlineStr">
        <is>
          <t>0094-243X</t>
        </is>
      </c>
      <c r="N259" s="3" t="inlineStr"/>
      <c r="O259" s="3" t="inlineStr">
        <is>
          <t>未取得全文</t>
        </is>
      </c>
      <c r="P259" s="3" t="inlineStr">
        <is>
          <t>否</t>
        </is>
      </c>
      <c r="Q259" s="3" t="inlineStr">
        <is>
          <t>当前无补充材料原件；沿用既有缺失/无附件证据，不据此认定无附件</t>
        </is>
      </c>
      <c r="R259" s="3" t="inlineStr"/>
      <c r="S259" s="3" t="inlineStr"/>
      <c r="T259" s="3" t="inlineStr"/>
      <c r="U259" s="3" t="inlineStr"/>
      <c r="V259" s="3" t="inlineStr">
        <is>
          <t>不适用</t>
        </is>
      </c>
      <c r="W259" s="3" t="inlineStr">
        <is>
          <t>不适用</t>
        </is>
      </c>
      <c r="X259" s="3" t="inlineStr">
        <is>
          <t>不适用</t>
        </is>
      </c>
      <c r="Y259" s="3" t="inlineStr"/>
      <c r="Z259" s="3" t="inlineStr">
        <is>
          <t>https://api.crossref.org/works/10.1063/1.5094994</t>
        </is>
      </c>
      <c r="AA259" s="3" t="inlineStr">
        <is>
          <t>非目标期刊论文或类型待核实，不进入JCR分母</t>
        </is>
      </c>
      <c r="AB259" s="3" t="inlineStr"/>
      <c r="AC259" s="3" t="inlineStr"/>
      <c r="AD259" s="3" t="inlineStr"/>
    </row>
    <row r="260" ht="48" customHeight="1">
      <c r="A260" s="2" t="inlineStr">
        <is>
          <t>R05213</t>
        </is>
      </c>
      <c r="B260" s="2" t="inlineStr">
        <is>
          <t>The use of lytic polysaccharide monooxygenases in anaerobic digestion of lignocellulosic materials</t>
        </is>
      </c>
      <c r="C260" s="2" t="inlineStr">
        <is>
          <t>2019</t>
        </is>
      </c>
      <c r="D260" s="2" t="inlineStr">
        <is>
          <t>2019</t>
        </is>
      </c>
      <c r="E260" s="2" t="inlineStr">
        <is>
          <t>10.1186/s13068-019-1611-8</t>
        </is>
      </c>
      <c r="F260" s="2" t="inlineStr">
        <is>
          <t>期刊文章</t>
        </is>
      </c>
      <c r="G260" s="2" t="inlineStr">
        <is>
          <t>1 直接向 AD 反应器或内部循环系统供氧</t>
        </is>
      </c>
      <c r="H260" s="2" t="inlineStr">
        <is>
          <t>是</t>
        </is>
      </c>
      <c r="I260" s="2" t="inlineStr">
        <is>
          <t>研究类</t>
        </is>
      </c>
      <c r="J260" s="2" t="inlineStr">
        <is>
          <t>是</t>
        </is>
      </c>
      <c r="K260" s="2" t="inlineStr">
        <is>
          <t>Biotechnology for Biofuels</t>
        </is>
      </c>
      <c r="L260" s="2" t="inlineStr">
        <is>
          <t>Biotechnology for Biofuels</t>
        </is>
      </c>
      <c r="M260" s="2" t="inlineStr"/>
      <c r="N260" s="2" t="inlineStr">
        <is>
          <t>1754-6834</t>
        </is>
      </c>
      <c r="O260" s="2" t="inlineStr">
        <is>
          <t>已取得核验全文</t>
        </is>
      </c>
      <c r="P260" s="2" t="inlineStr">
        <is>
          <t>是</t>
        </is>
      </c>
      <c r="Q260" s="2" t="inlineStr">
        <is>
          <t>已取得1件原格式补充材料；其中0件唯一关联待核实；完整性未确认</t>
        </is>
      </c>
      <c r="R260" s="2" t="n">
        <v>2024</v>
      </c>
      <c r="S260" s="2" t="inlineStr">
        <is>
          <t>2025发布版（2024指标年）</t>
        </is>
      </c>
      <c r="T260" s="2" t="inlineStr"/>
      <c r="U260" s="2" t="inlineStr"/>
      <c r="V260" s="2" t="inlineStr">
        <is>
          <t>待核实</t>
        </is>
      </c>
      <c r="W260" s="2" t="inlineStr">
        <is>
          <t>待核实</t>
        </is>
      </c>
      <c r="X260" s="2" t="inlineStr">
        <is>
          <t>否</t>
        </is>
      </c>
      <c r="Y260" s="2" t="inlineStr"/>
      <c r="Z260" s="2" t="inlineStr">
        <is>
          <t>https://api.crossref.org/works/10.1186/s13068-019-1611-8</t>
        </is>
      </c>
      <c r="AA260" s="2" t="inlineStr">
        <is>
          <t>2024指标年JCR分区未核实；空白不能当非Q1。需要2025发布版/2024指标年的JCR全部学科导出。</t>
        </is>
      </c>
      <c r="AB260" s="2" t="inlineStr">
        <is>
          <t>original_files/R05213/fulltext/fulltext__published__bcab84a15ce93062.pdf</t>
        </is>
      </c>
      <c r="AC260" s="2" t="inlineStr">
        <is>
          <t>original_files/R05213/supplementary/supplementary__2a8184a309e33621.docx</t>
        </is>
      </c>
      <c r="AD260" s="2" t="inlineStr">
        <is>
          <t>https://github.com/Colliam-Vermilion/FirstCodex/blob/results/ad-oxygen-literature-20261006/results/ad-oxygen-literature-20261006/original_files/R05213/fulltext/fulltext__published__bcab84a15ce93062.pdf</t>
        </is>
      </c>
    </row>
    <row r="261" ht="48" customHeight="1">
      <c r="A261" s="3" t="inlineStr">
        <is>
          <t>R05473</t>
        </is>
      </c>
      <c r="B261" s="3" t="inlineStr">
        <is>
          <t>Comparison of Biogas Production Using Different Digester Operational Strategies</t>
        </is>
      </c>
      <c r="C261" s="3" t="inlineStr">
        <is>
          <t>2020</t>
        </is>
      </c>
      <c r="D261" s="3" t="inlineStr">
        <is>
          <t>2020</t>
        </is>
      </c>
      <c r="E261" s="3" t="inlineStr"/>
      <c r="F261" s="3" t="inlineStr">
        <is>
          <t>研究海报（非论文全文）</t>
        </is>
      </c>
      <c r="G261" s="3" t="inlineStr">
        <is>
          <t>1 直接向 AD 反应器或内部循环系统供氧</t>
        </is>
      </c>
      <c r="H261" s="3" t="inlineStr">
        <is>
          <t>是</t>
        </is>
      </c>
      <c r="I261" s="3" t="inlineStr">
        <is>
          <t>会议/非期刊</t>
        </is>
      </c>
      <c r="J261" s="3" t="inlineStr">
        <is>
          <t>否</t>
        </is>
      </c>
      <c r="K261" s="3" t="inlineStr">
        <is>
          <t>ISU Red - Research and eData (Illinois State University)</t>
        </is>
      </c>
      <c r="L261" s="3" t="inlineStr">
        <is>
          <t>ISU Red - Research and eData (Illinois State University)</t>
        </is>
      </c>
      <c r="M261" s="3" t="inlineStr"/>
      <c r="N261" s="3" t="inlineStr"/>
      <c r="O261" s="3" t="inlineStr">
        <is>
          <t>仅海报，未取得全文</t>
        </is>
      </c>
      <c r="P261" s="3" t="inlineStr">
        <is>
          <t>否</t>
        </is>
      </c>
      <c r="Q261" s="3" t="inlineStr">
        <is>
          <t>当前无补充材料原件；沿用既有缺失/无附件证据，不据此认定无附件</t>
        </is>
      </c>
      <c r="R261" s="3" t="inlineStr"/>
      <c r="S261" s="3" t="inlineStr"/>
      <c r="T261" s="3" t="inlineStr"/>
      <c r="U261" s="3" t="inlineStr"/>
      <c r="V261" s="3" t="inlineStr">
        <is>
          <t>不适用</t>
        </is>
      </c>
      <c r="W261" s="3" t="inlineStr">
        <is>
          <t>不适用</t>
        </is>
      </c>
      <c r="X261" s="3" t="inlineStr">
        <is>
          <t>不适用</t>
        </is>
      </c>
      <c r="Y261" s="3" t="inlineStr"/>
      <c r="Z261" s="3" t="inlineStr"/>
      <c r="AA261" s="3" t="inlineStr">
        <is>
          <t>非目标期刊论文或类型待核实，不进入JCR分母</t>
        </is>
      </c>
      <c r="AB261" s="3" t="inlineStr"/>
      <c r="AC261" s="3" t="inlineStr"/>
      <c r="AD261" s="3" t="inlineStr"/>
    </row>
    <row r="262" ht="48" customHeight="1">
      <c r="A262" s="2" t="inlineStr">
        <is>
          <t>R05499</t>
        </is>
      </c>
      <c r="B262" s="2" t="inlineStr">
        <is>
          <t>Demand-Response Application in Wastewater Treatment Plants Using Compressed Air Storage System: A Modelling Approach</t>
        </is>
      </c>
      <c r="C262" s="2" t="inlineStr">
        <is>
          <t>2020</t>
        </is>
      </c>
      <c r="D262" s="2" t="inlineStr">
        <is>
          <t>2020</t>
        </is>
      </c>
      <c r="E262" s="2" t="inlineStr">
        <is>
          <t>10.3390/en13184780</t>
        </is>
      </c>
      <c r="F262" s="2" t="inlineStr">
        <is>
          <t>期刊文章</t>
        </is>
      </c>
      <c r="G262" s="2" t="inlineStr">
        <is>
          <t>5 排除</t>
        </is>
      </c>
      <c r="H262" s="2" t="inlineStr">
        <is>
          <t>否</t>
        </is>
      </c>
      <c r="I262" s="2" t="inlineStr">
        <is>
          <t>研究类</t>
        </is>
      </c>
      <c r="J262" s="2" t="inlineStr">
        <is>
          <t>否</t>
        </is>
      </c>
      <c r="K262" s="2" t="inlineStr">
        <is>
          <t>Energies</t>
        </is>
      </c>
      <c r="L262" s="2" t="inlineStr">
        <is>
          <t>Energies</t>
        </is>
      </c>
      <c r="M262" s="2" t="inlineStr"/>
      <c r="N262" s="2" t="inlineStr">
        <is>
          <t>1996-1073</t>
        </is>
      </c>
      <c r="O262" s="2" t="inlineStr">
        <is>
          <t>未取得全文</t>
        </is>
      </c>
      <c r="P262" s="2" t="inlineStr">
        <is>
          <t>否</t>
        </is>
      </c>
      <c r="Q262" s="2" t="inlineStr">
        <is>
          <t>当前无补充材料原件；沿用既有缺失/无附件证据，不据此认定无附件</t>
        </is>
      </c>
      <c r="R262" s="2" t="n">
        <v>2024</v>
      </c>
      <c r="S262" s="2" t="inlineStr">
        <is>
          <t>2025发布版（2024指标年）</t>
        </is>
      </c>
      <c r="T262" s="2" t="inlineStr"/>
      <c r="U262" s="2" t="inlineStr"/>
      <c r="V262" s="2" t="inlineStr">
        <is>
          <t>待核实</t>
        </is>
      </c>
      <c r="W262" s="2" t="inlineStr">
        <is>
          <t>待核实</t>
        </is>
      </c>
      <c r="X262" s="2" t="inlineStr">
        <is>
          <t>否</t>
        </is>
      </c>
      <c r="Y262" s="2" t="inlineStr"/>
      <c r="Z262" s="2" t="inlineStr">
        <is>
          <t>https://api.crossref.org/works/10.3390/en13184780</t>
        </is>
      </c>
      <c r="AA262" s="2" t="inlineStr">
        <is>
          <t>2024指标年JCR分区未核实；空白不能当非Q1。需要2025发布版/2024指标年的JCR全部学科导出。</t>
        </is>
      </c>
      <c r="AB262" s="2" t="inlineStr"/>
      <c r="AC262" s="2" t="inlineStr"/>
      <c r="AD262" s="2" t="inlineStr"/>
    </row>
    <row r="263" ht="48" customHeight="1">
      <c r="A263" s="3" t="inlineStr">
        <is>
          <t>R05506</t>
        </is>
      </c>
      <c r="B263" s="3" t="inlineStr">
        <is>
          <t>Development and Optimization of Mild Steel Biogas Plant for utilizing Paddy Straw Residue</t>
        </is>
      </c>
      <c r="C263" s="3" t="inlineStr">
        <is>
          <t>2020</t>
        </is>
      </c>
      <c r="D263" s="3" t="inlineStr">
        <is>
          <t>2020</t>
        </is>
      </c>
      <c r="E263" s="3" t="inlineStr">
        <is>
          <t>10.20546/ijcmas.2020.901.288</t>
        </is>
      </c>
      <c r="F263" s="3" t="inlineStr">
        <is>
          <t>期刊文章</t>
        </is>
      </c>
      <c r="G263" s="3" t="inlineStr">
        <is>
          <t>5 排除</t>
        </is>
      </c>
      <c r="H263" s="3" t="inlineStr">
        <is>
          <t>否</t>
        </is>
      </c>
      <c r="I263" s="3" t="inlineStr">
        <is>
          <t>研究类</t>
        </is>
      </c>
      <c r="J263" s="3" t="inlineStr">
        <is>
          <t>否</t>
        </is>
      </c>
      <c r="K263" s="3" t="inlineStr">
        <is>
          <t>International Journal of Current Microbiology and Applied Sciences</t>
        </is>
      </c>
      <c r="L263" s="3" t="inlineStr">
        <is>
          <t>International Journal of Current Microbiology and Applied Sciences</t>
        </is>
      </c>
      <c r="M263" s="3" t="inlineStr">
        <is>
          <t>2319-7692</t>
        </is>
      </c>
      <c r="N263" s="3" t="inlineStr">
        <is>
          <t>2319-7706</t>
        </is>
      </c>
      <c r="O263" s="3" t="inlineStr">
        <is>
          <t>未取得全文</t>
        </is>
      </c>
      <c r="P263" s="3" t="inlineStr">
        <is>
          <t>否</t>
        </is>
      </c>
      <c r="Q263" s="3" t="inlineStr">
        <is>
          <t>当前无补充材料原件；沿用既有缺失/无附件证据，不据此认定无附件</t>
        </is>
      </c>
      <c r="R263" s="3" t="n">
        <v>2024</v>
      </c>
      <c r="S263" s="3" t="inlineStr">
        <is>
          <t>2025发布版（2024指标年）</t>
        </is>
      </c>
      <c r="T263" s="3" t="inlineStr"/>
      <c r="U263" s="3" t="inlineStr"/>
      <c r="V263" s="3" t="inlineStr">
        <is>
          <t>待核实</t>
        </is>
      </c>
      <c r="W263" s="3" t="inlineStr">
        <is>
          <t>待核实</t>
        </is>
      </c>
      <c r="X263" s="3" t="inlineStr">
        <is>
          <t>否</t>
        </is>
      </c>
      <c r="Y263" s="3" t="inlineStr"/>
      <c r="Z263" s="3" t="inlineStr">
        <is>
          <t>https://api.crossref.org/works/10.20546/ijcmas.2020.901.288</t>
        </is>
      </c>
      <c r="AA263" s="3" t="inlineStr">
        <is>
          <t>2024指标年JCR分区未核实；空白不能当非Q1。需要2025发布版/2024指标年的JCR全部学科导出。</t>
        </is>
      </c>
      <c r="AB263" s="3" t="inlineStr"/>
      <c r="AC263" s="3" t="inlineStr"/>
      <c r="AD263" s="3" t="inlineStr"/>
    </row>
    <row r="264" ht="48" customHeight="1">
      <c r="A264" s="2" t="inlineStr">
        <is>
          <t>R05543</t>
        </is>
      </c>
      <c r="B264" s="2" t="inlineStr">
        <is>
          <t>Effect of micro-oxygen pretreatment on gas production characteristics of anaerobic digestion of kitchen waste</t>
        </is>
      </c>
      <c r="C264" s="2" t="inlineStr">
        <is>
          <t>2020</t>
        </is>
      </c>
      <c r="D264" s="2" t="inlineStr">
        <is>
          <t>2020</t>
        </is>
      </c>
      <c r="E264" s="2" t="inlineStr">
        <is>
          <t>10.1007/s10163-020-01072-9</t>
        </is>
      </c>
      <c r="F264" s="2" t="inlineStr">
        <is>
          <t>期刊文章</t>
        </is>
      </c>
      <c r="G264" s="2" t="inlineStr">
        <is>
          <t>3 独立好氧或微好氧预处理</t>
        </is>
      </c>
      <c r="H264" s="2" t="inlineStr">
        <is>
          <t>是</t>
        </is>
      </c>
      <c r="I264" s="2" t="inlineStr">
        <is>
          <t>研究类</t>
        </is>
      </c>
      <c r="J264" s="2" t="inlineStr">
        <is>
          <t>是</t>
        </is>
      </c>
      <c r="K264" s="2" t="inlineStr">
        <is>
          <t>Journal of Material Cycles and Waste Management</t>
        </is>
      </c>
      <c r="L264" s="2" t="inlineStr">
        <is>
          <t>Journal of Material Cycles and Waste Management</t>
        </is>
      </c>
      <c r="M264" s="2" t="inlineStr">
        <is>
          <t>1438-4957</t>
        </is>
      </c>
      <c r="N264" s="2" t="inlineStr">
        <is>
          <t>1611-8227</t>
        </is>
      </c>
      <c r="O264" s="2" t="inlineStr">
        <is>
          <t>已取得核验全文</t>
        </is>
      </c>
      <c r="P264" s="2" t="inlineStr">
        <is>
          <t>是</t>
        </is>
      </c>
      <c r="Q264" s="2" t="inlineStr">
        <is>
          <t>当前无补充材料原件；沿用既有缺失/无附件证据，不据此认定无附件</t>
        </is>
      </c>
      <c r="R264" s="2" t="n">
        <v>2024</v>
      </c>
      <c r="S264" s="2" t="inlineStr">
        <is>
          <t>2025发布版（2024指标年）</t>
        </is>
      </c>
      <c r="T264" s="2" t="inlineStr">
        <is>
          <t>ENVIRONMENTAL SCIENCES</t>
        </is>
      </c>
      <c r="U264" s="2" t="inlineStr">
        <is>
          <t>ENVIRONMENTAL SCIENCES: Q3</t>
        </is>
      </c>
      <c r="V264" s="2" t="inlineStr">
        <is>
          <t>否</t>
        </is>
      </c>
      <c r="W264" s="2" t="inlineStr">
        <is>
          <t>否</t>
        </is>
      </c>
      <c r="X264" s="2" t="inlineStr">
        <is>
          <t>是</t>
        </is>
      </c>
      <c r="Y264" s="2" t="inlineStr">
        <is>
          <t>https://topj.lib.whu.edu.cn/show.asp?cat=zk&amp;id=4243</t>
        </is>
      </c>
      <c r="Z264" s="2" t="inlineStr">
        <is>
          <t>https://api.crossref.org/works/10.1007/s10163-020-01072-9</t>
        </is>
      </c>
      <c r="AA26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64" s="2" t="inlineStr">
        <is>
          <t>original_files/R05543/fulltext/fulltext__published__b9b6c6f484001832.pdf</t>
        </is>
      </c>
      <c r="AC264" s="2" t="inlineStr"/>
      <c r="AD264" s="2" t="inlineStr">
        <is>
          <t>https://github.com/Colliam-Vermilion/FirstCodex/blob/results/ad-oxygen-literature-20261006/results/ad-oxygen-literature-20261006/original_files/R05543/fulltext/fulltext__published__b9b6c6f484001832.pdf</t>
        </is>
      </c>
    </row>
    <row r="265" ht="48" customHeight="1">
      <c r="A265" s="3" t="inlineStr">
        <is>
          <t>R05544</t>
        </is>
      </c>
      <c r="B265" s="3" t="inlineStr">
        <is>
          <t>Effect of nano-bubble water on high solid anaerobic digestion of pig manure: Focus on digestion stability, methanogenesis performance and related mechanisms</t>
        </is>
      </c>
      <c r="C265" s="3" t="inlineStr">
        <is>
          <t>2020</t>
        </is>
      </c>
      <c r="D265" s="3" t="inlineStr">
        <is>
          <t>2020</t>
        </is>
      </c>
      <c r="E265" s="3" t="inlineStr">
        <is>
          <t>10.1016/j.biortech.2020.123793</t>
        </is>
      </c>
      <c r="F265" s="3" t="inlineStr">
        <is>
          <t>期刊文章</t>
        </is>
      </c>
      <c r="G265" s="3" t="inlineStr">
        <is>
          <t>1 直接向 AD 反应器或内部循环系统供氧</t>
        </is>
      </c>
      <c r="H265" s="3" t="inlineStr">
        <is>
          <t>是</t>
        </is>
      </c>
      <c r="I265" s="3" t="inlineStr">
        <is>
          <t>研究类</t>
        </is>
      </c>
      <c r="J265" s="3" t="inlineStr">
        <is>
          <t>是</t>
        </is>
      </c>
      <c r="K265" s="3" t="inlineStr">
        <is>
          <t>BIORESOURCE TECHNOLOGY</t>
        </is>
      </c>
      <c r="L265" s="3" t="inlineStr">
        <is>
          <t>Bioresource Technology</t>
        </is>
      </c>
      <c r="M265" s="3" t="inlineStr">
        <is>
          <t>0960-8524</t>
        </is>
      </c>
      <c r="N265" s="3" t="inlineStr"/>
      <c r="O265" s="3" t="inlineStr">
        <is>
          <t>已取得核验全文</t>
        </is>
      </c>
      <c r="P265" s="3" t="inlineStr">
        <is>
          <t>是</t>
        </is>
      </c>
      <c r="Q265" s="3" t="inlineStr">
        <is>
          <t>当前无补充材料原件；沿用既有缺失/无附件证据，不据此认定无附件</t>
        </is>
      </c>
      <c r="R265" s="3" t="n">
        <v>2024</v>
      </c>
      <c r="S265" s="3" t="inlineStr">
        <is>
          <t>2025发布版（2024指标年）</t>
        </is>
      </c>
      <c r="T265" s="3" t="inlineStr">
        <is>
          <t>AGRICULTURAL ENGINEERING; BIOTECHNOLOGY &amp; APPLIED MICROBIOLOGY; ENERGY &amp; FUELS</t>
        </is>
      </c>
      <c r="U265" s="3" t="inlineStr">
        <is>
          <t>AGRICULTURAL ENGINEERING: Q1; BIOTECHNOLOGY &amp; APPLIED MICROBIOLOGY: Q1; ENERGY &amp; FUELS: Q1</t>
        </is>
      </c>
      <c r="V265" s="4" t="inlineStr">
        <is>
          <t>是</t>
        </is>
      </c>
      <c r="W265" s="4" t="inlineStr">
        <is>
          <t>是</t>
        </is>
      </c>
      <c r="X265" s="3" t="inlineStr">
        <is>
          <t>是</t>
        </is>
      </c>
      <c r="Y265" s="3" t="inlineStr">
        <is>
          <t>https://topj.lib.whu.edu.cn/show.asp?cat=zk&amp;id=3976</t>
        </is>
      </c>
      <c r="Z265" s="3" t="inlineStr">
        <is>
          <t>https://api.crossref.org/works/10.1016/j.biortech.2020.123793</t>
        </is>
      </c>
      <c r="AA26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65" s="3" t="inlineStr">
        <is>
          <t>original_files/R05544/fulltext/fulltext__published__24c76324a7cd3191.pdf</t>
        </is>
      </c>
      <c r="AC265" s="3" t="inlineStr"/>
      <c r="AD265" s="3" t="inlineStr">
        <is>
          <t>https://github.com/Colliam-Vermilion/FirstCodex/blob/results/ad-oxygen-literature-20261006/results/ad-oxygen-literature-20261006/original_files/R05544/fulltext/fulltext__published__24c76324a7cd3191.pdf</t>
        </is>
      </c>
    </row>
    <row r="266" ht="48" customHeight="1">
      <c r="A266" s="2" t="inlineStr">
        <is>
          <t>R05545</t>
        </is>
      </c>
      <c r="B266" s="2" t="inlineStr">
        <is>
          <t>Effect of nanobubble water on anaerobic methane production from lignin</t>
        </is>
      </c>
      <c r="C266" s="2" t="inlineStr">
        <is>
          <t>2020</t>
        </is>
      </c>
      <c r="D266" s="2" t="inlineStr">
        <is>
          <t>2020</t>
        </is>
      </c>
      <c r="E266" s="2" t="inlineStr">
        <is>
          <t>10.1007/s11164-020-04250-4</t>
        </is>
      </c>
      <c r="F266" s="2" t="inlineStr">
        <is>
          <t>期刊文章</t>
        </is>
      </c>
      <c r="G266" s="2" t="inlineStr">
        <is>
          <t>5 排除</t>
        </is>
      </c>
      <c r="H266" s="2" t="inlineStr">
        <is>
          <t>否</t>
        </is>
      </c>
      <c r="I266" s="2" t="inlineStr">
        <is>
          <t>研究类</t>
        </is>
      </c>
      <c r="J266" s="2" t="inlineStr">
        <is>
          <t>否</t>
        </is>
      </c>
      <c r="K266" s="2" t="inlineStr">
        <is>
          <t>Research on Chemical Intermediates</t>
        </is>
      </c>
      <c r="L266" s="2" t="inlineStr">
        <is>
          <t>Research on Chemical Intermediates</t>
        </is>
      </c>
      <c r="M266" s="2" t="inlineStr">
        <is>
          <t>0922-6168</t>
        </is>
      </c>
      <c r="N266" s="2" t="inlineStr">
        <is>
          <t>1568-5675</t>
        </is>
      </c>
      <c r="O266" s="2" t="inlineStr">
        <is>
          <t>未取得全文</t>
        </is>
      </c>
      <c r="P266" s="2" t="inlineStr">
        <is>
          <t>否</t>
        </is>
      </c>
      <c r="Q266" s="2" t="inlineStr">
        <is>
          <t>当前无补充材料原件；沿用既有缺失/无附件证据，不据此认定无附件</t>
        </is>
      </c>
      <c r="R266" s="2" t="n">
        <v>2024</v>
      </c>
      <c r="S266" s="2" t="inlineStr">
        <is>
          <t>2025发布版（2024指标年）</t>
        </is>
      </c>
      <c r="T266" s="2" t="inlineStr"/>
      <c r="U266" s="2" t="inlineStr"/>
      <c r="V266" s="2" t="inlineStr">
        <is>
          <t>待核实</t>
        </is>
      </c>
      <c r="W266" s="2" t="inlineStr">
        <is>
          <t>待核实</t>
        </is>
      </c>
      <c r="X266" s="2" t="inlineStr">
        <is>
          <t>否</t>
        </is>
      </c>
      <c r="Y266" s="2" t="inlineStr"/>
      <c r="Z266" s="2" t="inlineStr">
        <is>
          <t>https://api.crossref.org/works/10.1007/s11164-020-04250-4</t>
        </is>
      </c>
      <c r="AA266" s="2" t="inlineStr">
        <is>
          <t>2024指标年JCR分区未核实；空白不能当非Q1。需要2025发布版/2024指标年的JCR全部学科导出。</t>
        </is>
      </c>
      <c r="AB266" s="2" t="inlineStr"/>
      <c r="AC266" s="2" t="inlineStr"/>
      <c r="AD266" s="2" t="inlineStr"/>
    </row>
    <row r="267" ht="48" customHeight="1">
      <c r="A267" s="3" t="inlineStr">
        <is>
          <t>R05550</t>
        </is>
      </c>
      <c r="B267" s="3" t="inlineStr">
        <is>
          <t>Effect of pH, substrate loading, oxygen, and methanogens inhibitors on volatile fatty acid (VFA) production from citrus waste by anaerobic digestion</t>
        </is>
      </c>
      <c r="C267" s="3" t="inlineStr">
        <is>
          <t>2020</t>
        </is>
      </c>
      <c r="D267" s="3" t="inlineStr">
        <is>
          <t>2020</t>
        </is>
      </c>
      <c r="E267" s="3" t="inlineStr">
        <is>
          <t>10.1016/j.biortech.2020.122800</t>
        </is>
      </c>
      <c r="F267" s="3" t="inlineStr">
        <is>
          <t>期刊文章</t>
        </is>
      </c>
      <c r="G267" s="3" t="inlineStr">
        <is>
          <t>2 向厌氧水解或产酸阶段供氧</t>
        </is>
      </c>
      <c r="H267" s="3" t="inlineStr">
        <is>
          <t>是</t>
        </is>
      </c>
      <c r="I267" s="3" t="inlineStr">
        <is>
          <t>研究类</t>
        </is>
      </c>
      <c r="J267" s="3" t="inlineStr">
        <is>
          <t>是</t>
        </is>
      </c>
      <c r="K267" s="3" t="inlineStr">
        <is>
          <t>BIORESOURCE TECHNOLOGY</t>
        </is>
      </c>
      <c r="L267" s="3" t="inlineStr">
        <is>
          <t>Bioresource Technology</t>
        </is>
      </c>
      <c r="M267" s="3" t="inlineStr">
        <is>
          <t>0960-8524</t>
        </is>
      </c>
      <c r="N267" s="3" t="inlineStr"/>
      <c r="O267" s="3" t="inlineStr">
        <is>
          <t>已取得核验全文</t>
        </is>
      </c>
      <c r="P267" s="3" t="inlineStr">
        <is>
          <t>是</t>
        </is>
      </c>
      <c r="Q267" s="3" t="inlineStr">
        <is>
          <t>当前无补充材料原件；沿用既有缺失/无附件证据，不据此认定无附件</t>
        </is>
      </c>
      <c r="R267" s="3" t="n">
        <v>2024</v>
      </c>
      <c r="S267" s="3" t="inlineStr">
        <is>
          <t>2025发布版（2024指标年）</t>
        </is>
      </c>
      <c r="T267" s="3" t="inlineStr">
        <is>
          <t>AGRICULTURAL ENGINEERING; BIOTECHNOLOGY &amp; APPLIED MICROBIOLOGY; ENERGY &amp; FUELS</t>
        </is>
      </c>
      <c r="U267" s="3" t="inlineStr">
        <is>
          <t>AGRICULTURAL ENGINEERING: Q1; BIOTECHNOLOGY &amp; APPLIED MICROBIOLOGY: Q1; ENERGY &amp; FUELS: Q1</t>
        </is>
      </c>
      <c r="V267" s="4" t="inlineStr">
        <is>
          <t>是</t>
        </is>
      </c>
      <c r="W267" s="4" t="inlineStr">
        <is>
          <t>是</t>
        </is>
      </c>
      <c r="X267" s="3" t="inlineStr">
        <is>
          <t>是</t>
        </is>
      </c>
      <c r="Y267" s="3" t="inlineStr">
        <is>
          <t>https://topj.lib.whu.edu.cn/show.asp?cat=zk&amp;id=3976</t>
        </is>
      </c>
      <c r="Z267" s="3" t="inlineStr">
        <is>
          <t>https://api.crossref.org/works/10.1016/j.biortech.2020.122800</t>
        </is>
      </c>
      <c r="AA26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67" s="3" t="inlineStr">
        <is>
          <t>original_files/R05550/fulltext/fulltext__published__a43f2418ca729f61.pdf</t>
        </is>
      </c>
      <c r="AC267" s="3" t="inlineStr"/>
      <c r="AD267" s="3" t="inlineStr">
        <is>
          <t>https://github.com/Colliam-Vermilion/FirstCodex/blob/results/ad-oxygen-literature-20261006/results/ad-oxygen-literature-20261006/original_files/R05550/fulltext/fulltext__published__a43f2418ca729f61.pdf</t>
        </is>
      </c>
    </row>
    <row r="268" ht="48" customHeight="1">
      <c r="A268" s="2" t="inlineStr">
        <is>
          <t>R05597</t>
        </is>
      </c>
      <c r="B268" s="2" t="inlineStr">
        <is>
          <t>Engineered addition of slag fines for the sequestration of phosphate and sulfide during mesophilic anaerobic digestion</t>
        </is>
      </c>
      <c r="C268" s="2" t="inlineStr">
        <is>
          <t>2020</t>
        </is>
      </c>
      <c r="D268" s="2" t="inlineStr">
        <is>
          <t>2020</t>
        </is>
      </c>
      <c r="E268" s="2" t="inlineStr">
        <is>
          <t>10.1002/wer.1208</t>
        </is>
      </c>
      <c r="F268" s="2" t="inlineStr">
        <is>
          <t>期刊文章</t>
        </is>
      </c>
      <c r="G268" s="2" t="inlineStr">
        <is>
          <t>5 排除</t>
        </is>
      </c>
      <c r="H268" s="2" t="inlineStr">
        <is>
          <t>否</t>
        </is>
      </c>
      <c r="I268" s="2" t="inlineStr">
        <is>
          <t>研究类</t>
        </is>
      </c>
      <c r="J268" s="2" t="inlineStr">
        <is>
          <t>否</t>
        </is>
      </c>
      <c r="K268" s="2" t="inlineStr">
        <is>
          <t>WATER ENVIRONMENT RESEARCH</t>
        </is>
      </c>
      <c r="L268" s="2" t="inlineStr">
        <is>
          <t>Water Environment Research</t>
        </is>
      </c>
      <c r="M268" s="2" t="inlineStr">
        <is>
          <t>1061-4303</t>
        </is>
      </c>
      <c r="N268" s="2" t="inlineStr">
        <is>
          <t>1554-7531</t>
        </is>
      </c>
      <c r="O268" s="2" t="inlineStr">
        <is>
          <t>未取得全文</t>
        </is>
      </c>
      <c r="P268" s="2" t="inlineStr">
        <is>
          <t>否</t>
        </is>
      </c>
      <c r="Q268" s="2" t="inlineStr">
        <is>
          <t>当前无补充材料原件；沿用既有缺失/无附件证据，不据此认定无附件</t>
        </is>
      </c>
      <c r="R268" s="2" t="n">
        <v>2024</v>
      </c>
      <c r="S268" s="2" t="inlineStr">
        <is>
          <t>2025发布版（2024指标年）</t>
        </is>
      </c>
      <c r="T268" s="2" t="inlineStr">
        <is>
          <t>WATER RESOURCES; ENGINEERING, ENVIRONMENTAL; ENVIRONMENTAL SCIENCES; LIMNOLOGY</t>
        </is>
      </c>
      <c r="U268" s="2" t="inlineStr">
        <is>
          <t>WATER RESOURCES: Q3; ENGINEERING, ENVIRONMENTAL: Q4; ENVIRONMENTAL SCIENCES: Q3; LIMNOLOGY: Q2</t>
        </is>
      </c>
      <c r="V268" s="2" t="inlineStr">
        <is>
          <t>否</t>
        </is>
      </c>
      <c r="W268" s="2" t="inlineStr">
        <is>
          <t>否</t>
        </is>
      </c>
      <c r="X268" s="2" t="inlineStr">
        <is>
          <t>是</t>
        </is>
      </c>
      <c r="Y268" s="2" t="inlineStr">
        <is>
          <t>https://topj.lib.whu.edu.cn/show.asp?cat=zk&amp;id=4326</t>
        </is>
      </c>
      <c r="Z268" s="2" t="inlineStr">
        <is>
          <t>https://api.crossref.org/works/10.1002/wer.1208</t>
        </is>
      </c>
      <c r="AA26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68" s="2" t="inlineStr"/>
      <c r="AC268" s="2" t="inlineStr"/>
      <c r="AD268" s="2" t="inlineStr"/>
    </row>
    <row r="269" ht="48" customHeight="1">
      <c r="A269" s="3" t="inlineStr">
        <is>
          <t>R05611</t>
        </is>
      </c>
      <c r="B269" s="3" t="inlineStr">
        <is>
          <t>Enhanced hydrolysis and acidification of cellulose at high loading for methane production via anaerobic digestion supplemented with high mobility nanobubble water</t>
        </is>
      </c>
      <c r="C269" s="3" t="inlineStr">
        <is>
          <t>2020</t>
        </is>
      </c>
      <c r="D269" s="3" t="inlineStr">
        <is>
          <t>2020</t>
        </is>
      </c>
      <c r="E269" s="3" t="inlineStr">
        <is>
          <t>10.1016/j.biortech.2019.122499</t>
        </is>
      </c>
      <c r="F269" s="3" t="inlineStr">
        <is>
          <t>期刊文章</t>
        </is>
      </c>
      <c r="G269" s="3" t="inlineStr">
        <is>
          <t>1 直接向 AD 反应器或内部循环系统供氧</t>
        </is>
      </c>
      <c r="H269" s="3" t="inlineStr">
        <is>
          <t>是</t>
        </is>
      </c>
      <c r="I269" s="3" t="inlineStr">
        <is>
          <t>研究类</t>
        </is>
      </c>
      <c r="J269" s="3" t="inlineStr">
        <is>
          <t>是</t>
        </is>
      </c>
      <c r="K269" s="3" t="inlineStr">
        <is>
          <t>BIORESOURCE TECHNOLOGY</t>
        </is>
      </c>
      <c r="L269" s="3" t="inlineStr">
        <is>
          <t>Bioresource Technology</t>
        </is>
      </c>
      <c r="M269" s="3" t="inlineStr">
        <is>
          <t>0960-8524</t>
        </is>
      </c>
      <c r="N269" s="3" t="inlineStr"/>
      <c r="O269" s="3" t="inlineStr">
        <is>
          <t>已取得核验全文</t>
        </is>
      </c>
      <c r="P269" s="3" t="inlineStr">
        <is>
          <t>是</t>
        </is>
      </c>
      <c r="Q269" s="3" t="inlineStr">
        <is>
          <t>已取得1件原格式补充材料；其中0件唯一关联待核实；完整性未确认</t>
        </is>
      </c>
      <c r="R269" s="3" t="n">
        <v>2024</v>
      </c>
      <c r="S269" s="3" t="inlineStr">
        <is>
          <t>2025发布版（2024指标年）</t>
        </is>
      </c>
      <c r="T269" s="3" t="inlineStr">
        <is>
          <t>AGRICULTURAL ENGINEERING; BIOTECHNOLOGY &amp; APPLIED MICROBIOLOGY; ENERGY &amp; FUELS</t>
        </is>
      </c>
      <c r="U269" s="3" t="inlineStr">
        <is>
          <t>AGRICULTURAL ENGINEERING: Q1; BIOTECHNOLOGY &amp; APPLIED MICROBIOLOGY: Q1; ENERGY &amp; FUELS: Q1</t>
        </is>
      </c>
      <c r="V269" s="4" t="inlineStr">
        <is>
          <t>是</t>
        </is>
      </c>
      <c r="W269" s="4" t="inlineStr">
        <is>
          <t>是</t>
        </is>
      </c>
      <c r="X269" s="3" t="inlineStr">
        <is>
          <t>是</t>
        </is>
      </c>
      <c r="Y269" s="3" t="inlineStr">
        <is>
          <t>https://topj.lib.whu.edu.cn/show.asp?cat=zk&amp;id=3976</t>
        </is>
      </c>
      <c r="Z269" s="3" t="inlineStr">
        <is>
          <t>https://api.crossref.org/works/10.1016/j.biortech.2019.122499</t>
        </is>
      </c>
      <c r="AA26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69" s="3" t="inlineStr">
        <is>
          <t>original_files/R05611/fulltext/fulltext__published__df7f2fb583e2aa96.pdf</t>
        </is>
      </c>
      <c r="AC269" s="3" t="inlineStr">
        <is>
          <t>original_files/R05611/supplementary/supplementary__d47beca0f3a51c5b.docx</t>
        </is>
      </c>
      <c r="AD269" s="3" t="inlineStr">
        <is>
          <t>https://github.com/Colliam-Vermilion/FirstCodex/blob/results/ad-oxygen-literature-20261006/results/ad-oxygen-literature-20261006/original_files/R05611/fulltext/fulltext__published__df7f2fb583e2aa96.pdf</t>
        </is>
      </c>
    </row>
    <row r="270" ht="48" customHeight="1">
      <c r="A270" s="2" t="inlineStr">
        <is>
          <t>R05626</t>
        </is>
      </c>
      <c r="B270" s="2" t="inlineStr">
        <is>
          <t>Enhancing energy recovery from corn straw via two-stage anaerobic digestion with stepwise microaerobic hydrogen fermentation and methanogenesis</t>
        </is>
      </c>
      <c r="C270" s="2" t="inlineStr">
        <is>
          <t>2020</t>
        </is>
      </c>
      <c r="D270" s="2" t="inlineStr">
        <is>
          <t>2020</t>
        </is>
      </c>
      <c r="E270" s="2" t="inlineStr">
        <is>
          <t>10.1016/j.jclepro.2019.119651</t>
        </is>
      </c>
      <c r="F270" s="2" t="inlineStr">
        <is>
          <t>期刊文章</t>
        </is>
      </c>
      <c r="G270" s="2" t="inlineStr">
        <is>
          <t>2 向厌氧水解或产酸阶段供氧</t>
        </is>
      </c>
      <c r="H270" s="2" t="inlineStr">
        <is>
          <t>是</t>
        </is>
      </c>
      <c r="I270" s="2" t="inlineStr">
        <is>
          <t>研究类</t>
        </is>
      </c>
      <c r="J270" s="2" t="inlineStr">
        <is>
          <t>是</t>
        </is>
      </c>
      <c r="K270" s="2" t="inlineStr">
        <is>
          <t>JOURNAL OF CLEANER PRODUCTION</t>
        </is>
      </c>
      <c r="L270" s="2" t="inlineStr">
        <is>
          <t>Journal of Cleaner Production</t>
        </is>
      </c>
      <c r="M270" s="2" t="inlineStr">
        <is>
          <t>0959-6526</t>
        </is>
      </c>
      <c r="N270" s="2" t="inlineStr"/>
      <c r="O270" s="2" t="inlineStr">
        <is>
          <t>已取得核验全文</t>
        </is>
      </c>
      <c r="P270" s="2" t="inlineStr">
        <is>
          <t>是</t>
        </is>
      </c>
      <c r="Q270" s="2" t="inlineStr">
        <is>
          <t>当前无补充材料原件；沿用既有缺失/无附件证据，不据此认定无附件</t>
        </is>
      </c>
      <c r="R270" s="2" t="n">
        <v>2024</v>
      </c>
      <c r="S270" s="2" t="inlineStr">
        <is>
          <t>2025发布版（2024指标年）</t>
        </is>
      </c>
      <c r="T270" s="2" t="inlineStr">
        <is>
          <t>ENGINEERING, ENVIRONMENTAL; ENVIRONMENTAL SCIENCES; GREEN &amp; SUSTAINABLE SCIENCE &amp; TECHNOLOGY</t>
        </is>
      </c>
      <c r="U270" s="2" t="inlineStr">
        <is>
          <t>ENGINEERING, ENVIRONMENTAL: Q1; ENVIRONMENTAL SCIENCES: Q1; GREEN &amp; SUSTAINABLE SCIENCE &amp; TECHNOLOGY: Q1</t>
        </is>
      </c>
      <c r="V270" s="4" t="inlineStr">
        <is>
          <t>是</t>
        </is>
      </c>
      <c r="W270" s="4" t="inlineStr">
        <is>
          <t>是</t>
        </is>
      </c>
      <c r="X270" s="2" t="inlineStr">
        <is>
          <t>是</t>
        </is>
      </c>
      <c r="Y270" s="2" t="inlineStr">
        <is>
          <t>https://topj.lib.whu.edu.cn/show.asp?cat=esi&amp;id=6394</t>
        </is>
      </c>
      <c r="Z270" s="2" t="inlineStr">
        <is>
          <t>https://api.crossref.org/works/10.1016/j.jclepro.2019.119651</t>
        </is>
      </c>
      <c r="AA27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70" s="2" t="inlineStr">
        <is>
          <t>original_files/R05626/fulltext/fulltext__published__601b59cfb5a3c380.pdf</t>
        </is>
      </c>
      <c r="AC270" s="2" t="inlineStr"/>
      <c r="AD270" s="2" t="inlineStr">
        <is>
          <t>https://github.com/Colliam-Vermilion/FirstCodex/blob/results/ad-oxygen-literature-20261006/results/ad-oxygen-literature-20261006/original_files/R05626/fulltext/fulltext__published__601b59cfb5a3c380.pdf</t>
        </is>
      </c>
    </row>
    <row r="271" ht="48" customHeight="1">
      <c r="A271" s="3" t="inlineStr">
        <is>
          <t>R05728</t>
        </is>
      </c>
      <c r="B271" s="3" t="inlineStr">
        <is>
          <t>Improved methane production from corn straw using anaerobically digested sludge pre-augmented by nanobubble water</t>
        </is>
      </c>
      <c r="C271" s="3" t="inlineStr">
        <is>
          <t>2020</t>
        </is>
      </c>
      <c r="D271" s="3" t="inlineStr">
        <is>
          <t>2020</t>
        </is>
      </c>
      <c r="E271" s="3" t="inlineStr">
        <is>
          <t>10.1016/j.biortech.2020.123479</t>
        </is>
      </c>
      <c r="F271" s="3" t="inlineStr">
        <is>
          <t>期刊文章</t>
        </is>
      </c>
      <c r="G271" s="3" t="inlineStr">
        <is>
          <t>3 独立好氧或微好氧预处理</t>
        </is>
      </c>
      <c r="H271" s="3" t="inlineStr">
        <is>
          <t>是</t>
        </is>
      </c>
      <c r="I271" s="3" t="inlineStr">
        <is>
          <t>研究类</t>
        </is>
      </c>
      <c r="J271" s="3" t="inlineStr">
        <is>
          <t>是</t>
        </is>
      </c>
      <c r="K271" s="3" t="inlineStr">
        <is>
          <t>BIORESOURCE TECHNOLOGY</t>
        </is>
      </c>
      <c r="L271" s="3" t="inlineStr">
        <is>
          <t>Bioresource Technology</t>
        </is>
      </c>
      <c r="M271" s="3" t="inlineStr">
        <is>
          <t>0960-8524</t>
        </is>
      </c>
      <c r="N271" s="3" t="inlineStr"/>
      <c r="O271" s="3" t="inlineStr">
        <is>
          <t>已取得核验全文</t>
        </is>
      </c>
      <c r="P271" s="3" t="inlineStr">
        <is>
          <t>是</t>
        </is>
      </c>
      <c r="Q271" s="3" t="inlineStr">
        <is>
          <t>当前无补充材料原件；沿用既有缺失/无附件证据，不据此认定无附件</t>
        </is>
      </c>
      <c r="R271" s="3" t="n">
        <v>2024</v>
      </c>
      <c r="S271" s="3" t="inlineStr">
        <is>
          <t>2025发布版（2024指标年）</t>
        </is>
      </c>
      <c r="T271" s="3" t="inlineStr">
        <is>
          <t>AGRICULTURAL ENGINEERING; BIOTECHNOLOGY &amp; APPLIED MICROBIOLOGY; ENERGY &amp; FUELS</t>
        </is>
      </c>
      <c r="U271" s="3" t="inlineStr">
        <is>
          <t>AGRICULTURAL ENGINEERING: Q1; BIOTECHNOLOGY &amp; APPLIED MICROBIOLOGY: Q1; ENERGY &amp; FUELS: Q1</t>
        </is>
      </c>
      <c r="V271" s="4" t="inlineStr">
        <is>
          <t>是</t>
        </is>
      </c>
      <c r="W271" s="4" t="inlineStr">
        <is>
          <t>是</t>
        </is>
      </c>
      <c r="X271" s="3" t="inlineStr">
        <is>
          <t>是</t>
        </is>
      </c>
      <c r="Y271" s="3" t="inlineStr">
        <is>
          <t>https://topj.lib.whu.edu.cn/show.asp?cat=zk&amp;id=3976</t>
        </is>
      </c>
      <c r="Z271" s="3" t="inlineStr">
        <is>
          <t>https://api.crossref.org/works/10.1016/j.biortech.2020.123479</t>
        </is>
      </c>
      <c r="AA27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71" s="3" t="inlineStr">
        <is>
          <t>original_files/R05728/fulltext/fulltext__published__3d7c808987956614.pdf</t>
        </is>
      </c>
      <c r="AC271" s="3" t="inlineStr"/>
      <c r="AD271" s="3" t="inlineStr">
        <is>
          <t>https://github.com/Colliam-Vermilion/FirstCodex/blob/results/ad-oxygen-literature-20261006/results/ad-oxygen-literature-20261006/original_files/R05728/fulltext/fulltext__published__3d7c808987956614.pdf</t>
        </is>
      </c>
    </row>
    <row r="272" ht="48" customHeight="1">
      <c r="A272" s="2" t="inlineStr">
        <is>
          <t>R05734</t>
        </is>
      </c>
      <c r="B272" s="2" t="inlineStr">
        <is>
          <t>Improving performance and phosphorus content of anaerobic co-digestion of dairy manure with aloe peel waste using vermiculite</t>
        </is>
      </c>
      <c r="C272" s="2" t="inlineStr">
        <is>
          <t>2020</t>
        </is>
      </c>
      <c r="D272" s="2" t="inlineStr">
        <is>
          <t>2020</t>
        </is>
      </c>
      <c r="E272" s="2" t="inlineStr">
        <is>
          <t>10.1016/j.biortech.2020.122753</t>
        </is>
      </c>
      <c r="F272" s="2" t="inlineStr">
        <is>
          <t>期刊文章</t>
        </is>
      </c>
      <c r="G272" s="2" t="inlineStr">
        <is>
          <t>5 排除</t>
        </is>
      </c>
      <c r="H272" s="2" t="inlineStr">
        <is>
          <t>否</t>
        </is>
      </c>
      <c r="I272" s="2" t="inlineStr">
        <is>
          <t>研究类</t>
        </is>
      </c>
      <c r="J272" s="2" t="inlineStr">
        <is>
          <t>否</t>
        </is>
      </c>
      <c r="K272" s="2" t="inlineStr">
        <is>
          <t>BIORESOURCE TECHNOLOGY</t>
        </is>
      </c>
      <c r="L272" s="2" t="inlineStr">
        <is>
          <t>Bioresource Technology</t>
        </is>
      </c>
      <c r="M272" s="2" t="inlineStr">
        <is>
          <t>0960-8524</t>
        </is>
      </c>
      <c r="N272" s="2" t="inlineStr"/>
      <c r="O272" s="2" t="inlineStr">
        <is>
          <t>未取得全文</t>
        </is>
      </c>
      <c r="P272" s="2" t="inlineStr">
        <is>
          <t>否</t>
        </is>
      </c>
      <c r="Q272" s="2" t="inlineStr">
        <is>
          <t>当前无补充材料原件；沿用既有缺失/无附件证据，不据此认定无附件</t>
        </is>
      </c>
      <c r="R272" s="2" t="n">
        <v>2024</v>
      </c>
      <c r="S272" s="2" t="inlineStr">
        <is>
          <t>2025发布版（2024指标年）</t>
        </is>
      </c>
      <c r="T272" s="2" t="inlineStr">
        <is>
          <t>AGRICULTURAL ENGINEERING; BIOTECHNOLOGY &amp; APPLIED MICROBIOLOGY; ENERGY &amp; FUELS</t>
        </is>
      </c>
      <c r="U272" s="2" t="inlineStr">
        <is>
          <t>AGRICULTURAL ENGINEERING: Q1; BIOTECHNOLOGY &amp; APPLIED MICROBIOLOGY: Q1; ENERGY &amp; FUELS: Q1</t>
        </is>
      </c>
      <c r="V272" s="4" t="inlineStr">
        <is>
          <t>是</t>
        </is>
      </c>
      <c r="W272" s="4" t="inlineStr">
        <is>
          <t>是</t>
        </is>
      </c>
      <c r="X272" s="2" t="inlineStr">
        <is>
          <t>是</t>
        </is>
      </c>
      <c r="Y272" s="2" t="inlineStr">
        <is>
          <t>https://topj.lib.whu.edu.cn/show.asp?cat=zk&amp;id=3976</t>
        </is>
      </c>
      <c r="Z272" s="2" t="inlineStr">
        <is>
          <t>https://api.crossref.org/works/10.1016/j.biortech.2020.122753</t>
        </is>
      </c>
      <c r="AA27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72" s="2" t="inlineStr"/>
      <c r="AC272" s="2" t="inlineStr"/>
      <c r="AD272" s="2" t="inlineStr"/>
    </row>
    <row r="273" ht="48" customHeight="1">
      <c r="A273" s="3" t="inlineStr">
        <is>
          <t>R05979</t>
        </is>
      </c>
      <c r="B273" s="3" t="inlineStr">
        <is>
          <t>Performance of a Full-Scale Anaerobic Digestion on Bakery Wastewater Treatment : Effect of Modified Distribution System</t>
        </is>
      </c>
      <c r="C273" s="3" t="inlineStr">
        <is>
          <t>2020</t>
        </is>
      </c>
      <c r="D273" s="3" t="inlineStr">
        <is>
          <t>2020</t>
        </is>
      </c>
      <c r="E273" s="3" t="inlineStr">
        <is>
          <t>10.21771/jrtppi.2020.v11.no1.p12-18</t>
        </is>
      </c>
      <c r="F273" s="3" t="inlineStr">
        <is>
          <t>期刊文章</t>
        </is>
      </c>
      <c r="G273" s="3" t="inlineStr">
        <is>
          <t>5 排除</t>
        </is>
      </c>
      <c r="H273" s="3" t="inlineStr">
        <is>
          <t>否</t>
        </is>
      </c>
      <c r="I273" s="3" t="inlineStr">
        <is>
          <t>研究类</t>
        </is>
      </c>
      <c r="J273" s="3" t="inlineStr">
        <is>
          <t>否</t>
        </is>
      </c>
      <c r="K273" s="3" t="inlineStr">
        <is>
          <t>Jurnal Riset Teknologi Pencegahan Pencemaran Industri</t>
        </is>
      </c>
      <c r="L273" s="3" t="inlineStr">
        <is>
          <t>Jurnal Riset Teknologi Pencegahan Pencemaran Industri</t>
        </is>
      </c>
      <c r="M273" s="3" t="inlineStr">
        <is>
          <t>2087-0965</t>
        </is>
      </c>
      <c r="N273" s="3" t="inlineStr">
        <is>
          <t>2503-5010</t>
        </is>
      </c>
      <c r="O273" s="3" t="inlineStr">
        <is>
          <t>未取得全文</t>
        </is>
      </c>
      <c r="P273" s="3" t="inlineStr">
        <is>
          <t>否</t>
        </is>
      </c>
      <c r="Q273" s="3" t="inlineStr">
        <is>
          <t>当前无补充材料原件；沿用既有缺失/无附件证据，不据此认定无附件</t>
        </is>
      </c>
      <c r="R273" s="3" t="n">
        <v>2024</v>
      </c>
      <c r="S273" s="3" t="inlineStr">
        <is>
          <t>2025发布版（2024指标年）</t>
        </is>
      </c>
      <c r="T273" s="3" t="inlineStr"/>
      <c r="U273" s="3" t="inlineStr"/>
      <c r="V273" s="3" t="inlineStr">
        <is>
          <t>待核实</t>
        </is>
      </c>
      <c r="W273" s="3" t="inlineStr">
        <is>
          <t>待核实</t>
        </is>
      </c>
      <c r="X273" s="3" t="inlineStr">
        <is>
          <t>否</t>
        </is>
      </c>
      <c r="Y273" s="3" t="inlineStr"/>
      <c r="Z273" s="3" t="inlineStr">
        <is>
          <t>https://api.crossref.org/works/10.21771/jrtppi.2020.v11.no1.p12-18</t>
        </is>
      </c>
      <c r="AA273" s="3" t="inlineStr">
        <is>
          <t>2024指标年JCR分区未核实；空白不能当非Q1。需要2025发布版/2024指标年的JCR全部学科导出。</t>
        </is>
      </c>
      <c r="AB273" s="3" t="inlineStr"/>
      <c r="AC273" s="3" t="inlineStr"/>
      <c r="AD273" s="3" t="inlineStr"/>
    </row>
    <row r="274" ht="48" customHeight="1">
      <c r="A274" s="2" t="inlineStr">
        <is>
          <t>R06036</t>
        </is>
      </c>
      <c r="B274" s="2" t="inlineStr">
        <is>
          <t>Rapid hydrogen generation from cotton wastes by mean of dark fermentation</t>
        </is>
      </c>
      <c r="C274" s="2" t="inlineStr">
        <is>
          <t>2020</t>
        </is>
      </c>
      <c r="D274" s="2" t="inlineStr">
        <is>
          <t>2020</t>
        </is>
      </c>
      <c r="E274" s="2" t="inlineStr">
        <is>
          <t>10.1007/s42452-020-03247-3</t>
        </is>
      </c>
      <c r="F274" s="2" t="inlineStr">
        <is>
          <t>期刊文章</t>
        </is>
      </c>
      <c r="G274" s="2" t="inlineStr">
        <is>
          <t>2 向厌氧水解或产酸阶段供氧</t>
        </is>
      </c>
      <c r="H274" s="2" t="inlineStr">
        <is>
          <t>是</t>
        </is>
      </c>
      <c r="I274" s="2" t="inlineStr">
        <is>
          <t>研究类</t>
        </is>
      </c>
      <c r="J274" s="2" t="inlineStr">
        <is>
          <t>是</t>
        </is>
      </c>
      <c r="K274" s="2" t="inlineStr">
        <is>
          <t>SN Applied Sciences</t>
        </is>
      </c>
      <c r="L274" s="2" t="inlineStr">
        <is>
          <t>SN Applied Sciences</t>
        </is>
      </c>
      <c r="M274" s="2" t="inlineStr">
        <is>
          <t>2523-3963</t>
        </is>
      </c>
      <c r="N274" s="2" t="inlineStr">
        <is>
          <t>2523-3971</t>
        </is>
      </c>
      <c r="O274" s="2" t="inlineStr">
        <is>
          <t>已取得核验全文</t>
        </is>
      </c>
      <c r="P274" s="2" t="inlineStr">
        <is>
          <t>是</t>
        </is>
      </c>
      <c r="Q274" s="2" t="inlineStr">
        <is>
          <t>当前无补充材料原件；沿用既有缺失/无附件证据，不据此认定无附件</t>
        </is>
      </c>
      <c r="R274" s="2" t="n">
        <v>2024</v>
      </c>
      <c r="S274" s="2" t="inlineStr">
        <is>
          <t>2025发布版（2024指标年）</t>
        </is>
      </c>
      <c r="T274" s="2" t="inlineStr"/>
      <c r="U274" s="2" t="inlineStr"/>
      <c r="V274" s="2" t="inlineStr">
        <is>
          <t>待核实</t>
        </is>
      </c>
      <c r="W274" s="2" t="inlineStr">
        <is>
          <t>待核实</t>
        </is>
      </c>
      <c r="X274" s="2" t="inlineStr">
        <is>
          <t>否</t>
        </is>
      </c>
      <c r="Y274" s="2" t="inlineStr"/>
      <c r="Z274" s="2" t="inlineStr">
        <is>
          <t>https://api.crossref.org/works/10.1007/s42452-020-03247-3</t>
        </is>
      </c>
      <c r="AA274" s="2" t="inlineStr">
        <is>
          <t>2024指标年JCR分区未核实；空白不能当非Q1。需要2025发布版/2024指标年的JCR全部学科导出。</t>
        </is>
      </c>
      <c r="AB274" s="2" t="inlineStr">
        <is>
          <t>original_files/R06036/fulltext/fulltext__published__0bdc7b19fdb70091.pdf</t>
        </is>
      </c>
      <c r="AC274" s="2" t="inlineStr"/>
      <c r="AD274" s="2" t="inlineStr">
        <is>
          <t>https://github.com/Colliam-Vermilion/FirstCodex/blob/results/ad-oxygen-literature-20261006/results/ad-oxygen-literature-20261006/original_files/R06036/fulltext/fulltext__published__0bdc7b19fdb70091.pdf</t>
        </is>
      </c>
    </row>
    <row r="275" ht="48" customHeight="1">
      <c r="A275" s="3" t="inlineStr">
        <is>
          <t>R06078</t>
        </is>
      </c>
      <c r="B275" s="3" t="inlineStr">
        <is>
          <t>Self-sustaining treatment as a novel alternative for the stabilization of anaerobic digestate</t>
        </is>
      </c>
      <c r="C275" s="3" t="inlineStr">
        <is>
          <t>2020</t>
        </is>
      </c>
      <c r="D275" s="3" t="inlineStr">
        <is>
          <t>2020</t>
        </is>
      </c>
      <c r="E275" s="3" t="inlineStr">
        <is>
          <t>10.1016/j.jenvman.2020.110544</t>
        </is>
      </c>
      <c r="F275" s="3" t="inlineStr">
        <is>
          <t>期刊文章</t>
        </is>
      </c>
      <c r="G275" s="3" t="inlineStr">
        <is>
          <t>5 排除</t>
        </is>
      </c>
      <c r="H275" s="3" t="inlineStr">
        <is>
          <t>否</t>
        </is>
      </c>
      <c r="I275" s="3" t="inlineStr">
        <is>
          <t>研究类</t>
        </is>
      </c>
      <c r="J275" s="3" t="inlineStr">
        <is>
          <t>否</t>
        </is>
      </c>
      <c r="K275" s="3" t="inlineStr">
        <is>
          <t>Journal of Environmental Management</t>
        </is>
      </c>
      <c r="L275" s="3" t="inlineStr">
        <is>
          <t>Journal of Environmental Management</t>
        </is>
      </c>
      <c r="M275" s="3" t="inlineStr">
        <is>
          <t>0301-4797</t>
        </is>
      </c>
      <c r="N275" s="3" t="inlineStr"/>
      <c r="O275" s="3" t="inlineStr">
        <is>
          <t>未取得全文</t>
        </is>
      </c>
      <c r="P275" s="3" t="inlineStr">
        <is>
          <t>否</t>
        </is>
      </c>
      <c r="Q275" s="3" t="inlineStr">
        <is>
          <t>当前无补充材料原件；沿用既有缺失/无附件证据，不据此认定无附件</t>
        </is>
      </c>
      <c r="R275" s="3" t="n">
        <v>2024</v>
      </c>
      <c r="S275" s="3" t="inlineStr">
        <is>
          <t>2025发布版（2024指标年）</t>
        </is>
      </c>
      <c r="T275" s="3" t="inlineStr">
        <is>
          <t>ENVIRONMENTAL SCIENCES</t>
        </is>
      </c>
      <c r="U275" s="3" t="inlineStr">
        <is>
          <t>ENVIRONMENTAL SCIENCES: Q1</t>
        </is>
      </c>
      <c r="V275" s="4" t="inlineStr">
        <is>
          <t>是</t>
        </is>
      </c>
      <c r="W275" s="4" t="inlineStr">
        <is>
          <t>是</t>
        </is>
      </c>
      <c r="X275" s="3" t="inlineStr">
        <is>
          <t>是</t>
        </is>
      </c>
      <c r="Y275" s="3" t="inlineStr">
        <is>
          <t>https://topj.lib.whu.edu.cn/show.asp?cat=sci&amp;id=6965</t>
        </is>
      </c>
      <c r="Z275" s="3" t="inlineStr">
        <is>
          <t>https://api.crossref.org/works/10.1016/j.jenvman.2020.110544</t>
        </is>
      </c>
      <c r="AA27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75" s="3" t="inlineStr"/>
      <c r="AC275" s="3" t="inlineStr"/>
      <c r="AD275" s="3" t="inlineStr"/>
    </row>
    <row r="276" ht="48" customHeight="1">
      <c r="A276" s="2" t="inlineStr">
        <is>
          <t>R06080</t>
        </is>
      </c>
      <c r="B276" s="2" t="inlineStr">
        <is>
          <t>Sensor‐mediated granular sludge reactor for nitrogen removal and reduced aeration demand using a dilute wastewater</t>
        </is>
      </c>
      <c r="C276" s="2" t="inlineStr">
        <is>
          <t>2020</t>
        </is>
      </c>
      <c r="D276" s="2" t="inlineStr">
        <is>
          <t>2020</t>
        </is>
      </c>
      <c r="E276" s="2" t="inlineStr">
        <is>
          <t>10.1002/wer.1296</t>
        </is>
      </c>
      <c r="F276" s="2" t="inlineStr">
        <is>
          <t>期刊文章</t>
        </is>
      </c>
      <c r="G276" s="2" t="inlineStr">
        <is>
          <t>5 排除</t>
        </is>
      </c>
      <c r="H276" s="2" t="inlineStr">
        <is>
          <t>否</t>
        </is>
      </c>
      <c r="I276" s="2" t="inlineStr">
        <is>
          <t>研究类</t>
        </is>
      </c>
      <c r="J276" s="2" t="inlineStr">
        <is>
          <t>否</t>
        </is>
      </c>
      <c r="K276" s="2" t="inlineStr">
        <is>
          <t>WATER ENVIRONMENT RESEARCH</t>
        </is>
      </c>
      <c r="L276" s="2" t="inlineStr">
        <is>
          <t>Water Environment Research</t>
        </is>
      </c>
      <c r="M276" s="2" t="inlineStr">
        <is>
          <t>1061-4303</t>
        </is>
      </c>
      <c r="N276" s="2" t="inlineStr">
        <is>
          <t>1554-7531</t>
        </is>
      </c>
      <c r="O276" s="2" t="inlineStr">
        <is>
          <t>未取得全文</t>
        </is>
      </c>
      <c r="P276" s="2" t="inlineStr">
        <is>
          <t>否</t>
        </is>
      </c>
      <c r="Q276" s="2" t="inlineStr">
        <is>
          <t>当前无补充材料原件；沿用既有缺失/无附件证据，不据此认定无附件</t>
        </is>
      </c>
      <c r="R276" s="2" t="n">
        <v>2024</v>
      </c>
      <c r="S276" s="2" t="inlineStr">
        <is>
          <t>2025发布版（2024指标年）</t>
        </is>
      </c>
      <c r="T276" s="2" t="inlineStr">
        <is>
          <t>WATER RESOURCES; ENGINEERING, ENVIRONMENTAL; ENVIRONMENTAL SCIENCES; LIMNOLOGY</t>
        </is>
      </c>
      <c r="U276" s="2" t="inlineStr">
        <is>
          <t>WATER RESOURCES: Q3; ENGINEERING, ENVIRONMENTAL: Q4; ENVIRONMENTAL SCIENCES: Q3; LIMNOLOGY: Q2</t>
        </is>
      </c>
      <c r="V276" s="2" t="inlineStr">
        <is>
          <t>否</t>
        </is>
      </c>
      <c r="W276" s="2" t="inlineStr">
        <is>
          <t>否</t>
        </is>
      </c>
      <c r="X276" s="2" t="inlineStr">
        <is>
          <t>是</t>
        </is>
      </c>
      <c r="Y276" s="2" t="inlineStr">
        <is>
          <t>https://topj.lib.whu.edu.cn/show.asp?cat=zk&amp;id=4326</t>
        </is>
      </c>
      <c r="Z276" s="2" t="inlineStr">
        <is>
          <t>https://api.crossref.org/works/10.1002/wer.1296</t>
        </is>
      </c>
      <c r="AA27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76" s="2" t="inlineStr"/>
      <c r="AC276" s="2" t="inlineStr"/>
      <c r="AD276" s="2" t="inlineStr"/>
    </row>
    <row r="277" ht="48" customHeight="1">
      <c r="A277" s="3" t="inlineStr">
        <is>
          <t>R06129</t>
        </is>
      </c>
      <c r="B277" s="3" t="inlineStr">
        <is>
          <t>Supplementation of O2-containing gas nanobubble water to enhance methane production from anaerobic digestion of cellulose</t>
        </is>
      </c>
      <c r="C277" s="3" t="inlineStr">
        <is>
          <t>2020</t>
        </is>
      </c>
      <c r="D277" s="3" t="inlineStr">
        <is>
          <t>2020</t>
        </is>
      </c>
      <c r="E277" s="3" t="inlineStr">
        <is>
          <t>10.1016/j.cej.2020.125652</t>
        </is>
      </c>
      <c r="F277" s="3" t="inlineStr">
        <is>
          <t>期刊文章</t>
        </is>
      </c>
      <c r="G277" s="3" t="inlineStr">
        <is>
          <t>1 直接向 AD 反应器或内部循环系统供氧</t>
        </is>
      </c>
      <c r="H277" s="3" t="inlineStr">
        <is>
          <t>是</t>
        </is>
      </c>
      <c r="I277" s="3" t="inlineStr">
        <is>
          <t>研究类</t>
        </is>
      </c>
      <c r="J277" s="3" t="inlineStr">
        <is>
          <t>是</t>
        </is>
      </c>
      <c r="K277" s="3" t="inlineStr">
        <is>
          <t>Chemical Engineering Journal</t>
        </is>
      </c>
      <c r="L277" s="3" t="inlineStr">
        <is>
          <t>Chemical Engineering Journal</t>
        </is>
      </c>
      <c r="M277" s="3" t="inlineStr">
        <is>
          <t>1385-8947</t>
        </is>
      </c>
      <c r="N277" s="3" t="inlineStr"/>
      <c r="O277" s="3" t="inlineStr">
        <is>
          <t>已取得核验全文</t>
        </is>
      </c>
      <c r="P277" s="3" t="inlineStr">
        <is>
          <t>是</t>
        </is>
      </c>
      <c r="Q277" s="3" t="inlineStr">
        <is>
          <t>已取得1件原格式补充材料；其中0件唯一关联待核实；完整性未确认</t>
        </is>
      </c>
      <c r="R277" s="3" t="n">
        <v>2024</v>
      </c>
      <c r="S277" s="3" t="inlineStr">
        <is>
          <t>2025发布版（2024指标年）</t>
        </is>
      </c>
      <c r="T277" s="3" t="inlineStr">
        <is>
          <t>ENGINEERING, CHEMICAL; ENGINEERING, ENVIRONMENTAL</t>
        </is>
      </c>
      <c r="U277" s="3" t="inlineStr">
        <is>
          <t>ENGINEERING, CHEMICAL: Q1; ENGINEERING, ENVIRONMENTAL: Q1</t>
        </is>
      </c>
      <c r="V277" s="4" t="inlineStr">
        <is>
          <t>是</t>
        </is>
      </c>
      <c r="W277" s="4" t="inlineStr">
        <is>
          <t>是</t>
        </is>
      </c>
      <c r="X277" s="3" t="inlineStr">
        <is>
          <t>是</t>
        </is>
      </c>
      <c r="Y277" s="3" t="inlineStr">
        <is>
          <t>https://topj.lib.whu.edu.cn/show.asp?cat=zk&amp;id=2740</t>
        </is>
      </c>
      <c r="Z277" s="3" t="inlineStr">
        <is>
          <t>https://api.crossref.org/works/10.1016/j.cej.2020.125652</t>
        </is>
      </c>
      <c r="AA27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77" s="3" t="inlineStr">
        <is>
          <t>original_files/R06129/fulltext/fulltext__published__d61967d4ec559e33.pdf</t>
        </is>
      </c>
      <c r="AC277" s="3" t="inlineStr">
        <is>
          <t>original_files/R06129/supplementary/supplementary__843f67cf48ce0705.pdf</t>
        </is>
      </c>
      <c r="AD277" s="3" t="inlineStr">
        <is>
          <t>https://github.com/Colliam-Vermilion/FirstCodex/blob/results/ad-oxygen-literature-20261006/results/ad-oxygen-literature-20261006/original_files/R06129/fulltext/fulltext__published__d61967d4ec559e33.pdf</t>
        </is>
      </c>
    </row>
    <row r="278" ht="48" customHeight="1">
      <c r="A278" s="2" t="inlineStr">
        <is>
          <t>R06294</t>
        </is>
      </c>
      <c r="B278" s="2" t="inlineStr">
        <is>
          <t>Addition of air-nanobubble water to mitigate the inhibition of high salinity on co-production of hydrogen and methane from two-stage anaerobic digestion of food waste</t>
        </is>
      </c>
      <c r="C278" s="2" t="inlineStr">
        <is>
          <t>2021</t>
        </is>
      </c>
      <c r="D278" s="2" t="inlineStr">
        <is>
          <t>2021</t>
        </is>
      </c>
      <c r="E278" s="2" t="inlineStr">
        <is>
          <t>10.1016/j.jclepro.2021.127942</t>
        </is>
      </c>
      <c r="F278" s="2" t="inlineStr">
        <is>
          <t>期刊文章</t>
        </is>
      </c>
      <c r="G278" s="2" t="inlineStr">
        <is>
          <t>1 直接向 AD 反应器或内部循环系统供氧</t>
        </is>
      </c>
      <c r="H278" s="2" t="inlineStr">
        <is>
          <t>是</t>
        </is>
      </c>
      <c r="I278" s="2" t="inlineStr">
        <is>
          <t>研究类</t>
        </is>
      </c>
      <c r="J278" s="2" t="inlineStr">
        <is>
          <t>是</t>
        </is>
      </c>
      <c r="K278" s="2" t="inlineStr">
        <is>
          <t>JOURNAL OF CLEANER PRODUCTION</t>
        </is>
      </c>
      <c r="L278" s="2" t="inlineStr">
        <is>
          <t>Journal of Cleaner Production</t>
        </is>
      </c>
      <c r="M278" s="2" t="inlineStr">
        <is>
          <t>0959-6526</t>
        </is>
      </c>
      <c r="N278" s="2" t="inlineStr"/>
      <c r="O278" s="2" t="inlineStr">
        <is>
          <t>已取得核验全文</t>
        </is>
      </c>
      <c r="P278" s="2" t="inlineStr">
        <is>
          <t>是</t>
        </is>
      </c>
      <c r="Q278" s="2" t="inlineStr">
        <is>
          <t>当前无补充材料原件；沿用既有缺失/无附件证据，不据此认定无附件</t>
        </is>
      </c>
      <c r="R278" s="2" t="n">
        <v>2024</v>
      </c>
      <c r="S278" s="2" t="inlineStr">
        <is>
          <t>2025发布版（2024指标年）</t>
        </is>
      </c>
      <c r="T278" s="2" t="inlineStr">
        <is>
          <t>ENGINEERING, ENVIRONMENTAL; ENVIRONMENTAL SCIENCES; GREEN &amp; SUSTAINABLE SCIENCE &amp; TECHNOLOGY</t>
        </is>
      </c>
      <c r="U278" s="2" t="inlineStr">
        <is>
          <t>ENGINEERING, ENVIRONMENTAL: Q1; ENVIRONMENTAL SCIENCES: Q1; GREEN &amp; SUSTAINABLE SCIENCE &amp; TECHNOLOGY: Q1</t>
        </is>
      </c>
      <c r="V278" s="4" t="inlineStr">
        <is>
          <t>是</t>
        </is>
      </c>
      <c r="W278" s="4" t="inlineStr">
        <is>
          <t>是</t>
        </is>
      </c>
      <c r="X278" s="2" t="inlineStr">
        <is>
          <t>是</t>
        </is>
      </c>
      <c r="Y278" s="2" t="inlineStr">
        <is>
          <t>https://topj.lib.whu.edu.cn/show.asp?cat=esi&amp;id=6394</t>
        </is>
      </c>
      <c r="Z278" s="2" t="inlineStr">
        <is>
          <t>https://api.crossref.org/works/10.1016/j.jclepro.2021.127942</t>
        </is>
      </c>
      <c r="AA27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78" s="2" t="inlineStr">
        <is>
          <t>original_files/R06294/fulltext/fulltext__published__99b6d8dec3f1e792.pdf</t>
        </is>
      </c>
      <c r="AC278" s="2" t="inlineStr"/>
      <c r="AD278" s="2" t="inlineStr">
        <is>
          <t>https://github.com/Colliam-Vermilion/FirstCodex/blob/results/ad-oxygen-literature-20261006/results/ad-oxygen-literature-20261006/original_files/R06294/fulltext/fulltext__published__99b6d8dec3f1e792.pdf</t>
        </is>
      </c>
    </row>
    <row r="279" ht="48" customHeight="1">
      <c r="A279" s="3" t="inlineStr">
        <is>
          <t>R06466</t>
        </is>
      </c>
      <c r="B279" s="3" t="inlineStr">
        <is>
          <t>Co-Digestion of Extended Aeration Sewage Sludge with Whey, Grease and Septage: Experimental and Modeling Determination</t>
        </is>
      </c>
      <c r="C279" s="3" t="inlineStr">
        <is>
          <t>2021</t>
        </is>
      </c>
      <c r="D279" s="3" t="inlineStr">
        <is>
          <t>2021</t>
        </is>
      </c>
      <c r="E279" s="3" t="inlineStr">
        <is>
          <t>10.3390/su13169199</t>
        </is>
      </c>
      <c r="F279" s="3" t="inlineStr">
        <is>
          <t>期刊文章</t>
        </is>
      </c>
      <c r="G279" s="3" t="inlineStr">
        <is>
          <t>5 排除</t>
        </is>
      </c>
      <c r="H279" s="3" t="inlineStr">
        <is>
          <t>否</t>
        </is>
      </c>
      <c r="I279" s="3" t="inlineStr">
        <is>
          <t>研究类</t>
        </is>
      </c>
      <c r="J279" s="3" t="inlineStr">
        <is>
          <t>否</t>
        </is>
      </c>
      <c r="K279" s="3" t="inlineStr">
        <is>
          <t>Sustainability</t>
        </is>
      </c>
      <c r="L279" s="3" t="inlineStr">
        <is>
          <t>Sustainability</t>
        </is>
      </c>
      <c r="M279" s="3" t="inlineStr"/>
      <c r="N279" s="3" t="inlineStr">
        <is>
          <t>2071-1050</t>
        </is>
      </c>
      <c r="O279" s="3" t="inlineStr">
        <is>
          <t>未取得全文</t>
        </is>
      </c>
      <c r="P279" s="3" t="inlineStr">
        <is>
          <t>否</t>
        </is>
      </c>
      <c r="Q279" s="3" t="inlineStr">
        <is>
          <t>当前无补充材料原件；沿用既有缺失/无附件证据，不据此认定无附件</t>
        </is>
      </c>
      <c r="R279" s="3" t="n">
        <v>2024</v>
      </c>
      <c r="S279" s="3" t="inlineStr">
        <is>
          <t>2025发布版（2024指标年）</t>
        </is>
      </c>
      <c r="T279" s="3" t="inlineStr"/>
      <c r="U279" s="3" t="inlineStr"/>
      <c r="V279" s="3" t="inlineStr">
        <is>
          <t>待核实</t>
        </is>
      </c>
      <c r="W279" s="3" t="inlineStr">
        <is>
          <t>待核实</t>
        </is>
      </c>
      <c r="X279" s="3" t="inlineStr">
        <is>
          <t>否</t>
        </is>
      </c>
      <c r="Y279" s="3" t="inlineStr"/>
      <c r="Z279" s="3" t="inlineStr">
        <is>
          <t>https://api.crossref.org/works/10.3390/su13169199</t>
        </is>
      </c>
      <c r="AA279" s="3" t="inlineStr">
        <is>
          <t>2024指标年JCR分区未核实；空白不能当非Q1。需要2025发布版/2024指标年的JCR全部学科导出。</t>
        </is>
      </c>
      <c r="AB279" s="3" t="inlineStr"/>
      <c r="AC279" s="3" t="inlineStr"/>
      <c r="AD279" s="3" t="inlineStr"/>
    </row>
    <row r="280" ht="48" customHeight="1">
      <c r="A280" s="2" t="inlineStr">
        <is>
          <t>R06570</t>
        </is>
      </c>
      <c r="B280" s="2" t="inlineStr">
        <is>
          <t>Ecogenomics Reveals Microbial Metabolic Networks in a Psychrophilic Methanogenic Bioreactor Treating Soy Sauce Production Wastewater</t>
        </is>
      </c>
      <c r="C280" s="2" t="inlineStr">
        <is>
          <t>2021</t>
        </is>
      </c>
      <c r="D280" s="2" t="inlineStr">
        <is>
          <t>2021</t>
        </is>
      </c>
      <c r="E280" s="2" t="inlineStr">
        <is>
          <t>10.1264/jsme2.me21045</t>
        </is>
      </c>
      <c r="F280" s="2" t="inlineStr">
        <is>
          <t>期刊文章</t>
        </is>
      </c>
      <c r="G280" s="2" t="inlineStr">
        <is>
          <t>5 排除</t>
        </is>
      </c>
      <c r="H280" s="2" t="inlineStr">
        <is>
          <t>否</t>
        </is>
      </c>
      <c r="I280" s="2" t="inlineStr">
        <is>
          <t>研究类</t>
        </is>
      </c>
      <c r="J280" s="2" t="inlineStr">
        <is>
          <t>否</t>
        </is>
      </c>
      <c r="K280" s="2" t="inlineStr">
        <is>
          <t>Microbes and Environments</t>
        </is>
      </c>
      <c r="L280" s="2" t="inlineStr">
        <is>
          <t>Microbes and Environments</t>
        </is>
      </c>
      <c r="M280" s="2" t="inlineStr">
        <is>
          <t>1342-6311</t>
        </is>
      </c>
      <c r="N280" s="2" t="inlineStr">
        <is>
          <t>1347-4405</t>
        </is>
      </c>
      <c r="O280" s="2" t="inlineStr">
        <is>
          <t>未取得全文</t>
        </is>
      </c>
      <c r="P280" s="2" t="inlineStr">
        <is>
          <t>否</t>
        </is>
      </c>
      <c r="Q280" s="2" t="inlineStr">
        <is>
          <t>当前无补充材料原件；沿用既有缺失/无附件证据，不据此认定无附件</t>
        </is>
      </c>
      <c r="R280" s="2" t="n">
        <v>2024</v>
      </c>
      <c r="S280" s="2" t="inlineStr">
        <is>
          <t>2025发布版（2024指标年）</t>
        </is>
      </c>
      <c r="T280" s="2" t="inlineStr"/>
      <c r="U280" s="2" t="inlineStr"/>
      <c r="V280" s="2" t="inlineStr">
        <is>
          <t>待核实</t>
        </is>
      </c>
      <c r="W280" s="2" t="inlineStr">
        <is>
          <t>待核实</t>
        </is>
      </c>
      <c r="X280" s="2" t="inlineStr">
        <is>
          <t>否</t>
        </is>
      </c>
      <c r="Y280" s="2" t="inlineStr"/>
      <c r="Z280" s="2" t="inlineStr">
        <is>
          <t>https://api.crossref.org/works/10.1264/jsme2.me21045</t>
        </is>
      </c>
      <c r="AA280" s="2" t="inlineStr">
        <is>
          <t>2024指标年JCR分区未核实；空白不能当非Q1。需要2025发布版/2024指标年的JCR全部学科导出。</t>
        </is>
      </c>
      <c r="AB280" s="2" t="inlineStr"/>
      <c r="AC280" s="2" t="inlineStr"/>
      <c r="AD280" s="2" t="inlineStr"/>
    </row>
    <row r="281" ht="48" customHeight="1">
      <c r="A281" s="3" t="inlineStr">
        <is>
          <t>R06667</t>
        </is>
      </c>
      <c r="B281" s="3" t="inlineStr">
        <is>
          <t>Enhanced methane production and energy potential from rice straw by employing microaerobic pretreatment via anaerobic digestion</t>
        </is>
      </c>
      <c r="C281" s="3" t="inlineStr">
        <is>
          <t>2021</t>
        </is>
      </c>
      <c r="D281" s="3" t="inlineStr">
        <is>
          <t>2021</t>
        </is>
      </c>
      <c r="E281" s="3" t="inlineStr">
        <is>
          <t>10.1016/j.jclepro.2021.126434</t>
        </is>
      </c>
      <c r="F281" s="3" t="inlineStr">
        <is>
          <t>期刊文章</t>
        </is>
      </c>
      <c r="G281" s="3" t="inlineStr">
        <is>
          <t>3 独立好氧或微好氧预处理</t>
        </is>
      </c>
      <c r="H281" s="3" t="inlineStr">
        <is>
          <t>是</t>
        </is>
      </c>
      <c r="I281" s="3" t="inlineStr">
        <is>
          <t>研究类</t>
        </is>
      </c>
      <c r="J281" s="3" t="inlineStr">
        <is>
          <t>是</t>
        </is>
      </c>
      <c r="K281" s="3" t="inlineStr">
        <is>
          <t>JOURNAL OF CLEANER PRODUCTION</t>
        </is>
      </c>
      <c r="L281" s="3" t="inlineStr">
        <is>
          <t>Journal of Cleaner Production</t>
        </is>
      </c>
      <c r="M281" s="3" t="inlineStr">
        <is>
          <t>0959-6526</t>
        </is>
      </c>
      <c r="N281" s="3" t="inlineStr"/>
      <c r="O281" s="3" t="inlineStr">
        <is>
          <t>已取得核验全文</t>
        </is>
      </c>
      <c r="P281" s="3" t="inlineStr">
        <is>
          <t>是</t>
        </is>
      </c>
      <c r="Q281" s="3" t="inlineStr">
        <is>
          <t>已取得1件原格式补充材料；其中0件唯一关联待核实；完整性未确认</t>
        </is>
      </c>
      <c r="R281" s="3" t="n">
        <v>2024</v>
      </c>
      <c r="S281" s="3" t="inlineStr">
        <is>
          <t>2025发布版（2024指标年）</t>
        </is>
      </c>
      <c r="T281" s="3" t="inlineStr">
        <is>
          <t>ENGINEERING, ENVIRONMENTAL; ENVIRONMENTAL SCIENCES; GREEN &amp; SUSTAINABLE SCIENCE &amp; TECHNOLOGY</t>
        </is>
      </c>
      <c r="U281" s="3" t="inlineStr">
        <is>
          <t>ENGINEERING, ENVIRONMENTAL: Q1; ENVIRONMENTAL SCIENCES: Q1; GREEN &amp; SUSTAINABLE SCIENCE &amp; TECHNOLOGY: Q1</t>
        </is>
      </c>
      <c r="V281" s="4" t="inlineStr">
        <is>
          <t>是</t>
        </is>
      </c>
      <c r="W281" s="4" t="inlineStr">
        <is>
          <t>是</t>
        </is>
      </c>
      <c r="X281" s="3" t="inlineStr">
        <is>
          <t>是</t>
        </is>
      </c>
      <c r="Y281" s="3" t="inlineStr">
        <is>
          <t>https://topj.lib.whu.edu.cn/show.asp?cat=esi&amp;id=6394</t>
        </is>
      </c>
      <c r="Z281" s="3" t="inlineStr">
        <is>
          <t>https://api.crossref.org/works/10.1016/j.jclepro.2021.126434</t>
        </is>
      </c>
      <c r="AA28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81" s="3" t="inlineStr">
        <is>
          <t>original_files/R06667/fulltext/fulltext__published__a6ed81714f86dd84.pdf</t>
        </is>
      </c>
      <c r="AC281" s="3" t="inlineStr">
        <is>
          <t>original_files/R06667/supplementary/supplementary__6245d18f94bd3c50.docx</t>
        </is>
      </c>
      <c r="AD281" s="3" t="inlineStr">
        <is>
          <t>https://github.com/Colliam-Vermilion/FirstCodex/blob/results/ad-oxygen-literature-20261006/results/ad-oxygen-literature-20261006/original_files/R06667/fulltext/fulltext__published__a6ed81714f86dd84.pdf</t>
        </is>
      </c>
    </row>
    <row r="282" ht="48" customHeight="1">
      <c r="A282" s="2" t="inlineStr">
        <is>
          <t>R06674</t>
        </is>
      </c>
      <c r="B282" s="2" t="inlineStr">
        <is>
          <t>Enhanced volatile fatty acids production from Napier grass(Pennisetum purpureum) using micro-aerated anaerobic culture</t>
        </is>
      </c>
      <c r="C282" s="2" t="n">
        <v>2021</v>
      </c>
      <c r="D282" s="2" t="inlineStr">
        <is>
          <t>2021</t>
        </is>
      </c>
      <c r="E282" s="2" t="inlineStr">
        <is>
          <t>10.14456/sjst-psu.2021.235</t>
        </is>
      </c>
      <c r="F282" s="2" t="inlineStr">
        <is>
          <t>期刊文章</t>
        </is>
      </c>
      <c r="G282" s="2" t="inlineStr">
        <is>
          <t>2 向厌氧水解或产酸阶段供氧</t>
        </is>
      </c>
      <c r="H282" s="2" t="inlineStr">
        <is>
          <t>是</t>
        </is>
      </c>
      <c r="I282" s="2" t="inlineStr">
        <is>
          <t>研究类</t>
        </is>
      </c>
      <c r="J282" s="2" t="inlineStr">
        <is>
          <t>是</t>
        </is>
      </c>
      <c r="K282" s="2" t="inlineStr">
        <is>
          <t>Songklanakarin Journal of Science and Technology</t>
        </is>
      </c>
      <c r="L282" s="2" t="inlineStr">
        <is>
          <t>DOAJ (DOAJ: Directory of Open Access Journals)</t>
        </is>
      </c>
      <c r="M282" s="2" t="inlineStr">
        <is>
          <t>0125-3395</t>
        </is>
      </c>
      <c r="N282" s="2" t="inlineStr"/>
      <c r="O282" s="2" t="inlineStr">
        <is>
          <t>已取得核验全文</t>
        </is>
      </c>
      <c r="P282" s="2" t="inlineStr">
        <is>
          <t>是</t>
        </is>
      </c>
      <c r="Q282" s="2" t="inlineStr">
        <is>
          <t>当前无补充材料原件；沿用既有缺失/无附件证据，不据此认定无附件</t>
        </is>
      </c>
      <c r="R282" s="2" t="n">
        <v>2024</v>
      </c>
      <c r="S282" s="2" t="inlineStr">
        <is>
          <t>2025发布版（2024指标年）</t>
        </is>
      </c>
      <c r="T282" s="2" t="inlineStr"/>
      <c r="U282" s="2" t="inlineStr"/>
      <c r="V282" s="2" t="inlineStr">
        <is>
          <t>待核实</t>
        </is>
      </c>
      <c r="W282" s="2" t="inlineStr">
        <is>
          <t>待核实</t>
        </is>
      </c>
      <c r="X282" s="2" t="inlineStr">
        <is>
          <t>否</t>
        </is>
      </c>
      <c r="Y282" s="2" t="inlineStr"/>
      <c r="Z282" s="2" t="inlineStr">
        <is>
          <t>原件内容核验：original_files/R06674/fulltext/fulltext__version_unverified__c7efa201e3abc6fb.pdf</t>
        </is>
      </c>
      <c r="AA282" s="2" t="inlineStr">
        <is>
          <t>既有DOI未由Crossref返回可用元数据（可能为DataCite/JaLC等）；不据此否认记录身份 | PDF p.1：Songklanakarin J. Sci. Technol.43(6),1793–1799，原DOAJ字段为目录平台 | 2024指标年JCR分区未核实；空白不能当非Q1。需要2025发布版/2024指标年的JCR全部学科导出。</t>
        </is>
      </c>
      <c r="AB282" s="2" t="inlineStr">
        <is>
          <t>original_files/R06674/fulltext/fulltext__version_unverified__c7efa201e3abc6fb.pdf</t>
        </is>
      </c>
      <c r="AC282" s="2" t="inlineStr"/>
      <c r="AD282" s="2" t="inlineStr">
        <is>
          <t>https://github.com/Colliam-Vermilion/FirstCodex/blob/results/ad-oxygen-literature-20261006/results/ad-oxygen-literature-20261006/original_files/R06674/fulltext/fulltext__version_unverified__c7efa201e3abc6fb.pdf</t>
        </is>
      </c>
    </row>
    <row r="283" ht="48" customHeight="1">
      <c r="A283" s="3" t="inlineStr">
        <is>
          <t>R06681</t>
        </is>
      </c>
      <c r="B283" s="3" t="inlineStr">
        <is>
          <t>Enhancing anaerobic digestion of agricultural residues by microaerobic conditions</t>
        </is>
      </c>
      <c r="C283" s="3" t="inlineStr">
        <is>
          <t>2021</t>
        </is>
      </c>
      <c r="D283" s="3" t="inlineStr">
        <is>
          <t>2021</t>
        </is>
      </c>
      <c r="E283" s="3" t="inlineStr">
        <is>
          <t>10.1007/s13399-019-00430-4</t>
        </is>
      </c>
      <c r="F283" s="3" t="inlineStr">
        <is>
          <t>期刊文章</t>
        </is>
      </c>
      <c r="G283" s="3" t="inlineStr">
        <is>
          <t>1 直接向 AD 反应器或内部循环系统供氧</t>
        </is>
      </c>
      <c r="H283" s="3" t="inlineStr">
        <is>
          <t>是</t>
        </is>
      </c>
      <c r="I283" s="3" t="inlineStr">
        <is>
          <t>研究类</t>
        </is>
      </c>
      <c r="J283" s="3" t="inlineStr">
        <is>
          <t>是</t>
        </is>
      </c>
      <c r="K283" s="3" t="inlineStr">
        <is>
          <t>Biomass Conversion and Biorefinery</t>
        </is>
      </c>
      <c r="L283" s="3" t="inlineStr">
        <is>
          <t>Biomass Conversion and Biorefinery</t>
        </is>
      </c>
      <c r="M283" s="3" t="inlineStr">
        <is>
          <t>2190-6815</t>
        </is>
      </c>
      <c r="N283" s="3" t="inlineStr">
        <is>
          <t>2190-6823</t>
        </is>
      </c>
      <c r="O283" s="3" t="inlineStr">
        <is>
          <t>已取得核验全文</t>
        </is>
      </c>
      <c r="P283" s="3" t="inlineStr">
        <is>
          <t>是</t>
        </is>
      </c>
      <c r="Q283" s="3" t="inlineStr">
        <is>
          <t>已取得2件原格式补充材料；其中1件唯一关联待核实；完整性未确认</t>
        </is>
      </c>
      <c r="R283" s="3" t="n">
        <v>2024</v>
      </c>
      <c r="S283" s="3" t="inlineStr">
        <is>
          <t>2025发布版（2024指标年）</t>
        </is>
      </c>
      <c r="T283" s="3" t="inlineStr"/>
      <c r="U283" s="3" t="inlineStr"/>
      <c r="V283" s="3" t="inlineStr">
        <is>
          <t>待核实</t>
        </is>
      </c>
      <c r="W283" s="3" t="inlineStr">
        <is>
          <t>待核实</t>
        </is>
      </c>
      <c r="X283" s="3" t="inlineStr">
        <is>
          <t>否</t>
        </is>
      </c>
      <c r="Y283" s="3" t="inlineStr"/>
      <c r="Z283" s="3" t="inlineStr">
        <is>
          <t>https://api.crossref.org/works/10.1007/s13399-019-00430-4</t>
        </is>
      </c>
      <c r="AA283" s="3" t="inlineStr">
        <is>
          <t>2024指标年JCR分区未核实；空白不能当非Q1。需要2025发布版/2024指标年的JCR全部学科导出。</t>
        </is>
      </c>
      <c r="AB283" s="3" t="inlineStr">
        <is>
          <t>original_files/R06681/fulltext/fulltext__published__f7020ddfca4d31c1.pdf</t>
        </is>
      </c>
      <c r="AC283" s="3" t="inlineStr">
        <is>
          <t>original_files/R06681/supplementary/supplementary__6d87338c9b3572e8.xlsx; original_files/R06681/supplementary/supplementary__ee3e5a378a23e173.docx</t>
        </is>
      </c>
      <c r="AD283" s="3" t="inlineStr">
        <is>
          <t>https://github.com/Colliam-Vermilion/FirstCodex/blob/results/ad-oxygen-literature-20261006/results/ad-oxygen-literature-20261006/original_files/R06681/fulltext/fulltext__published__f7020ddfca4d31c1.pdf</t>
        </is>
      </c>
    </row>
    <row r="284" ht="48" customHeight="1">
      <c r="A284" s="2" t="inlineStr">
        <is>
          <t>R06698</t>
        </is>
      </c>
      <c r="B284" s="2" t="inlineStr">
        <is>
          <t>Evaluation of pre-treatment efficiency of fats, oils and greases using low frequency ultrasonic waves to accelerate the process of anaerobic digestion</t>
        </is>
      </c>
      <c r="C284" s="2" t="inlineStr">
        <is>
          <t>2021</t>
        </is>
      </c>
      <c r="D284" s="2" t="inlineStr">
        <is>
          <t>2021</t>
        </is>
      </c>
      <c r="E284" s="2" t="inlineStr"/>
      <c r="F284" s="2" t="inlineStr">
        <is>
          <t>期刊文章</t>
        </is>
      </c>
      <c r="G284" s="2" t="inlineStr">
        <is>
          <t>5 排除</t>
        </is>
      </c>
      <c r="H284" s="2" t="inlineStr">
        <is>
          <t>否</t>
        </is>
      </c>
      <c r="I284" s="2" t="inlineStr">
        <is>
          <t>类型待核实</t>
        </is>
      </c>
      <c r="J284" s="2" t="inlineStr">
        <is>
          <t>否</t>
        </is>
      </c>
      <c r="K284" s="2" t="inlineStr">
        <is>
          <t>DOAJ (DOAJ: Directory of Open Access Journals)</t>
        </is>
      </c>
      <c r="L284" s="2" t="inlineStr">
        <is>
          <t>DOAJ (DOAJ: Directory of Open Access Journals)</t>
        </is>
      </c>
      <c r="M284" s="2" t="inlineStr"/>
      <c r="N284" s="2" t="inlineStr"/>
      <c r="O284" s="2" t="inlineStr">
        <is>
          <t>未取得全文</t>
        </is>
      </c>
      <c r="P284" s="2" t="inlineStr">
        <is>
          <t>否</t>
        </is>
      </c>
      <c r="Q284" s="2" t="inlineStr">
        <is>
          <t>当前无补充材料原件；沿用既有缺失/无附件证据，不据此认定无附件</t>
        </is>
      </c>
      <c r="R284" s="2" t="inlineStr"/>
      <c r="S284" s="2" t="inlineStr"/>
      <c r="T284" s="2" t="inlineStr"/>
      <c r="U284" s="2" t="inlineStr"/>
      <c r="V284" s="2" t="inlineStr">
        <is>
          <t>不适用</t>
        </is>
      </c>
      <c r="W284" s="2" t="inlineStr">
        <is>
          <t>不适用</t>
        </is>
      </c>
      <c r="X284" s="2" t="inlineStr">
        <is>
          <t>不适用</t>
        </is>
      </c>
      <c r="Y284" s="2" t="inlineStr"/>
      <c r="Z284" s="2" t="inlineStr"/>
      <c r="AA284" s="2" t="inlineStr">
        <is>
          <t>期刊/会议或其他载体身份缺少足够凭据，单列待核实，不混入期刊论文分母 | 非目标期刊论文或类型待核实，不进入JCR分母</t>
        </is>
      </c>
      <c r="AB284" s="2" t="inlineStr"/>
      <c r="AC284" s="2" t="inlineStr"/>
      <c r="AD284" s="2" t="inlineStr"/>
    </row>
    <row r="285" ht="48" customHeight="1">
      <c r="A285" s="3" t="inlineStr">
        <is>
          <t>R06768</t>
        </is>
      </c>
      <c r="B285" s="3" t="inlineStr">
        <is>
          <t>Identifying the mechanisms of sludge reduction in the sulfidogenic oxic-settling anaerobic (SOSA) process: Side-stream sulfidogenesis-intensified sludge decay and mainstream extended aeration</t>
        </is>
      </c>
      <c r="C285" s="3" t="inlineStr">
        <is>
          <t>2021</t>
        </is>
      </c>
      <c r="D285" s="3" t="inlineStr">
        <is>
          <t>2021</t>
        </is>
      </c>
      <c r="E285" s="3" t="inlineStr">
        <is>
          <t>10.1016/j.watres.2020.116608</t>
        </is>
      </c>
      <c r="F285" s="3" t="inlineStr">
        <is>
          <t>期刊文章</t>
        </is>
      </c>
      <c r="G285" s="3" t="inlineStr">
        <is>
          <t>5 排除</t>
        </is>
      </c>
      <c r="H285" s="3" t="inlineStr">
        <is>
          <t>否</t>
        </is>
      </c>
      <c r="I285" s="3" t="inlineStr">
        <is>
          <t>研究类</t>
        </is>
      </c>
      <c r="J285" s="3" t="inlineStr">
        <is>
          <t>否</t>
        </is>
      </c>
      <c r="K285" s="3" t="inlineStr">
        <is>
          <t>WATER RESEARCH</t>
        </is>
      </c>
      <c r="L285" s="3" t="inlineStr">
        <is>
          <t>Water Research</t>
        </is>
      </c>
      <c r="M285" s="3" t="inlineStr">
        <is>
          <t>0043-1354</t>
        </is>
      </c>
      <c r="N285" s="3" t="inlineStr"/>
      <c r="O285" s="3" t="inlineStr">
        <is>
          <t>未取得全文</t>
        </is>
      </c>
      <c r="P285" s="3" t="inlineStr">
        <is>
          <t>否</t>
        </is>
      </c>
      <c r="Q285" s="3" t="inlineStr">
        <is>
          <t>当前无补充材料原件；沿用既有缺失/无附件证据，不据此认定无附件</t>
        </is>
      </c>
      <c r="R285" s="3" t="n">
        <v>2024</v>
      </c>
      <c r="S285" s="3" t="inlineStr">
        <is>
          <t>2025发布版（2024指标年）</t>
        </is>
      </c>
      <c r="T285" s="3" t="inlineStr">
        <is>
          <t>WATER RESOURCES; ENGINEERING, ENVIRONMENTAL; ENVIRONMENTAL SCIENCES</t>
        </is>
      </c>
      <c r="U285" s="3" t="inlineStr">
        <is>
          <t>WATER RESOURCES: Q1; ENGINEERING, ENVIRONMENTAL: Q1; ENVIRONMENTAL SCIENCES: Q1</t>
        </is>
      </c>
      <c r="V285" s="4" t="inlineStr">
        <is>
          <t>是</t>
        </is>
      </c>
      <c r="W285" s="4" t="inlineStr">
        <is>
          <t>是</t>
        </is>
      </c>
      <c r="X285" s="3" t="inlineStr">
        <is>
          <t>是</t>
        </is>
      </c>
      <c r="Y285" s="3" t="inlineStr">
        <is>
          <t>https://topj.lib.whu.edu.cn/show.asp?cat=zk&amp;id=3962</t>
        </is>
      </c>
      <c r="Z285" s="3" t="inlineStr">
        <is>
          <t>https://api.crossref.org/works/10.1016/j.watres.2020.116608</t>
        </is>
      </c>
      <c r="AA28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85" s="3" t="inlineStr"/>
      <c r="AC285" s="3" t="inlineStr"/>
      <c r="AD285" s="3" t="inlineStr"/>
    </row>
    <row r="286" ht="48" customHeight="1">
      <c r="A286" s="2" t="inlineStr">
        <is>
          <t>R06979</t>
        </is>
      </c>
      <c r="B286" s="2" t="inlineStr">
        <is>
          <t>Novel insight into enhanced recoverability of acidic inhibition to anaerobic digestion with nano-bubble water supplementation</t>
        </is>
      </c>
      <c r="C286" s="2" t="inlineStr">
        <is>
          <t>2021</t>
        </is>
      </c>
      <c r="D286" s="2" t="inlineStr">
        <is>
          <t>2021</t>
        </is>
      </c>
      <c r="E286" s="2" t="inlineStr">
        <is>
          <t>10.1016/j.biortech.2021.124782</t>
        </is>
      </c>
      <c r="F286" s="2" t="inlineStr">
        <is>
          <t>期刊文章</t>
        </is>
      </c>
      <c r="G286" s="2" t="inlineStr">
        <is>
          <t>1 直接向 AD 反应器或内部循环系统供氧</t>
        </is>
      </c>
      <c r="H286" s="2" t="inlineStr">
        <is>
          <t>是</t>
        </is>
      </c>
      <c r="I286" s="2" t="inlineStr">
        <is>
          <t>研究类</t>
        </is>
      </c>
      <c r="J286" s="2" t="inlineStr">
        <is>
          <t>是</t>
        </is>
      </c>
      <c r="K286" s="2" t="inlineStr">
        <is>
          <t>BIORESOURCE TECHNOLOGY</t>
        </is>
      </c>
      <c r="L286" s="2" t="inlineStr">
        <is>
          <t>Bioresource Technology</t>
        </is>
      </c>
      <c r="M286" s="2" t="inlineStr">
        <is>
          <t>0960-8524</t>
        </is>
      </c>
      <c r="N286" s="2" t="inlineStr"/>
      <c r="O286" s="2" t="inlineStr">
        <is>
          <t>已取得核验全文</t>
        </is>
      </c>
      <c r="P286" s="2" t="inlineStr">
        <is>
          <t>是</t>
        </is>
      </c>
      <c r="Q286" s="2" t="inlineStr">
        <is>
          <t>当前无补充材料原件；沿用既有缺失/无附件证据，不据此认定无附件</t>
        </is>
      </c>
      <c r="R286" s="2" t="n">
        <v>2024</v>
      </c>
      <c r="S286" s="2" t="inlineStr">
        <is>
          <t>2025发布版（2024指标年）</t>
        </is>
      </c>
      <c r="T286" s="2" t="inlineStr">
        <is>
          <t>AGRICULTURAL ENGINEERING; BIOTECHNOLOGY &amp; APPLIED MICROBIOLOGY; ENERGY &amp; FUELS</t>
        </is>
      </c>
      <c r="U286" s="2" t="inlineStr">
        <is>
          <t>AGRICULTURAL ENGINEERING: Q1; BIOTECHNOLOGY &amp; APPLIED MICROBIOLOGY: Q1; ENERGY &amp; FUELS: Q1</t>
        </is>
      </c>
      <c r="V286" s="4" t="inlineStr">
        <is>
          <t>是</t>
        </is>
      </c>
      <c r="W286" s="4" t="inlineStr">
        <is>
          <t>是</t>
        </is>
      </c>
      <c r="X286" s="2" t="inlineStr">
        <is>
          <t>是</t>
        </is>
      </c>
      <c r="Y286" s="2" t="inlineStr">
        <is>
          <t>https://topj.lib.whu.edu.cn/show.asp?cat=zk&amp;id=3976</t>
        </is>
      </c>
      <c r="Z286" s="2" t="inlineStr">
        <is>
          <t>https://api.crossref.org/works/10.1016/j.biortech.2021.124782</t>
        </is>
      </c>
      <c r="AA28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86" s="2" t="inlineStr">
        <is>
          <t>original_files/R06979/fulltext/fulltext__published__3f34cd9cf2890e4e.pdf</t>
        </is>
      </c>
      <c r="AC286" s="2" t="inlineStr"/>
      <c r="AD286" s="2" t="inlineStr">
        <is>
          <t>https://github.com/Colliam-Vermilion/FirstCodex/blob/results/ad-oxygen-literature-20261006/results/ad-oxygen-literature-20261006/original_files/R06979/fulltext/fulltext__published__3f34cd9cf2890e4e.pdf</t>
        </is>
      </c>
    </row>
    <row r="287" ht="48" customHeight="1">
      <c r="A287" s="3" t="inlineStr">
        <is>
          <t>R07033</t>
        </is>
      </c>
      <c r="B287" s="3" t="inlineStr">
        <is>
          <t>Part A: Advances in tools and techniques for estimating biogas production and treatment in anaerobic-based STPs Technical Note 3 - Biogas desulfurization by microaeration in UASB reactors</t>
        </is>
      </c>
      <c r="C287" s="3" t="inlineStr">
        <is>
          <t>2021</t>
        </is>
      </c>
      <c r="D287" s="3" t="inlineStr">
        <is>
          <t>2021</t>
        </is>
      </c>
      <c r="E287" s="3" t="inlineStr">
        <is>
          <t>10.5327/276455760101005</t>
        </is>
      </c>
      <c r="F287" s="3" t="inlineStr">
        <is>
          <t>技术说明/Technical Note（综述性技术概述，非原始实验）</t>
        </is>
      </c>
      <c r="G287" s="3" t="inlineStr">
        <is>
          <t>4 综述</t>
        </is>
      </c>
      <c r="H287" s="3" t="inlineStr">
        <is>
          <t>是</t>
        </is>
      </c>
      <c r="I287" s="3" t="inlineStr">
        <is>
          <t>其他期刊论文</t>
        </is>
      </c>
      <c r="J287" s="3" t="inlineStr">
        <is>
          <t>是</t>
        </is>
      </c>
      <c r="K287" s="3" t="inlineStr">
        <is>
          <t>Cadernos Técnicos Engenharia Sanitária e Ambiental</t>
        </is>
      </c>
      <c r="L287" s="3" t="inlineStr">
        <is>
          <t>Cadernos Técnicos Engenharia Sanitária e Ambiental</t>
        </is>
      </c>
      <c r="M287" s="3" t="inlineStr"/>
      <c r="N287" s="3" t="inlineStr">
        <is>
          <t>2764-5576</t>
        </is>
      </c>
      <c r="O287" s="3" t="inlineStr">
        <is>
          <t>未取得全文</t>
        </is>
      </c>
      <c r="P287" s="3" t="inlineStr">
        <is>
          <t>否</t>
        </is>
      </c>
      <c r="Q287" s="3" t="inlineStr">
        <is>
          <t>当前无补充材料原件；沿用既有缺失/无附件证据，不据此认定无附件</t>
        </is>
      </c>
      <c r="R287" s="3" t="n">
        <v>2024</v>
      </c>
      <c r="S287" s="3" t="inlineStr">
        <is>
          <t>2025发布版（2024指标年）</t>
        </is>
      </c>
      <c r="T287" s="3" t="inlineStr"/>
      <c r="U287" s="3" t="inlineStr"/>
      <c r="V287" s="3" t="inlineStr">
        <is>
          <t>待核实</t>
        </is>
      </c>
      <c r="W287" s="3" t="inlineStr">
        <is>
          <t>待核实</t>
        </is>
      </c>
      <c r="X287" s="3" t="inlineStr">
        <is>
          <t>否</t>
        </is>
      </c>
      <c r="Y287" s="3" t="inlineStr"/>
      <c r="Z287" s="3" t="inlineStr">
        <is>
          <t>https://api.crossref.org/works/10.5327/276455760101005</t>
        </is>
      </c>
      <c r="AA287" s="3" t="inlineStr">
        <is>
          <t>2024指标年JCR分区未核实；空白不能当非Q1。需要2025发布版/2024指标年的JCR全部学科导出。</t>
        </is>
      </c>
      <c r="AB287" s="3" t="inlineStr"/>
      <c r="AC287" s="3" t="inlineStr"/>
      <c r="AD287" s="3" t="inlineStr"/>
    </row>
    <row r="288" ht="48" customHeight="1">
      <c r="A288" s="2" t="inlineStr">
        <is>
          <t>R07039</t>
        </is>
      </c>
      <c r="B288" s="2" t="inlineStr">
        <is>
          <t>Performance evaluation and microbial community analysis of microaerobic pretreatment on thermophilic dry anaerobic digestion</t>
        </is>
      </c>
      <c r="C288" s="2" t="inlineStr">
        <is>
          <t>2021</t>
        </is>
      </c>
      <c r="D288" s="2" t="inlineStr">
        <is>
          <t>2021</t>
        </is>
      </c>
      <c r="E288" s="2" t="inlineStr">
        <is>
          <t>10.1016/j.bej.2020.107873</t>
        </is>
      </c>
      <c r="F288" s="2" t="inlineStr">
        <is>
          <t>期刊文章</t>
        </is>
      </c>
      <c r="G288" s="2" t="inlineStr">
        <is>
          <t>3 独立好氧或微好氧预处理</t>
        </is>
      </c>
      <c r="H288" s="2" t="inlineStr">
        <is>
          <t>是</t>
        </is>
      </c>
      <c r="I288" s="2" t="inlineStr">
        <is>
          <t>研究类</t>
        </is>
      </c>
      <c r="J288" s="2" t="inlineStr">
        <is>
          <t>是</t>
        </is>
      </c>
      <c r="K288" s="2" t="inlineStr">
        <is>
          <t>Biochemical Engineering Journal</t>
        </is>
      </c>
      <c r="L288" s="2" t="inlineStr">
        <is>
          <t>Biochemical Engineering Journal</t>
        </is>
      </c>
      <c r="M288" s="2" t="inlineStr">
        <is>
          <t>1369-703X</t>
        </is>
      </c>
      <c r="N288" s="2" t="inlineStr"/>
      <c r="O288" s="2" t="inlineStr">
        <is>
          <t>已取得核验全文</t>
        </is>
      </c>
      <c r="P288" s="2" t="inlineStr">
        <is>
          <t>是</t>
        </is>
      </c>
      <c r="Q288" s="2" t="inlineStr">
        <is>
          <t>当前无补充材料原件；沿用既有缺失/无附件证据，不据此认定无附件</t>
        </is>
      </c>
      <c r="R288" s="2" t="n">
        <v>2024</v>
      </c>
      <c r="S288" s="2" t="inlineStr">
        <is>
          <t>2025发布版（2024指标年）</t>
        </is>
      </c>
      <c r="T288" s="2" t="inlineStr">
        <is>
          <t>BIOTECHNOLOGY &amp; APPLIED MICROBIOLOGY; ENGINEERING, CHEMICAL</t>
        </is>
      </c>
      <c r="U288" s="2" t="inlineStr">
        <is>
          <t>BIOTECHNOLOGY &amp; APPLIED MICROBIOLOGY: Q2; ENGINEERING, CHEMICAL: Q2</t>
        </is>
      </c>
      <c r="V288" s="2" t="inlineStr">
        <is>
          <t>否</t>
        </is>
      </c>
      <c r="W288" s="2" t="inlineStr">
        <is>
          <t>否</t>
        </is>
      </c>
      <c r="X288" s="2" t="inlineStr">
        <is>
          <t>是</t>
        </is>
      </c>
      <c r="Y288" s="2" t="inlineStr">
        <is>
          <t>https://topj.lib.whu.edu.cn/show.asp?cat=sci&amp;id=5875</t>
        </is>
      </c>
      <c r="Z288" s="2" t="inlineStr">
        <is>
          <t>https://api.crossref.org/works/10.1016/j.bej.2020.107873</t>
        </is>
      </c>
      <c r="AA28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88" s="2" t="inlineStr">
        <is>
          <t>original_files/R07039/fulltext/fulltext__published__443aa78550adec48.pdf</t>
        </is>
      </c>
      <c r="AC288" s="2" t="inlineStr"/>
      <c r="AD288" s="2" t="inlineStr">
        <is>
          <t>https://github.com/Colliam-Vermilion/FirstCodex/blob/results/ad-oxygen-literature-20261006/results/ad-oxygen-literature-20261006/original_files/R07039/fulltext/fulltext__published__443aa78550adec48.pdf</t>
        </is>
      </c>
    </row>
    <row r="289" ht="48" customHeight="1">
      <c r="A289" s="3" t="inlineStr">
        <is>
          <t>R07105</t>
        </is>
      </c>
      <c r="B289" s="3" t="inlineStr">
        <is>
          <t>Recent advancements in nanobubble water technology and its application in energy recovery from organic solid wastes towards a greater environmental friendliness of anaerobic digestion system</t>
        </is>
      </c>
      <c r="C289" s="3" t="inlineStr">
        <is>
          <t>2021</t>
        </is>
      </c>
      <c r="D289" s="3" t="inlineStr">
        <is>
          <t>2021</t>
        </is>
      </c>
      <c r="E289" s="3" t="inlineStr">
        <is>
          <t>10.1016/j.rser.2021.111074</t>
        </is>
      </c>
      <c r="F289" s="3" t="inlineStr">
        <is>
          <t>综述</t>
        </is>
      </c>
      <c r="G289" s="3" t="inlineStr">
        <is>
          <t>4 综述</t>
        </is>
      </c>
      <c r="H289" s="3" t="inlineStr">
        <is>
          <t>是</t>
        </is>
      </c>
      <c r="I289" s="3" t="inlineStr">
        <is>
          <t>综述</t>
        </is>
      </c>
      <c r="J289" s="3" t="inlineStr">
        <is>
          <t>是</t>
        </is>
      </c>
      <c r="K289" s="3" t="inlineStr">
        <is>
          <t>Renewable and Sustainable Energy Reviews</t>
        </is>
      </c>
      <c r="L289" s="3" t="inlineStr">
        <is>
          <t>Renewable and Sustainable Energy Reviews</t>
        </is>
      </c>
      <c r="M289" s="3" t="inlineStr">
        <is>
          <t>1364-0321</t>
        </is>
      </c>
      <c r="N289" s="3" t="inlineStr"/>
      <c r="O289" s="3" t="inlineStr">
        <is>
          <t>已取得核验全文</t>
        </is>
      </c>
      <c r="P289" s="3" t="inlineStr">
        <is>
          <t>是</t>
        </is>
      </c>
      <c r="Q289" s="3" t="inlineStr">
        <is>
          <t>当前无补充材料原件；沿用既有缺失/无附件证据，不据此认定无附件</t>
        </is>
      </c>
      <c r="R289" s="3" t="n">
        <v>2024</v>
      </c>
      <c r="S289" s="3" t="inlineStr">
        <is>
          <t>2025发布版（2024指标年）</t>
        </is>
      </c>
      <c r="T289" s="3" t="inlineStr"/>
      <c r="U289" s="3" t="inlineStr"/>
      <c r="V289" s="3" t="inlineStr">
        <is>
          <t>待核实</t>
        </is>
      </c>
      <c r="W289" s="3" t="inlineStr">
        <is>
          <t>待核实</t>
        </is>
      </c>
      <c r="X289" s="3" t="inlineStr">
        <is>
          <t>否</t>
        </is>
      </c>
      <c r="Y289" s="3" t="inlineStr"/>
      <c r="Z289" s="3" t="inlineStr">
        <is>
          <t>https://api.crossref.org/works/10.1016/j.rser.2021.111074</t>
        </is>
      </c>
      <c r="AA289" s="3" t="inlineStr">
        <is>
          <t>2024指标年JCR分区未核实；空白不能当非Q1。需要2025发布版/2024指标年的JCR全部学科导出。</t>
        </is>
      </c>
      <c r="AB289" s="3" t="inlineStr">
        <is>
          <t>original_files/R07105/fulltext/fulltext__published__b9b8bcdeb6fe7b82.pdf</t>
        </is>
      </c>
      <c r="AC289" s="3" t="inlineStr"/>
      <c r="AD289" s="3" t="inlineStr">
        <is>
          <t>https://github.com/Colliam-Vermilion/FirstCodex/blob/results/ad-oxygen-literature-20261006/results/ad-oxygen-literature-20261006/original_files/R07105/fulltext/fulltext__published__b9b8bcdeb6fe7b82.pdf</t>
        </is>
      </c>
    </row>
    <row r="290" ht="48" customHeight="1">
      <c r="A290" s="2" t="inlineStr">
        <is>
          <t>R07184</t>
        </is>
      </c>
      <c r="B290" s="2" t="inlineStr">
        <is>
          <t>Stirring-based control strategy for microaerobic H2S removal in sequencing batch anaerobic digesters</t>
        </is>
      </c>
      <c r="C290" s="2" t="inlineStr">
        <is>
          <t>2021</t>
        </is>
      </c>
      <c r="D290" s="2" t="inlineStr">
        <is>
          <t>2021</t>
        </is>
      </c>
      <c r="E290" s="2" t="inlineStr">
        <is>
          <t>10.1016/j.fuel.2021.121696</t>
        </is>
      </c>
      <c r="F290" s="2" t="inlineStr">
        <is>
          <t>期刊文章</t>
        </is>
      </c>
      <c r="G290" s="2" t="inlineStr">
        <is>
          <t>1 直接向 AD 反应器或内部循环系统供氧</t>
        </is>
      </c>
      <c r="H290" s="2" t="inlineStr">
        <is>
          <t>是</t>
        </is>
      </c>
      <c r="I290" s="2" t="inlineStr">
        <is>
          <t>研究类</t>
        </is>
      </c>
      <c r="J290" s="2" t="inlineStr">
        <is>
          <t>是</t>
        </is>
      </c>
      <c r="K290" s="2" t="inlineStr">
        <is>
          <t>Fuel</t>
        </is>
      </c>
      <c r="L290" s="2" t="inlineStr">
        <is>
          <t>Fuel</t>
        </is>
      </c>
      <c r="M290" s="2" t="inlineStr">
        <is>
          <t>0016-2361</t>
        </is>
      </c>
      <c r="N290" s="2" t="inlineStr"/>
      <c r="O290" s="2" t="inlineStr">
        <is>
          <t>已取得核验全文</t>
        </is>
      </c>
      <c r="P290" s="2" t="inlineStr">
        <is>
          <t>是</t>
        </is>
      </c>
      <c r="Q290" s="2" t="inlineStr">
        <is>
          <t>当前无补充材料原件；沿用既有缺失/无附件证据，不据此认定无附件</t>
        </is>
      </c>
      <c r="R290" s="2" t="n">
        <v>2024</v>
      </c>
      <c r="S290" s="2" t="inlineStr">
        <is>
          <t>2025发布版（2024指标年）</t>
        </is>
      </c>
      <c r="T290" s="2" t="inlineStr">
        <is>
          <t>ENERGY &amp; FUELS; ENGINEERING, CHEMICAL</t>
        </is>
      </c>
      <c r="U290" s="2" t="inlineStr">
        <is>
          <t>ENERGY &amp; FUELS: Q1; ENGINEERING, CHEMICAL: Q1</t>
        </is>
      </c>
      <c r="V290" s="4" t="inlineStr">
        <is>
          <t>是</t>
        </is>
      </c>
      <c r="W290" s="4" t="inlineStr">
        <is>
          <t>是</t>
        </is>
      </c>
      <c r="X290" s="2" t="inlineStr">
        <is>
          <t>是</t>
        </is>
      </c>
      <c r="Y290" s="2" t="inlineStr">
        <is>
          <t>https://topj.lib.whu.edu.cn/show.asp?cat=sci&amp;id=5597</t>
        </is>
      </c>
      <c r="Z290" s="2" t="inlineStr">
        <is>
          <t>https://api.crossref.org/works/10.1016/j.fuel.2021.121696</t>
        </is>
      </c>
      <c r="AA29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90" s="2" t="inlineStr">
        <is>
          <t>original_files/R07184/fulltext/fulltext__published__dbc19544004625c7.pdf</t>
        </is>
      </c>
      <c r="AC290" s="2" t="inlineStr"/>
      <c r="AD290" s="2" t="inlineStr">
        <is>
          <t>https://github.com/Colliam-Vermilion/FirstCodex/blob/results/ad-oxygen-literature-20261006/results/ad-oxygen-literature-20261006/original_files/R07184/fulltext/fulltext__published__dbc19544004625c7.pdf</t>
        </is>
      </c>
    </row>
    <row r="291" ht="48" customHeight="1">
      <c r="A291" s="3" t="inlineStr">
        <is>
          <t>R07247</t>
        </is>
      </c>
      <c r="B291" s="3" t="inlineStr">
        <is>
          <t>The protective effect of Pseudomonas in syntrophic fatty acids degradation under microaerophilic conditions</t>
        </is>
      </c>
      <c r="C291" s="3" t="inlineStr">
        <is>
          <t>2021</t>
        </is>
      </c>
      <c r="D291" s="3" t="inlineStr">
        <is>
          <t>2021</t>
        </is>
      </c>
      <c r="E291" s="3" t="inlineStr"/>
      <c r="F291" s="3" t="inlineStr">
        <is>
          <t>会议研究论文（非期刊文章）</t>
        </is>
      </c>
      <c r="G291" s="3" t="inlineStr">
        <is>
          <t>1 直接向 AD 反应器或内部循环系统供氧</t>
        </is>
      </c>
      <c r="H291" s="3" t="inlineStr">
        <is>
          <t>是</t>
        </is>
      </c>
      <c r="I291" s="3" t="inlineStr">
        <is>
          <t>会议/非期刊</t>
        </is>
      </c>
      <c r="J291" s="3" t="inlineStr">
        <is>
          <t>否</t>
        </is>
      </c>
      <c r="K291" s="3" t="inlineStr">
        <is>
          <t>Portuguese National Funding Agency for Science, Research and Technology (RCAAP Project by FCT)</t>
        </is>
      </c>
      <c r="L291" s="3" t="inlineStr">
        <is>
          <t>Portuguese National Funding Agency for Science, Research and Technology (RCAAP Project by FCT)</t>
        </is>
      </c>
      <c r="M291" s="3" t="inlineStr"/>
      <c r="N291" s="3" t="inlineStr"/>
      <c r="O291" s="3" t="inlineStr">
        <is>
          <t>仅摘要，未取得全文</t>
        </is>
      </c>
      <c r="P291" s="3" t="inlineStr">
        <is>
          <t>否</t>
        </is>
      </c>
      <c r="Q291" s="3" t="inlineStr">
        <is>
          <t>当前无补充材料原件；沿用既有缺失/无附件证据，不据此认定无附件</t>
        </is>
      </c>
      <c r="R291" s="3" t="inlineStr"/>
      <c r="S291" s="3" t="inlineStr"/>
      <c r="T291" s="3" t="inlineStr"/>
      <c r="U291" s="3" t="inlineStr"/>
      <c r="V291" s="3" t="inlineStr">
        <is>
          <t>不适用</t>
        </is>
      </c>
      <c r="W291" s="3" t="inlineStr">
        <is>
          <t>不适用</t>
        </is>
      </c>
      <c r="X291" s="3" t="inlineStr">
        <is>
          <t>不适用</t>
        </is>
      </c>
      <c r="Y291" s="3" t="inlineStr"/>
      <c r="Z291" s="3" t="inlineStr"/>
      <c r="AA291" s="3" t="inlineStr">
        <is>
          <t>非目标期刊论文或类型待核实，不进入JCR分母</t>
        </is>
      </c>
      <c r="AB291" s="3" t="inlineStr"/>
      <c r="AC291" s="3" t="inlineStr"/>
      <c r="AD291" s="3" t="inlineStr"/>
    </row>
    <row r="292" ht="48" customHeight="1">
      <c r="A292" s="2" t="inlineStr">
        <is>
          <t>R07479</t>
        </is>
      </c>
      <c r="B292" s="2" t="inlineStr">
        <is>
          <t>Assessment of shock pretreatment and alkali pretreatment on corn stover using enzymatic hydrolysis</t>
        </is>
      </c>
      <c r="C292" s="2" t="inlineStr">
        <is>
          <t>2022</t>
        </is>
      </c>
      <c r="D292" s="2" t="inlineStr">
        <is>
          <t>2022</t>
        </is>
      </c>
      <c r="E292" s="2" t="inlineStr">
        <is>
          <t>10.1002/btpr.3217</t>
        </is>
      </c>
      <c r="F292" s="2" t="inlineStr">
        <is>
          <t>期刊文章</t>
        </is>
      </c>
      <c r="G292" s="2" t="inlineStr">
        <is>
          <t>5 排除</t>
        </is>
      </c>
      <c r="H292" s="2" t="inlineStr">
        <is>
          <t>否</t>
        </is>
      </c>
      <c r="I292" s="2" t="inlineStr">
        <is>
          <t>研究类</t>
        </is>
      </c>
      <c r="J292" s="2" t="inlineStr">
        <is>
          <t>否</t>
        </is>
      </c>
      <c r="K292" s="2" t="inlineStr">
        <is>
          <t>Biotechnology Progress</t>
        </is>
      </c>
      <c r="L292" s="2" t="inlineStr">
        <is>
          <t>Biotechnology Progress</t>
        </is>
      </c>
      <c r="M292" s="2" t="inlineStr">
        <is>
          <t>8756-7938</t>
        </is>
      </c>
      <c r="N292" s="2" t="inlineStr">
        <is>
          <t>1520-6033</t>
        </is>
      </c>
      <c r="O292" s="2" t="inlineStr">
        <is>
          <t>未取得全文</t>
        </is>
      </c>
      <c r="P292" s="2" t="inlineStr">
        <is>
          <t>否</t>
        </is>
      </c>
      <c r="Q292" s="2" t="inlineStr">
        <is>
          <t>当前无补充材料原件；沿用既有缺失/无附件证据，不据此认定无附件</t>
        </is>
      </c>
      <c r="R292" s="2" t="n">
        <v>2024</v>
      </c>
      <c r="S292" s="2" t="inlineStr">
        <is>
          <t>2025发布版（2024指标年）</t>
        </is>
      </c>
      <c r="T292" s="2" t="inlineStr"/>
      <c r="U292" s="2" t="inlineStr"/>
      <c r="V292" s="2" t="inlineStr">
        <is>
          <t>待核实</t>
        </is>
      </c>
      <c r="W292" s="2" t="inlineStr">
        <is>
          <t>待核实</t>
        </is>
      </c>
      <c r="X292" s="2" t="inlineStr">
        <is>
          <t>否</t>
        </is>
      </c>
      <c r="Y292" s="2" t="inlineStr"/>
      <c r="Z292" s="2" t="inlineStr">
        <is>
          <t>https://api.crossref.org/works/10.1002/btpr.3217</t>
        </is>
      </c>
      <c r="AA292" s="2" t="inlineStr">
        <is>
          <t>2024指标年JCR分区未核实；空白不能当非Q1。需要2025发布版/2024指标年的JCR全部学科导出。</t>
        </is>
      </c>
      <c r="AB292" s="2" t="inlineStr"/>
      <c r="AC292" s="2" t="inlineStr"/>
      <c r="AD292" s="2" t="inlineStr"/>
    </row>
    <row r="293" ht="48" customHeight="1">
      <c r="A293" s="3" t="inlineStr">
        <is>
          <t>R07494</t>
        </is>
      </c>
      <c r="B293" s="3" t="inlineStr">
        <is>
          <t>Bioaugmentation with methanogens cultured in a micro-aerobic microbial community for overloaded anaerobic digestion recovery</t>
        </is>
      </c>
      <c r="C293" s="3" t="inlineStr">
        <is>
          <t>2022</t>
        </is>
      </c>
      <c r="D293" s="3" t="inlineStr">
        <is>
          <t>2022</t>
        </is>
      </c>
      <c r="E293" s="3" t="inlineStr">
        <is>
          <t>10.1016/j.anaerobe.2022.102603</t>
        </is>
      </c>
      <c r="F293" s="3" t="inlineStr">
        <is>
          <t>期刊文章</t>
        </is>
      </c>
      <c r="G293" s="3" t="inlineStr">
        <is>
          <t>5 排除</t>
        </is>
      </c>
      <c r="H293" s="3" t="inlineStr">
        <is>
          <t>否</t>
        </is>
      </c>
      <c r="I293" s="3" t="inlineStr">
        <is>
          <t>研究类</t>
        </is>
      </c>
      <c r="J293" s="3" t="inlineStr">
        <is>
          <t>否</t>
        </is>
      </c>
      <c r="K293" s="3" t="inlineStr">
        <is>
          <t>Anaerobe</t>
        </is>
      </c>
      <c r="L293" s="3" t="inlineStr">
        <is>
          <t>Anaerobe</t>
        </is>
      </c>
      <c r="M293" s="3" t="inlineStr">
        <is>
          <t>1075-9964</t>
        </is>
      </c>
      <c r="N293" s="3" t="inlineStr"/>
      <c r="O293" s="3" t="inlineStr">
        <is>
          <t>未取得全文</t>
        </is>
      </c>
      <c r="P293" s="3" t="inlineStr">
        <is>
          <t>否</t>
        </is>
      </c>
      <c r="Q293" s="3" t="inlineStr">
        <is>
          <t>当前无补充材料原件；沿用既有缺失/无附件证据，不据此认定无附件</t>
        </is>
      </c>
      <c r="R293" s="3" t="n">
        <v>2024</v>
      </c>
      <c r="S293" s="3" t="inlineStr">
        <is>
          <t>2025发布版（2024指标年）</t>
        </is>
      </c>
      <c r="T293" s="3" t="inlineStr"/>
      <c r="U293" s="3" t="inlineStr"/>
      <c r="V293" s="3" t="inlineStr">
        <is>
          <t>待核实</t>
        </is>
      </c>
      <c r="W293" s="3" t="inlineStr">
        <is>
          <t>待核实</t>
        </is>
      </c>
      <c r="X293" s="3" t="inlineStr">
        <is>
          <t>否</t>
        </is>
      </c>
      <c r="Y293" s="3" t="inlineStr"/>
      <c r="Z293" s="3" t="inlineStr">
        <is>
          <t>https://api.crossref.org/works/10.1016/j.anaerobe.2022.102603</t>
        </is>
      </c>
      <c r="AA293" s="3" t="inlineStr">
        <is>
          <t>2024指标年JCR分区未核实；空白不能当非Q1。需要2025发布版/2024指标年的JCR全部学科导出。</t>
        </is>
      </c>
      <c r="AB293" s="3" t="inlineStr"/>
      <c r="AC293" s="3" t="inlineStr"/>
      <c r="AD293" s="3" t="inlineStr"/>
    </row>
    <row r="294" ht="48" customHeight="1">
      <c r="A294" s="2" t="inlineStr">
        <is>
          <t>R07575</t>
        </is>
      </c>
      <c r="B294" s="2" t="inlineStr">
        <is>
          <t>Chemical-Free Biologically Enhanced Primary Treatment of Raw Wastewater for Improved Capture Carbon</t>
        </is>
      </c>
      <c r="C294" s="2" t="inlineStr">
        <is>
          <t>2022</t>
        </is>
      </c>
      <c r="D294" s="2" t="inlineStr">
        <is>
          <t>2022</t>
        </is>
      </c>
      <c r="E294" s="2" t="inlineStr">
        <is>
          <t>10.3390/w14233825</t>
        </is>
      </c>
      <c r="F294" s="2" t="inlineStr">
        <is>
          <t>期刊文章</t>
        </is>
      </c>
      <c r="G294" s="2" t="inlineStr">
        <is>
          <t>5 排除</t>
        </is>
      </c>
      <c r="H294" s="2" t="inlineStr">
        <is>
          <t>否</t>
        </is>
      </c>
      <c r="I294" s="2" t="inlineStr">
        <is>
          <t>研究类</t>
        </is>
      </c>
      <c r="J294" s="2" t="inlineStr">
        <is>
          <t>否</t>
        </is>
      </c>
      <c r="K294" s="2" t="inlineStr">
        <is>
          <t>WATER</t>
        </is>
      </c>
      <c r="L294" s="2" t="inlineStr">
        <is>
          <t>Water</t>
        </is>
      </c>
      <c r="M294" s="2" t="inlineStr"/>
      <c r="N294" s="2" t="inlineStr">
        <is>
          <t>2073-4441</t>
        </is>
      </c>
      <c r="O294" s="2" t="inlineStr">
        <is>
          <t>未取得全文</t>
        </is>
      </c>
      <c r="P294" s="2" t="inlineStr">
        <is>
          <t>否</t>
        </is>
      </c>
      <c r="Q294" s="2" t="inlineStr">
        <is>
          <t>当前无补充材料原件；沿用既有缺失/无附件证据，不据此认定无附件</t>
        </is>
      </c>
      <c r="R294" s="2" t="n">
        <v>2024</v>
      </c>
      <c r="S294" s="2" t="inlineStr">
        <is>
          <t>2025发布版（2024指标年）</t>
        </is>
      </c>
      <c r="T294" s="2" t="inlineStr">
        <is>
          <t>WATER RESOURCES; ENVIRONMENTAL SCIENCES</t>
        </is>
      </c>
      <c r="U294" s="2" t="inlineStr">
        <is>
          <t>WATER RESOURCES: Q2; ENVIRONMENTAL SCIENCES: Q3</t>
        </is>
      </c>
      <c r="V294" s="2" t="inlineStr">
        <is>
          <t>否</t>
        </is>
      </c>
      <c r="W294" s="2" t="inlineStr">
        <is>
          <t>否</t>
        </is>
      </c>
      <c r="X294" s="2" t="inlineStr">
        <is>
          <t>是</t>
        </is>
      </c>
      <c r="Y294" s="2" t="inlineStr">
        <is>
          <t>https://topj.lib.whu.edu.cn/show.asp?cat=esi&amp;id=12057</t>
        </is>
      </c>
      <c r="Z294" s="2" t="inlineStr">
        <is>
          <t>https://api.crossref.org/works/10.3390/w14233825</t>
        </is>
      </c>
      <c r="AA29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294" s="2" t="inlineStr"/>
      <c r="AC294" s="2" t="inlineStr"/>
      <c r="AD294" s="2" t="inlineStr"/>
    </row>
    <row r="295" ht="48" customHeight="1">
      <c r="A295" s="3" t="inlineStr">
        <is>
          <t>R07603</t>
        </is>
      </c>
      <c r="B295" s="3" t="inlineStr">
        <is>
          <t>Considering micro-aeration strategy for enhancing methane production in anaerobic digestion of agricultural wastes</t>
        </is>
      </c>
      <c r="C295" s="3" t="inlineStr">
        <is>
          <t>2022</t>
        </is>
      </c>
      <c r="D295" s="3" t="inlineStr">
        <is>
          <t>2022</t>
        </is>
      </c>
      <c r="E295" s="3" t="inlineStr">
        <is>
          <t>10.13031/aim.202200429</t>
        </is>
      </c>
      <c r="F295" s="3" t="inlineStr">
        <is>
          <t>会议研究论文（非期刊文章）</t>
        </is>
      </c>
      <c r="G295" s="3" t="inlineStr">
        <is>
          <t>1 直接向 AD 反应器或内部循环系统供氧</t>
        </is>
      </c>
      <c r="H295" s="3" t="inlineStr">
        <is>
          <t>是</t>
        </is>
      </c>
      <c r="I295" s="3" t="inlineStr">
        <is>
          <t>会议/非期刊</t>
        </is>
      </c>
      <c r="J295" s="3" t="inlineStr">
        <is>
          <t>否</t>
        </is>
      </c>
      <c r="K295" s="3" t="inlineStr">
        <is>
          <t>2022 Houston, Texas July 17-20, 2022</t>
        </is>
      </c>
      <c r="L295" s="3" t="inlineStr">
        <is>
          <t>2022 Houston, Texas July 17-20, 2022</t>
        </is>
      </c>
      <c r="M295" s="3" t="inlineStr"/>
      <c r="N295" s="3" t="inlineStr"/>
      <c r="O295" s="3" t="inlineStr">
        <is>
          <t>未取得全文</t>
        </is>
      </c>
      <c r="P295" s="3" t="inlineStr">
        <is>
          <t>否</t>
        </is>
      </c>
      <c r="Q295" s="3" t="inlineStr">
        <is>
          <t>当前无补充材料原件；沿用既有缺失/无附件证据，不据此认定无附件</t>
        </is>
      </c>
      <c r="R295" s="3" t="inlineStr"/>
      <c r="S295" s="3" t="inlineStr"/>
      <c r="T295" s="3" t="inlineStr"/>
      <c r="U295" s="3" t="inlineStr"/>
      <c r="V295" s="3" t="inlineStr">
        <is>
          <t>不适用</t>
        </is>
      </c>
      <c r="W295" s="3" t="inlineStr">
        <is>
          <t>不适用</t>
        </is>
      </c>
      <c r="X295" s="3" t="inlineStr">
        <is>
          <t>不适用</t>
        </is>
      </c>
      <c r="Y295" s="3" t="inlineStr"/>
      <c r="Z295" s="3" t="inlineStr">
        <is>
          <t>https://api.crossref.org/works/10.13031/aim.202200429</t>
        </is>
      </c>
      <c r="AA295" s="3" t="inlineStr">
        <is>
          <t>非目标期刊论文或类型待核实，不进入JCR分母</t>
        </is>
      </c>
      <c r="AB295" s="3" t="inlineStr"/>
      <c r="AC295" s="3" t="inlineStr"/>
      <c r="AD295" s="3" t="inlineStr"/>
    </row>
    <row r="296" ht="48" customHeight="1">
      <c r="A296" s="2" t="inlineStr">
        <is>
          <t>R07654</t>
        </is>
      </c>
      <c r="B296" s="2" t="inlineStr">
        <is>
          <t>Differential impact of acidic and alkaline conditions on hydrothermal pretreatment, fermentation and anaerobic digestion of sludge</t>
        </is>
      </c>
      <c r="C296" s="2" t="inlineStr">
        <is>
          <t>2022</t>
        </is>
      </c>
      <c r="D296" s="2" t="inlineStr">
        <is>
          <t>2022</t>
        </is>
      </c>
      <c r="E296" s="2" t="inlineStr">
        <is>
          <t>10.2166/wst.2022.368</t>
        </is>
      </c>
      <c r="F296" s="2" t="inlineStr">
        <is>
          <t>期刊文章</t>
        </is>
      </c>
      <c r="G296" s="2" t="inlineStr">
        <is>
          <t>5 排除</t>
        </is>
      </c>
      <c r="H296" s="2" t="inlineStr">
        <is>
          <t>否</t>
        </is>
      </c>
      <c r="I296" s="2" t="inlineStr">
        <is>
          <t>研究类</t>
        </is>
      </c>
      <c r="J296" s="2" t="inlineStr">
        <is>
          <t>否</t>
        </is>
      </c>
      <c r="K296" s="2" t="inlineStr">
        <is>
          <t>WATER SCIENCE AND TECHNOLOGY</t>
        </is>
      </c>
      <c r="L296" s="2" t="inlineStr">
        <is>
          <t>Water Science and Technology</t>
        </is>
      </c>
      <c r="M296" s="2" t="inlineStr">
        <is>
          <t>0273-1223</t>
        </is>
      </c>
      <c r="N296" s="2" t="inlineStr">
        <is>
          <t>1996-9732</t>
        </is>
      </c>
      <c r="O296" s="2" t="inlineStr">
        <is>
          <t>未取得全文</t>
        </is>
      </c>
      <c r="P296" s="2" t="inlineStr">
        <is>
          <t>否</t>
        </is>
      </c>
      <c r="Q296" s="2" t="inlineStr">
        <is>
          <t>当前无补充材料原件；沿用既有缺失/无附件证据，不据此认定无附件</t>
        </is>
      </c>
      <c r="R296" s="2" t="n">
        <v>2024</v>
      </c>
      <c r="S296" s="2" t="inlineStr">
        <is>
          <t>2025发布版（2024指标年）</t>
        </is>
      </c>
      <c r="T296" s="2" t="inlineStr">
        <is>
          <t>WATER RESOURCES; ENGINEERING, ENVIRONMENTAL; ENVIRONMENTAL SCIENCES</t>
        </is>
      </c>
      <c r="U296" s="2" t="inlineStr">
        <is>
          <t>WATER RESOURCES: Q2; ENGINEERING, ENVIRONMENTAL: Q3; ENVIRONMENTAL SCIENCES: Q3</t>
        </is>
      </c>
      <c r="V296" s="2" t="inlineStr">
        <is>
          <t>否</t>
        </is>
      </c>
      <c r="W296" s="2" t="inlineStr">
        <is>
          <t>否</t>
        </is>
      </c>
      <c r="X296" s="2" t="inlineStr">
        <is>
          <t>是</t>
        </is>
      </c>
      <c r="Y296" s="2" t="inlineStr">
        <is>
          <t>https://topj.lib.whu.edu.cn/search2.asp?ordertype=&amp;page=2&amp;q=&amp;sea=w&amp;searchtype=esi</t>
        </is>
      </c>
      <c r="Z296" s="2" t="inlineStr">
        <is>
          <t>https://api.crossref.org/works/10.2166/wst.2022.368</t>
        </is>
      </c>
      <c r="AA296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296" s="2" t="inlineStr"/>
      <c r="AC296" s="2" t="inlineStr"/>
      <c r="AD296" s="2" t="inlineStr"/>
    </row>
    <row r="297" ht="48" customHeight="1">
      <c r="A297" s="3" t="inlineStr">
        <is>
          <t>R07681</t>
        </is>
      </c>
      <c r="B297" s="3" t="inlineStr">
        <is>
          <t>Effect of Alfalfa-Derived Biochar on Anaerobic Digestion of Dairy Manure</t>
        </is>
      </c>
      <c r="C297" s="3" t="inlineStr">
        <is>
          <t>2022</t>
        </is>
      </c>
      <c r="D297" s="3" t="inlineStr">
        <is>
          <t>2022</t>
        </is>
      </c>
      <c r="E297" s="3" t="inlineStr">
        <is>
          <t>10.3390/agronomy12040911</t>
        </is>
      </c>
      <c r="F297" s="3" t="inlineStr">
        <is>
          <t>期刊文章</t>
        </is>
      </c>
      <c r="G297" s="3" t="inlineStr">
        <is>
          <t>5 排除</t>
        </is>
      </c>
      <c r="H297" s="3" t="inlineStr">
        <is>
          <t>否</t>
        </is>
      </c>
      <c r="I297" s="3" t="inlineStr">
        <is>
          <t>研究类</t>
        </is>
      </c>
      <c r="J297" s="3" t="inlineStr">
        <is>
          <t>否</t>
        </is>
      </c>
      <c r="K297" s="3" t="inlineStr">
        <is>
          <t>Agronomy</t>
        </is>
      </c>
      <c r="L297" s="3" t="inlineStr">
        <is>
          <t>Agronomy</t>
        </is>
      </c>
      <c r="M297" s="3" t="inlineStr"/>
      <c r="N297" s="3" t="inlineStr">
        <is>
          <t>2073-4395</t>
        </is>
      </c>
      <c r="O297" s="3" t="inlineStr">
        <is>
          <t>未取得全文</t>
        </is>
      </c>
      <c r="P297" s="3" t="inlineStr">
        <is>
          <t>否</t>
        </is>
      </c>
      <c r="Q297" s="3" t="inlineStr">
        <is>
          <t>当前无补充材料原件；沿用既有缺失/无附件证据，不据此认定无附件</t>
        </is>
      </c>
      <c r="R297" s="3" t="n">
        <v>2024</v>
      </c>
      <c r="S297" s="3" t="inlineStr">
        <is>
          <t>2025发布版（2024指标年）</t>
        </is>
      </c>
      <c r="T297" s="3" t="inlineStr"/>
      <c r="U297" s="3" t="inlineStr"/>
      <c r="V297" s="3" t="inlineStr">
        <is>
          <t>待核实</t>
        </is>
      </c>
      <c r="W297" s="3" t="inlineStr">
        <is>
          <t>待核实</t>
        </is>
      </c>
      <c r="X297" s="3" t="inlineStr">
        <is>
          <t>否</t>
        </is>
      </c>
      <c r="Y297" s="3" t="inlineStr"/>
      <c r="Z297" s="3" t="inlineStr">
        <is>
          <t>https://api.crossref.org/works/10.3390/agronomy12040911</t>
        </is>
      </c>
      <c r="AA297" s="3" t="inlineStr">
        <is>
          <t>2024指标年JCR分区未核实；空白不能当非Q1。需要2025发布版/2024指标年的JCR全部学科导出。</t>
        </is>
      </c>
      <c r="AB297" s="3" t="inlineStr"/>
      <c r="AC297" s="3" t="inlineStr"/>
      <c r="AD297" s="3" t="inlineStr"/>
    </row>
    <row r="298" ht="48" customHeight="1">
      <c r="A298" s="2" t="inlineStr">
        <is>
          <t>R07713</t>
        </is>
      </c>
      <c r="B298" s="2" t="inlineStr">
        <is>
          <t>Effects of Nutrients Ca and K on Anaerobic Digestion of Food Waste</t>
        </is>
      </c>
      <c r="C298" s="2" t="inlineStr">
        <is>
          <t>2022</t>
        </is>
      </c>
      <c r="D298" s="2" t="inlineStr">
        <is>
          <t>2022</t>
        </is>
      </c>
      <c r="E298" s="2" t="inlineStr">
        <is>
          <t>10.26555/chemica.v9i1.24538</t>
        </is>
      </c>
      <c r="F298" s="2" t="inlineStr">
        <is>
          <t>期刊文章</t>
        </is>
      </c>
      <c r="G298" s="2" t="inlineStr">
        <is>
          <t>5 排除</t>
        </is>
      </c>
      <c r="H298" s="2" t="inlineStr">
        <is>
          <t>否</t>
        </is>
      </c>
      <c r="I298" s="2" t="inlineStr">
        <is>
          <t>研究类</t>
        </is>
      </c>
      <c r="J298" s="2" t="inlineStr">
        <is>
          <t>否</t>
        </is>
      </c>
      <c r="K298" s="2" t="inlineStr">
        <is>
          <t>CHEMICA: Jurnal Teknik Kimia</t>
        </is>
      </c>
      <c r="L298" s="2" t="inlineStr">
        <is>
          <t>CHEMICA: Jurnal Teknik Kimia</t>
        </is>
      </c>
      <c r="M298" s="2" t="inlineStr">
        <is>
          <t>2355-875X</t>
        </is>
      </c>
      <c r="N298" s="2" t="inlineStr">
        <is>
          <t>2355-8776</t>
        </is>
      </c>
      <c r="O298" s="2" t="inlineStr">
        <is>
          <t>未取得全文</t>
        </is>
      </c>
      <c r="P298" s="2" t="inlineStr">
        <is>
          <t>否</t>
        </is>
      </c>
      <c r="Q298" s="2" t="inlineStr">
        <is>
          <t>当前无补充材料原件；沿用既有缺失/无附件证据，不据此认定无附件</t>
        </is>
      </c>
      <c r="R298" s="2" t="n">
        <v>2024</v>
      </c>
      <c r="S298" s="2" t="inlineStr">
        <is>
          <t>2025发布版（2024指标年）</t>
        </is>
      </c>
      <c r="T298" s="2" t="inlineStr"/>
      <c r="U298" s="2" t="inlineStr"/>
      <c r="V298" s="2" t="inlineStr">
        <is>
          <t>待核实</t>
        </is>
      </c>
      <c r="W298" s="2" t="inlineStr">
        <is>
          <t>待核实</t>
        </is>
      </c>
      <c r="X298" s="2" t="inlineStr">
        <is>
          <t>否</t>
        </is>
      </c>
      <c r="Y298" s="2" t="inlineStr"/>
      <c r="Z298" s="2" t="inlineStr">
        <is>
          <t>https://api.crossref.org/works/10.26555/chemica.v9i1.24538</t>
        </is>
      </c>
      <c r="AA298" s="2" t="inlineStr">
        <is>
          <t>2024指标年JCR分区未核实；空白不能当非Q1。需要2025发布版/2024指标年的JCR全部学科导出。</t>
        </is>
      </c>
      <c r="AB298" s="2" t="inlineStr"/>
      <c r="AC298" s="2" t="inlineStr"/>
      <c r="AD298" s="2" t="inlineStr"/>
    </row>
    <row r="299" ht="48" customHeight="1">
      <c r="A299" s="3" t="inlineStr">
        <is>
          <t>R07808</t>
        </is>
      </c>
      <c r="B299" s="3" t="inlineStr">
        <is>
          <t>Evaluating the Effects of Different Pretreatments on Anaerobic Digestion of Waste Activated Sludge Containing Polystyrene Microplastics</t>
        </is>
      </c>
      <c r="C299" s="3" t="inlineStr">
        <is>
          <t>2022</t>
        </is>
      </c>
      <c r="D299" s="3" t="inlineStr">
        <is>
          <t>2022</t>
        </is>
      </c>
      <c r="E299" s="3" t="inlineStr">
        <is>
          <t>10.1021/acsestwater.1c00294</t>
        </is>
      </c>
      <c r="F299" s="3" t="inlineStr">
        <is>
          <t>期刊文章</t>
        </is>
      </c>
      <c r="G299" s="3" t="inlineStr">
        <is>
          <t>5 排除</t>
        </is>
      </c>
      <c r="H299" s="3" t="inlineStr">
        <is>
          <t>否</t>
        </is>
      </c>
      <c r="I299" s="3" t="inlineStr">
        <is>
          <t>研究类</t>
        </is>
      </c>
      <c r="J299" s="3" t="inlineStr">
        <is>
          <t>否</t>
        </is>
      </c>
      <c r="K299" s="3" t="inlineStr">
        <is>
          <t>ACS ES&amp;T Water</t>
        </is>
      </c>
      <c r="L299" s="3" t="inlineStr">
        <is>
          <t>ACS ES&amp;amp;T Water</t>
        </is>
      </c>
      <c r="M299" s="3" t="inlineStr">
        <is>
          <t>2690-0637</t>
        </is>
      </c>
      <c r="N299" s="3" t="inlineStr">
        <is>
          <t>2690-0637</t>
        </is>
      </c>
      <c r="O299" s="3" t="inlineStr">
        <is>
          <t>未取得全文</t>
        </is>
      </c>
      <c r="P299" s="3" t="inlineStr">
        <is>
          <t>否</t>
        </is>
      </c>
      <c r="Q299" s="3" t="inlineStr">
        <is>
          <t>当前无补充材料原件；沿用既有缺失/无附件证据，不据此认定无附件</t>
        </is>
      </c>
      <c r="R299" s="3" t="n">
        <v>2024</v>
      </c>
      <c r="S299" s="3" t="inlineStr">
        <is>
          <t>2025发布版（2024指标年）</t>
        </is>
      </c>
      <c r="T299" s="3" t="inlineStr"/>
      <c r="U299" s="3" t="inlineStr"/>
      <c r="V299" s="3" t="inlineStr">
        <is>
          <t>待核实</t>
        </is>
      </c>
      <c r="W299" s="3" t="inlineStr">
        <is>
          <t>待核实</t>
        </is>
      </c>
      <c r="X299" s="3" t="inlineStr">
        <is>
          <t>否</t>
        </is>
      </c>
      <c r="Y299" s="3" t="inlineStr"/>
      <c r="Z299" s="3" t="inlineStr">
        <is>
          <t>https://api.crossref.org/works/10.1021/acsestwater.1c00294</t>
        </is>
      </c>
      <c r="AA299" s="3" t="inlineStr">
        <is>
          <t>2024指标年JCR分区未核实；空白不能当非Q1。需要2025发布版/2024指标年的JCR全部学科导出。</t>
        </is>
      </c>
      <c r="AB299" s="3" t="inlineStr"/>
      <c r="AC299" s="3" t="inlineStr"/>
      <c r="AD299" s="3" t="inlineStr"/>
    </row>
    <row r="300" ht="48" customHeight="1">
      <c r="A300" s="2" t="inlineStr">
        <is>
          <t>R07849</t>
        </is>
      </c>
      <c r="B300" s="2" t="inlineStr">
        <is>
          <t>Formation and characterization of conductive magnetite-embedded granules in upflow anaerobic sludge blanket reactor treating dairy wastewater</t>
        </is>
      </c>
      <c r="C300" s="2" t="inlineStr">
        <is>
          <t>2022</t>
        </is>
      </c>
      <c r="D300" s="2" t="inlineStr">
        <is>
          <t>2022</t>
        </is>
      </c>
      <c r="E300" s="2" t="inlineStr">
        <is>
          <t>10.1016/j.biortech.2021.126492</t>
        </is>
      </c>
      <c r="F300" s="2" t="inlineStr">
        <is>
          <t>期刊文章</t>
        </is>
      </c>
      <c r="G300" s="2" t="inlineStr">
        <is>
          <t>5 排除</t>
        </is>
      </c>
      <c r="H300" s="2" t="inlineStr">
        <is>
          <t>否</t>
        </is>
      </c>
      <c r="I300" s="2" t="inlineStr">
        <is>
          <t>研究类</t>
        </is>
      </c>
      <c r="J300" s="2" t="inlineStr">
        <is>
          <t>否</t>
        </is>
      </c>
      <c r="K300" s="2" t="inlineStr">
        <is>
          <t>BIORESOURCE TECHNOLOGY</t>
        </is>
      </c>
      <c r="L300" s="2" t="inlineStr">
        <is>
          <t>Bioresource Technology</t>
        </is>
      </c>
      <c r="M300" s="2" t="inlineStr">
        <is>
          <t>0960-8524</t>
        </is>
      </c>
      <c r="N300" s="2" t="inlineStr"/>
      <c r="O300" s="2" t="inlineStr">
        <is>
          <t>未取得全文</t>
        </is>
      </c>
      <c r="P300" s="2" t="inlineStr">
        <is>
          <t>否</t>
        </is>
      </c>
      <c r="Q300" s="2" t="inlineStr">
        <is>
          <t>当前无补充材料原件；沿用既有缺失/无附件证据，不据此认定无附件</t>
        </is>
      </c>
      <c r="R300" s="2" t="n">
        <v>2024</v>
      </c>
      <c r="S300" s="2" t="inlineStr">
        <is>
          <t>2025发布版（2024指标年）</t>
        </is>
      </c>
      <c r="T300" s="2" t="inlineStr">
        <is>
          <t>AGRICULTURAL ENGINEERING; BIOTECHNOLOGY &amp; APPLIED MICROBIOLOGY; ENERGY &amp; FUELS</t>
        </is>
      </c>
      <c r="U300" s="2" t="inlineStr">
        <is>
          <t>AGRICULTURAL ENGINEERING: Q1; BIOTECHNOLOGY &amp; APPLIED MICROBIOLOGY: Q1; ENERGY &amp; FUELS: Q1</t>
        </is>
      </c>
      <c r="V300" s="4" t="inlineStr">
        <is>
          <t>是</t>
        </is>
      </c>
      <c r="W300" s="4" t="inlineStr">
        <is>
          <t>是</t>
        </is>
      </c>
      <c r="X300" s="2" t="inlineStr">
        <is>
          <t>是</t>
        </is>
      </c>
      <c r="Y300" s="2" t="inlineStr">
        <is>
          <t>https://topj.lib.whu.edu.cn/show.asp?cat=zk&amp;id=3976</t>
        </is>
      </c>
      <c r="Z300" s="2" t="inlineStr">
        <is>
          <t>https://api.crossref.org/works/10.1016/j.biortech.2021.126492</t>
        </is>
      </c>
      <c r="AA30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00" s="2" t="inlineStr"/>
      <c r="AC300" s="2" t="inlineStr"/>
      <c r="AD300" s="2" t="inlineStr"/>
    </row>
    <row r="301" ht="48" customHeight="1">
      <c r="A301" s="3" t="inlineStr">
        <is>
          <t>R07919</t>
        </is>
      </c>
      <c r="B301" s="3" t="inlineStr">
        <is>
          <t>In-situ microaeration of anaerobic digester treating buffalo manure for enhanced biogas yield</t>
        </is>
      </c>
      <c r="C301" s="3" t="inlineStr">
        <is>
          <t>2022</t>
        </is>
      </c>
      <c r="D301" s="3" t="inlineStr">
        <is>
          <t>2022</t>
        </is>
      </c>
      <c r="E301" s="3" t="inlineStr">
        <is>
          <t>10.1016/j.renene.2021.09.089</t>
        </is>
      </c>
      <c r="F301" s="3" t="inlineStr">
        <is>
          <t>期刊文章</t>
        </is>
      </c>
      <c r="G301" s="3" t="inlineStr">
        <is>
          <t>1 直接向 AD 反应器或内部循环系统供氧</t>
        </is>
      </c>
      <c r="H301" s="3" t="inlineStr">
        <is>
          <t>是</t>
        </is>
      </c>
      <c r="I301" s="3" t="inlineStr">
        <is>
          <t>研究类</t>
        </is>
      </c>
      <c r="J301" s="3" t="inlineStr">
        <is>
          <t>是</t>
        </is>
      </c>
      <c r="K301" s="3" t="inlineStr">
        <is>
          <t>Renewable Energy</t>
        </is>
      </c>
      <c r="L301" s="3" t="inlineStr">
        <is>
          <t>Renewable Energy</t>
        </is>
      </c>
      <c r="M301" s="3" t="inlineStr">
        <is>
          <t>0960-1481</t>
        </is>
      </c>
      <c r="N301" s="3" t="inlineStr"/>
      <c r="O301" s="3" t="inlineStr">
        <is>
          <t>已取得核验全文</t>
        </is>
      </c>
      <c r="P301" s="3" t="inlineStr">
        <is>
          <t>是</t>
        </is>
      </c>
      <c r="Q301" s="3" t="inlineStr">
        <is>
          <t>当前无补充材料原件；沿用既有缺失/无附件证据，不据此认定无附件</t>
        </is>
      </c>
      <c r="R301" s="3" t="n">
        <v>2024</v>
      </c>
      <c r="S301" s="3" t="inlineStr">
        <is>
          <t>2025发布版（2024指标年）</t>
        </is>
      </c>
      <c r="T301" s="3" t="inlineStr">
        <is>
          <t>ENERGY &amp; FUELS; GREEN &amp; SUSTAINABLE SCIENCE &amp; TECHNOLOGY</t>
        </is>
      </c>
      <c r="U301" s="3" t="inlineStr">
        <is>
          <t>ENERGY &amp; FUELS: Q1; GREEN &amp; SUSTAINABLE SCIENCE &amp; TECHNOLOGY: Q1</t>
        </is>
      </c>
      <c r="V301" s="4" t="inlineStr">
        <is>
          <t>是</t>
        </is>
      </c>
      <c r="W301" s="4" t="inlineStr">
        <is>
          <t>是</t>
        </is>
      </c>
      <c r="X301" s="3" t="inlineStr">
        <is>
          <t>是</t>
        </is>
      </c>
      <c r="Y301" s="3" t="inlineStr">
        <is>
          <t>https://topj.lib.whu.edu.cn/show.asp?cat=sci&amp;id=8240</t>
        </is>
      </c>
      <c r="Z301" s="3" t="inlineStr">
        <is>
          <t>https://api.crossref.org/works/10.1016/j.renene.2021.09.089</t>
        </is>
      </c>
      <c r="AA30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01" s="3" t="inlineStr">
        <is>
          <t>original_files/R07919/fulltext/fulltext__published__d4adef397549abc7.pdf</t>
        </is>
      </c>
      <c r="AC301" s="3" t="inlineStr"/>
      <c r="AD301" s="3" t="inlineStr">
        <is>
          <t>https://github.com/Colliam-Vermilion/FirstCodex/blob/results/ad-oxygen-literature-20261006/results/ad-oxygen-literature-20261006/original_files/R07919/fulltext/fulltext__published__d4adef397549abc7.pdf</t>
        </is>
      </c>
    </row>
    <row r="302" ht="48" customHeight="1">
      <c r="A302" s="2" t="inlineStr">
        <is>
          <t>R08069</t>
        </is>
      </c>
      <c r="B302" s="2" t="inlineStr">
        <is>
          <t>Model-based analysis of microaeration for biogas desulfurization using a biomembrane</t>
        </is>
      </c>
      <c r="C302" s="2" t="inlineStr">
        <is>
          <t>2022</t>
        </is>
      </c>
      <c r="D302" s="2" t="inlineStr">
        <is>
          <t>2022</t>
        </is>
      </c>
      <c r="E302" s="2" t="inlineStr"/>
      <c r="F302" s="2" t="inlineStr">
        <is>
          <t>期刊文章</t>
        </is>
      </c>
      <c r="G302" s="2" t="inlineStr">
        <is>
          <t>5 排除</t>
        </is>
      </c>
      <c r="H302" s="2" t="inlineStr">
        <is>
          <t>否</t>
        </is>
      </c>
      <c r="I302" s="2" t="inlineStr">
        <is>
          <t>研究类</t>
        </is>
      </c>
      <c r="J302" s="2" t="inlineStr">
        <is>
          <t>否</t>
        </is>
      </c>
      <c r="K302" s="2" t="inlineStr">
        <is>
          <t>Ghent University Academic Bibliography (Ghent University)</t>
        </is>
      </c>
      <c r="L302" s="2" t="inlineStr">
        <is>
          <t>Ghent University Academic Bibliography (Ghent University)</t>
        </is>
      </c>
      <c r="M302" s="2" t="inlineStr"/>
      <c r="N302" s="2" t="inlineStr"/>
      <c r="O302" s="2" t="inlineStr">
        <is>
          <t>未取得全文</t>
        </is>
      </c>
      <c r="P302" s="2" t="inlineStr">
        <is>
          <t>否</t>
        </is>
      </c>
      <c r="Q302" s="2" t="inlineStr">
        <is>
          <t>当前无补充材料原件；沿用既有缺失/无附件证据，不据此认定无附件</t>
        </is>
      </c>
      <c r="R302" s="2" t="n">
        <v>2024</v>
      </c>
      <c r="S302" s="2" t="inlineStr">
        <is>
          <t>2025发布版（2024指标年）</t>
        </is>
      </c>
      <c r="T302" s="2" t="inlineStr"/>
      <c r="U302" s="2" t="inlineStr"/>
      <c r="V302" s="2" t="inlineStr">
        <is>
          <t>待核实</t>
        </is>
      </c>
      <c r="W302" s="2" t="inlineStr">
        <is>
          <t>待核实</t>
        </is>
      </c>
      <c r="X302" s="2" t="inlineStr">
        <is>
          <t>否</t>
        </is>
      </c>
      <c r="Y302" s="2" t="inlineStr"/>
      <c r="Z302" s="2" t="inlineStr"/>
      <c r="AA302" s="2" t="inlineStr">
        <is>
          <t>2024指标年JCR分区未核实；空白不能当非Q1。需要2025发布版/2024指标年的JCR全部学科导出。</t>
        </is>
      </c>
      <c r="AB302" s="2" t="inlineStr"/>
      <c r="AC302" s="2" t="inlineStr"/>
      <c r="AD302" s="2" t="inlineStr"/>
    </row>
    <row r="303" ht="48" customHeight="1">
      <c r="A303" s="3" t="inlineStr">
        <is>
          <t>R08127</t>
        </is>
      </c>
      <c r="B303" s="3" t="inlineStr">
        <is>
          <t>ORGANIC REMOVAL IN DOMESTIC WASTEWATER USING ANAEROBIC TREATMENT SYSTEM-MBBR WITH FLOW RECIRCULATION RATIO AND INTERMITTENT AERATION</t>
        </is>
      </c>
      <c r="C303" s="3" t="inlineStr">
        <is>
          <t>2022</t>
        </is>
      </c>
      <c r="D303" s="3" t="inlineStr">
        <is>
          <t>2022</t>
        </is>
      </c>
      <c r="E303" s="3" t="inlineStr">
        <is>
          <t>10.25105/urbanenvirotech.v5i3.12776</t>
        </is>
      </c>
      <c r="F303" s="3" t="inlineStr">
        <is>
          <t>期刊文章</t>
        </is>
      </c>
      <c r="G303" s="3" t="inlineStr">
        <is>
          <t>5 排除</t>
        </is>
      </c>
      <c r="H303" s="3" t="inlineStr">
        <is>
          <t>否</t>
        </is>
      </c>
      <c r="I303" s="3" t="inlineStr">
        <is>
          <t>研究类</t>
        </is>
      </c>
      <c r="J303" s="3" t="inlineStr">
        <is>
          <t>否</t>
        </is>
      </c>
      <c r="K303" s="3" t="inlineStr">
        <is>
          <t>INDONESIAN JOURNAL OF URBAN AND ENVIRONMENTAL TECHNOLOGY</t>
        </is>
      </c>
      <c r="L303" s="3" t="inlineStr">
        <is>
          <t>INDONESIAN JOURNAL OF URBAN AND ENVIRONMENTAL TECHNOLOGY</t>
        </is>
      </c>
      <c r="M303" s="3" t="inlineStr">
        <is>
          <t>2579-9150</t>
        </is>
      </c>
      <c r="N303" s="3" t="inlineStr">
        <is>
          <t>2579-9207</t>
        </is>
      </c>
      <c r="O303" s="3" t="inlineStr">
        <is>
          <t>未取得全文</t>
        </is>
      </c>
      <c r="P303" s="3" t="inlineStr">
        <is>
          <t>否</t>
        </is>
      </c>
      <c r="Q303" s="3" t="inlineStr">
        <is>
          <t>当前无补充材料原件；沿用既有缺失/无附件证据，不据此认定无附件</t>
        </is>
      </c>
      <c r="R303" s="3" t="n">
        <v>2024</v>
      </c>
      <c r="S303" s="3" t="inlineStr">
        <is>
          <t>2025发布版（2024指标年）</t>
        </is>
      </c>
      <c r="T303" s="3" t="inlineStr"/>
      <c r="U303" s="3" t="inlineStr"/>
      <c r="V303" s="3" t="inlineStr">
        <is>
          <t>待核实</t>
        </is>
      </c>
      <c r="W303" s="3" t="inlineStr">
        <is>
          <t>待核实</t>
        </is>
      </c>
      <c r="X303" s="3" t="inlineStr">
        <is>
          <t>否</t>
        </is>
      </c>
      <c r="Y303" s="3" t="inlineStr"/>
      <c r="Z303" s="3" t="inlineStr">
        <is>
          <t>https://api.crossref.org/works/10.25105/urbanenvirotech.v5i3.12776</t>
        </is>
      </c>
      <c r="AA303" s="3" t="inlineStr">
        <is>
          <t>2024指标年JCR分区未核实；空白不能当非Q1。需要2025发布版/2024指标年的JCR全部学科导出。</t>
        </is>
      </c>
      <c r="AB303" s="3" t="inlineStr"/>
      <c r="AC303" s="3" t="inlineStr"/>
      <c r="AD303" s="3" t="inlineStr"/>
    </row>
    <row r="304" ht="48" customHeight="1">
      <c r="A304" s="2" t="inlineStr">
        <is>
          <t>R08133</t>
        </is>
      </c>
      <c r="B304" s="2" t="inlineStr">
        <is>
          <t>Operation of a circular economy, energy, environmental system at a wastewater treatment plant</t>
        </is>
      </c>
      <c r="C304" s="2" t="inlineStr">
        <is>
          <t>2022</t>
        </is>
      </c>
      <c r="D304" s="2" t="inlineStr">
        <is>
          <t>2022</t>
        </is>
      </c>
      <c r="E304" s="2" t="inlineStr">
        <is>
          <t>10.1016/j.adapen.2022.100109</t>
        </is>
      </c>
      <c r="F304" s="2" t="inlineStr">
        <is>
          <t>期刊文章</t>
        </is>
      </c>
      <c r="G304" s="2" t="inlineStr">
        <is>
          <t>5 排除</t>
        </is>
      </c>
      <c r="H304" s="2" t="inlineStr">
        <is>
          <t>否</t>
        </is>
      </c>
      <c r="I304" s="2" t="inlineStr">
        <is>
          <t>研究类</t>
        </is>
      </c>
      <c r="J304" s="2" t="inlineStr">
        <is>
          <t>否</t>
        </is>
      </c>
      <c r="K304" s="2" t="inlineStr">
        <is>
          <t>Advances in Applied Energy</t>
        </is>
      </c>
      <c r="L304" s="2" t="inlineStr">
        <is>
          <t>Advances in Applied Energy</t>
        </is>
      </c>
      <c r="M304" s="2" t="inlineStr">
        <is>
          <t>2666-7924</t>
        </is>
      </c>
      <c r="N304" s="2" t="inlineStr"/>
      <c r="O304" s="2" t="inlineStr">
        <is>
          <t>未取得全文</t>
        </is>
      </c>
      <c r="P304" s="2" t="inlineStr">
        <is>
          <t>否</t>
        </is>
      </c>
      <c r="Q304" s="2" t="inlineStr">
        <is>
          <t>当前无补充材料原件；沿用既有缺失/无附件证据，不据此认定无附件</t>
        </is>
      </c>
      <c r="R304" s="2" t="n">
        <v>2024</v>
      </c>
      <c r="S304" s="2" t="inlineStr">
        <is>
          <t>2025发布版（2024指标年）</t>
        </is>
      </c>
      <c r="T304" s="2" t="inlineStr"/>
      <c r="U304" s="2" t="inlineStr"/>
      <c r="V304" s="2" t="inlineStr">
        <is>
          <t>待核实</t>
        </is>
      </c>
      <c r="W304" s="2" t="inlineStr">
        <is>
          <t>待核实</t>
        </is>
      </c>
      <c r="X304" s="2" t="inlineStr">
        <is>
          <t>否</t>
        </is>
      </c>
      <c r="Y304" s="2" t="inlineStr"/>
      <c r="Z304" s="2" t="inlineStr">
        <is>
          <t>https://api.crossref.org/works/10.1016/j.adapen.2022.100109</t>
        </is>
      </c>
      <c r="AA304" s="2" t="inlineStr">
        <is>
          <t>2024指标年JCR分区未核实；空白不能当非Q1。需要2025发布版/2024指标年的JCR全部学科导出。</t>
        </is>
      </c>
      <c r="AB304" s="2" t="inlineStr"/>
      <c r="AC304" s="2" t="inlineStr"/>
      <c r="AD304" s="2" t="inlineStr"/>
    </row>
    <row r="305" ht="48" customHeight="1">
      <c r="A305" s="3" t="inlineStr">
        <is>
          <t>R08182</t>
        </is>
      </c>
      <c r="B305" s="3" t="inlineStr">
        <is>
          <t>Photochemical transformation mechanisms of dissolved organic matters (DOM) derived from different bio-stabilization sludge</t>
        </is>
      </c>
      <c r="C305" s="3" t="inlineStr">
        <is>
          <t>2022</t>
        </is>
      </c>
      <c r="D305" s="3" t="inlineStr">
        <is>
          <t>2022</t>
        </is>
      </c>
      <c r="E305" s="3" t="inlineStr">
        <is>
          <t>10.1016/j.envint.2022.107534</t>
        </is>
      </c>
      <c r="F305" s="3" t="inlineStr">
        <is>
          <t>期刊文章</t>
        </is>
      </c>
      <c r="G305" s="3" t="inlineStr">
        <is>
          <t>5 排除</t>
        </is>
      </c>
      <c r="H305" s="3" t="inlineStr">
        <is>
          <t>否</t>
        </is>
      </c>
      <c r="I305" s="3" t="inlineStr">
        <is>
          <t>研究类</t>
        </is>
      </c>
      <c r="J305" s="3" t="inlineStr">
        <is>
          <t>否</t>
        </is>
      </c>
      <c r="K305" s="3" t="inlineStr">
        <is>
          <t>Environment International</t>
        </is>
      </c>
      <c r="L305" s="3" t="inlineStr">
        <is>
          <t>Environment International</t>
        </is>
      </c>
      <c r="M305" s="3" t="inlineStr">
        <is>
          <t>0160-4120</t>
        </is>
      </c>
      <c r="N305" s="3" t="inlineStr"/>
      <c r="O305" s="3" t="inlineStr">
        <is>
          <t>未取得全文</t>
        </is>
      </c>
      <c r="P305" s="3" t="inlineStr">
        <is>
          <t>否</t>
        </is>
      </c>
      <c r="Q305" s="3" t="inlineStr">
        <is>
          <t>当前无补充材料原件；沿用既有缺失/无附件证据，不据此认定无附件</t>
        </is>
      </c>
      <c r="R305" s="3" t="n">
        <v>2024</v>
      </c>
      <c r="S305" s="3" t="inlineStr">
        <is>
          <t>2025发布版（2024指标年）</t>
        </is>
      </c>
      <c r="T305" s="3" t="inlineStr"/>
      <c r="U305" s="3" t="inlineStr"/>
      <c r="V305" s="3" t="inlineStr">
        <is>
          <t>待核实</t>
        </is>
      </c>
      <c r="W305" s="3" t="inlineStr">
        <is>
          <t>待核实</t>
        </is>
      </c>
      <c r="X305" s="3" t="inlineStr">
        <is>
          <t>否</t>
        </is>
      </c>
      <c r="Y305" s="3" t="inlineStr"/>
      <c r="Z305" s="3" t="inlineStr">
        <is>
          <t>https://api.crossref.org/works/10.1016/j.envint.2022.107534</t>
        </is>
      </c>
      <c r="AA305" s="3" t="inlineStr">
        <is>
          <t>2024指标年JCR分区未核实；空白不能当非Q1。需要2025发布版/2024指标年的JCR全部学科导出。</t>
        </is>
      </c>
      <c r="AB305" s="3" t="inlineStr"/>
      <c r="AC305" s="3" t="inlineStr"/>
      <c r="AD305" s="3" t="inlineStr"/>
    </row>
    <row r="306" ht="48" customHeight="1">
      <c r="A306" s="2" t="inlineStr">
        <is>
          <t>R08187</t>
        </is>
      </c>
      <c r="B306" s="2" t="inlineStr">
        <is>
          <t>Pilot-Scale Anaerobic Digestion of Pig Manure with Thermal Pretreatment: Stability Monitoring to Improve the Potential for Obtaining Methane</t>
        </is>
      </c>
      <c r="C306" s="2" t="inlineStr">
        <is>
          <t>2022</t>
        </is>
      </c>
      <c r="D306" s="2" t="inlineStr">
        <is>
          <t>2022</t>
        </is>
      </c>
      <c r="E306" s="2" t="inlineStr">
        <is>
          <t>10.3390/pr10081602</t>
        </is>
      </c>
      <c r="F306" s="2" t="inlineStr">
        <is>
          <t>期刊文章</t>
        </is>
      </c>
      <c r="G306" s="2" t="inlineStr">
        <is>
          <t>5 排除</t>
        </is>
      </c>
      <c r="H306" s="2" t="inlineStr">
        <is>
          <t>否</t>
        </is>
      </c>
      <c r="I306" s="2" t="inlineStr">
        <is>
          <t>研究类</t>
        </is>
      </c>
      <c r="J306" s="2" t="inlineStr">
        <is>
          <t>否</t>
        </is>
      </c>
      <c r="K306" s="2" t="inlineStr">
        <is>
          <t>Processes</t>
        </is>
      </c>
      <c r="L306" s="2" t="inlineStr">
        <is>
          <t>Processes</t>
        </is>
      </c>
      <c r="M306" s="2" t="inlineStr"/>
      <c r="N306" s="2" t="inlineStr">
        <is>
          <t>2227-9717</t>
        </is>
      </c>
      <c r="O306" s="2" t="inlineStr">
        <is>
          <t>未取得全文</t>
        </is>
      </c>
      <c r="P306" s="2" t="inlineStr">
        <is>
          <t>否</t>
        </is>
      </c>
      <c r="Q306" s="2" t="inlineStr">
        <is>
          <t>当前无补充材料原件；沿用既有缺失/无附件证据，不据此认定无附件</t>
        </is>
      </c>
      <c r="R306" s="2" t="n">
        <v>2024</v>
      </c>
      <c r="S306" s="2" t="inlineStr">
        <is>
          <t>2025发布版（2024指标年）</t>
        </is>
      </c>
      <c r="T306" s="2" t="inlineStr"/>
      <c r="U306" s="2" t="inlineStr"/>
      <c r="V306" s="2" t="inlineStr">
        <is>
          <t>待核实</t>
        </is>
      </c>
      <c r="W306" s="2" t="inlineStr">
        <is>
          <t>待核实</t>
        </is>
      </c>
      <c r="X306" s="2" t="inlineStr">
        <is>
          <t>否</t>
        </is>
      </c>
      <c r="Y306" s="2" t="inlineStr"/>
      <c r="Z306" s="2" t="inlineStr">
        <is>
          <t>https://api.crossref.org/works/10.3390/pr10081602</t>
        </is>
      </c>
      <c r="AA306" s="2" t="inlineStr">
        <is>
          <t>2024指标年JCR分区未核实；空白不能当非Q1。需要2025发布版/2024指标年的JCR全部学科导出。</t>
        </is>
      </c>
      <c r="AB306" s="2" t="inlineStr"/>
      <c r="AC306" s="2" t="inlineStr"/>
      <c r="AD306" s="2" t="inlineStr"/>
    </row>
    <row r="307" ht="48" customHeight="1">
      <c r="A307" s="3" t="inlineStr">
        <is>
          <t>R08308</t>
        </is>
      </c>
      <c r="B307" s="3" t="inlineStr">
        <is>
          <t>Signature of dissolved organic matter and microbial communities based on different oxygen levels response during distillers dried grains with solubles plus sugarcane pith co-fermentations</t>
        </is>
      </c>
      <c r="C307" s="3" t="inlineStr">
        <is>
          <t>2022</t>
        </is>
      </c>
      <c r="D307" s="3" t="inlineStr">
        <is>
          <t>2022</t>
        </is>
      </c>
      <c r="E307" s="3" t="inlineStr">
        <is>
          <t>10.1016/j.biortech.2022.126868</t>
        </is>
      </c>
      <c r="F307" s="3" t="inlineStr">
        <is>
          <t>期刊文章</t>
        </is>
      </c>
      <c r="G307" s="3" t="inlineStr">
        <is>
          <t>2 向厌氧水解或产酸阶段供氧</t>
        </is>
      </c>
      <c r="H307" s="3" t="inlineStr">
        <is>
          <t>是</t>
        </is>
      </c>
      <c r="I307" s="3" t="inlineStr">
        <is>
          <t>研究类</t>
        </is>
      </c>
      <c r="J307" s="3" t="inlineStr">
        <is>
          <t>是</t>
        </is>
      </c>
      <c r="K307" s="3" t="inlineStr">
        <is>
          <t>BIORESOURCE TECHNOLOGY</t>
        </is>
      </c>
      <c r="L307" s="3" t="inlineStr">
        <is>
          <t>Bioresource Technology</t>
        </is>
      </c>
      <c r="M307" s="3" t="inlineStr">
        <is>
          <t>0960-8524</t>
        </is>
      </c>
      <c r="N307" s="3" t="inlineStr"/>
      <c r="O307" s="3" t="inlineStr">
        <is>
          <t>已取得核验全文</t>
        </is>
      </c>
      <c r="P307" s="3" t="inlineStr">
        <is>
          <t>是</t>
        </is>
      </c>
      <c r="Q307" s="3" t="inlineStr">
        <is>
          <t>当前无补充材料原件；沿用既有缺失/无附件证据，不据此认定无附件</t>
        </is>
      </c>
      <c r="R307" s="3" t="n">
        <v>2024</v>
      </c>
      <c r="S307" s="3" t="inlineStr">
        <is>
          <t>2025发布版（2024指标年）</t>
        </is>
      </c>
      <c r="T307" s="3" t="inlineStr">
        <is>
          <t>AGRICULTURAL ENGINEERING; BIOTECHNOLOGY &amp; APPLIED MICROBIOLOGY; ENERGY &amp; FUELS</t>
        </is>
      </c>
      <c r="U307" s="3" t="inlineStr">
        <is>
          <t>AGRICULTURAL ENGINEERING: Q1; BIOTECHNOLOGY &amp; APPLIED MICROBIOLOGY: Q1; ENERGY &amp; FUELS: Q1</t>
        </is>
      </c>
      <c r="V307" s="4" t="inlineStr">
        <is>
          <t>是</t>
        </is>
      </c>
      <c r="W307" s="4" t="inlineStr">
        <is>
          <t>是</t>
        </is>
      </c>
      <c r="X307" s="3" t="inlineStr">
        <is>
          <t>是</t>
        </is>
      </c>
      <c r="Y307" s="3" t="inlineStr">
        <is>
          <t>https://topj.lib.whu.edu.cn/show.asp?cat=zk&amp;id=3976</t>
        </is>
      </c>
      <c r="Z307" s="3" t="inlineStr">
        <is>
          <t>https://api.crossref.org/works/10.1016/j.biortech.2022.126868</t>
        </is>
      </c>
      <c r="AA30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07" s="3" t="inlineStr">
        <is>
          <t>original_files/R08308/fulltext/fulltext__published__3f8b05cbd2ac3f87.pdf</t>
        </is>
      </c>
      <c r="AC307" s="3" t="inlineStr"/>
      <c r="AD307" s="3" t="inlineStr">
        <is>
          <t>https://github.com/Colliam-Vermilion/FirstCodex/blob/results/ad-oxygen-literature-20261006/results/ad-oxygen-literature-20261006/original_files/R08308/fulltext/fulltext__published__3f8b05cbd2ac3f87.pdf</t>
        </is>
      </c>
    </row>
    <row r="308" ht="48" customHeight="1">
      <c r="A308" s="2" t="inlineStr">
        <is>
          <t>R08346</t>
        </is>
      </c>
      <c r="B308" s="2" t="inlineStr">
        <is>
          <t>Supplementation of KOH to improve salt tolerance of methanogenesis in the two-stage anaerobic digestion of food waste using pre-acclimated anaerobically digested sludge by air-nanobubble water</t>
        </is>
      </c>
      <c r="C308" s="2" t="inlineStr">
        <is>
          <t>2022</t>
        </is>
      </c>
      <c r="D308" s="2" t="inlineStr">
        <is>
          <t>2022</t>
        </is>
      </c>
      <c r="E308" s="2" t="inlineStr">
        <is>
          <t>10.1016/j.biortech.2021.126360</t>
        </is>
      </c>
      <c r="F308" s="2" t="inlineStr">
        <is>
          <t>期刊文章</t>
        </is>
      </c>
      <c r="G308" s="2" t="inlineStr">
        <is>
          <t>3 独立好氧或微好氧预处理</t>
        </is>
      </c>
      <c r="H308" s="2" t="inlineStr">
        <is>
          <t>是</t>
        </is>
      </c>
      <c r="I308" s="2" t="inlineStr">
        <is>
          <t>研究类</t>
        </is>
      </c>
      <c r="J308" s="2" t="inlineStr">
        <is>
          <t>是</t>
        </is>
      </c>
      <c r="K308" s="2" t="inlineStr">
        <is>
          <t>BIORESOURCE TECHNOLOGY</t>
        </is>
      </c>
      <c r="L308" s="2" t="inlineStr">
        <is>
          <t>Bioresource Technology</t>
        </is>
      </c>
      <c r="M308" s="2" t="inlineStr">
        <is>
          <t>0960-8524</t>
        </is>
      </c>
      <c r="N308" s="2" t="inlineStr"/>
      <c r="O308" s="2" t="inlineStr">
        <is>
          <t>已取得核验全文</t>
        </is>
      </c>
      <c r="P308" s="2" t="inlineStr">
        <is>
          <t>是</t>
        </is>
      </c>
      <c r="Q308" s="2" t="inlineStr">
        <is>
          <t>当前无补充材料原件；沿用既有缺失/无附件证据，不据此认定无附件</t>
        </is>
      </c>
      <c r="R308" s="2" t="n">
        <v>2024</v>
      </c>
      <c r="S308" s="2" t="inlineStr">
        <is>
          <t>2025发布版（2024指标年）</t>
        </is>
      </c>
      <c r="T308" s="2" t="inlineStr">
        <is>
          <t>AGRICULTURAL ENGINEERING; BIOTECHNOLOGY &amp; APPLIED MICROBIOLOGY; ENERGY &amp; FUELS</t>
        </is>
      </c>
      <c r="U308" s="2" t="inlineStr">
        <is>
          <t>AGRICULTURAL ENGINEERING: Q1; BIOTECHNOLOGY &amp; APPLIED MICROBIOLOGY: Q1; ENERGY &amp; FUELS: Q1</t>
        </is>
      </c>
      <c r="V308" s="4" t="inlineStr">
        <is>
          <t>是</t>
        </is>
      </c>
      <c r="W308" s="4" t="inlineStr">
        <is>
          <t>是</t>
        </is>
      </c>
      <c r="X308" s="2" t="inlineStr">
        <is>
          <t>是</t>
        </is>
      </c>
      <c r="Y308" s="2" t="inlineStr">
        <is>
          <t>https://topj.lib.whu.edu.cn/show.asp?cat=zk&amp;id=3976</t>
        </is>
      </c>
      <c r="Z308" s="2" t="inlineStr">
        <is>
          <t>https://api.crossref.org/works/10.1016/j.biortech.2021.126360</t>
        </is>
      </c>
      <c r="AA30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08" s="2" t="inlineStr">
        <is>
          <t>original_files/R08346/fulltext/fulltext__published__8fbfd9ecf913a34e.pdf</t>
        </is>
      </c>
      <c r="AC308" s="2" t="inlineStr"/>
      <c r="AD308" s="2" t="inlineStr">
        <is>
          <t>https://github.com/Colliam-Vermilion/FirstCodex/blob/results/ad-oxygen-literature-20261006/results/ad-oxygen-literature-20261006/original_files/R08346/fulltext/fulltext__published__8fbfd9ecf913a34e.pdf</t>
        </is>
      </c>
    </row>
    <row r="309" ht="48" customHeight="1">
      <c r="A309" s="3" t="inlineStr">
        <is>
          <t>R08393</t>
        </is>
      </c>
      <c r="B309" s="3" t="inlineStr">
        <is>
          <t>The effects of micro-aeration on semi-continued anaerobic digestion of corn straw with increasing organic loading rates</t>
        </is>
      </c>
      <c r="C309" s="3" t="inlineStr">
        <is>
          <t>2022</t>
        </is>
      </c>
      <c r="D309" s="3" t="inlineStr">
        <is>
          <t>2022</t>
        </is>
      </c>
      <c r="E309" s="3" t="inlineStr">
        <is>
          <t>10.1016/j.renene.2022.06.106</t>
        </is>
      </c>
      <c r="F309" s="3" t="inlineStr">
        <is>
          <t>期刊文章</t>
        </is>
      </c>
      <c r="G309" s="3" t="inlineStr">
        <is>
          <t>1 直接向 AD 反应器或内部循环系统供氧</t>
        </is>
      </c>
      <c r="H309" s="3" t="inlineStr">
        <is>
          <t>是</t>
        </is>
      </c>
      <c r="I309" s="3" t="inlineStr">
        <is>
          <t>研究类</t>
        </is>
      </c>
      <c r="J309" s="3" t="inlineStr">
        <is>
          <t>是</t>
        </is>
      </c>
      <c r="K309" s="3" t="inlineStr">
        <is>
          <t>Renewable Energy</t>
        </is>
      </c>
      <c r="L309" s="3" t="inlineStr">
        <is>
          <t>Renewable Energy</t>
        </is>
      </c>
      <c r="M309" s="3" t="inlineStr">
        <is>
          <t>0960-1481</t>
        </is>
      </c>
      <c r="N309" s="3" t="inlineStr"/>
      <c r="O309" s="3" t="inlineStr">
        <is>
          <t>已取得核验全文</t>
        </is>
      </c>
      <c r="P309" s="3" t="inlineStr">
        <is>
          <t>是</t>
        </is>
      </c>
      <c r="Q309" s="3" t="inlineStr">
        <is>
          <t>已取得1件原格式补充材料；其中1件唯一关联待核实；完整性未确认</t>
        </is>
      </c>
      <c r="R309" s="3" t="n">
        <v>2024</v>
      </c>
      <c r="S309" s="3" t="inlineStr">
        <is>
          <t>2025发布版（2024指标年）</t>
        </is>
      </c>
      <c r="T309" s="3" t="inlineStr">
        <is>
          <t>ENERGY &amp; FUELS; GREEN &amp; SUSTAINABLE SCIENCE &amp; TECHNOLOGY</t>
        </is>
      </c>
      <c r="U309" s="3" t="inlineStr">
        <is>
          <t>ENERGY &amp; FUELS: Q1; GREEN &amp; SUSTAINABLE SCIENCE &amp; TECHNOLOGY: Q1</t>
        </is>
      </c>
      <c r="V309" s="4" t="inlineStr">
        <is>
          <t>是</t>
        </is>
      </c>
      <c r="W309" s="4" t="inlineStr">
        <is>
          <t>是</t>
        </is>
      </c>
      <c r="X309" s="3" t="inlineStr">
        <is>
          <t>是</t>
        </is>
      </c>
      <c r="Y309" s="3" t="inlineStr">
        <is>
          <t>https://topj.lib.whu.edu.cn/show.asp?cat=sci&amp;id=8240</t>
        </is>
      </c>
      <c r="Z309" s="3" t="inlineStr">
        <is>
          <t>https://api.crossref.org/works/10.1016/j.renene.2022.06.106</t>
        </is>
      </c>
      <c r="AA30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09" s="3" t="inlineStr">
        <is>
          <t>original_files/R08393/fulltext/fulltext__published__8783bc9ab4738cb6.pdf</t>
        </is>
      </c>
      <c r="AC309" s="3" t="inlineStr">
        <is>
          <t>original_files/R08393/supplementary/supplementary__97f3045bbf7c1650.docx</t>
        </is>
      </c>
      <c r="AD309" s="3" t="inlineStr">
        <is>
          <t>https://github.com/Colliam-Vermilion/FirstCodex/blob/results/ad-oxygen-literature-20261006/results/ad-oxygen-literature-20261006/original_files/R08393/fulltext/fulltext__published__8783bc9ab4738cb6.pdf</t>
        </is>
      </c>
    </row>
    <row r="310" ht="48" customHeight="1">
      <c r="A310" s="2" t="inlineStr">
        <is>
          <t>R08415</t>
        </is>
      </c>
      <c r="B310" s="2" t="inlineStr">
        <is>
          <t>Toward Carbon-Neutral Water Systems: Insights from Global Cities</t>
        </is>
      </c>
      <c r="C310" s="2" t="inlineStr">
        <is>
          <t>2022</t>
        </is>
      </c>
      <c r="D310" s="2" t="inlineStr">
        <is>
          <t>2022</t>
        </is>
      </c>
      <c r="E310" s="2" t="inlineStr">
        <is>
          <t>10.1016/j.eng.2022.04.012</t>
        </is>
      </c>
      <c r="F310" s="2" t="inlineStr">
        <is>
          <t>期刊文章</t>
        </is>
      </c>
      <c r="G310" s="2" t="inlineStr">
        <is>
          <t>5 排除</t>
        </is>
      </c>
      <c r="H310" s="2" t="inlineStr">
        <is>
          <t>否</t>
        </is>
      </c>
      <c r="I310" s="2" t="inlineStr">
        <is>
          <t>研究类</t>
        </is>
      </c>
      <c r="J310" s="2" t="inlineStr">
        <is>
          <t>否</t>
        </is>
      </c>
      <c r="K310" s="2" t="inlineStr">
        <is>
          <t>Engineering</t>
        </is>
      </c>
      <c r="L310" s="2" t="inlineStr">
        <is>
          <t>Engineering</t>
        </is>
      </c>
      <c r="M310" s="2" t="inlineStr">
        <is>
          <t>2095-8099</t>
        </is>
      </c>
      <c r="N310" s="2" t="inlineStr"/>
      <c r="O310" s="2" t="inlineStr">
        <is>
          <t>未取得全文</t>
        </is>
      </c>
      <c r="P310" s="2" t="inlineStr">
        <is>
          <t>否</t>
        </is>
      </c>
      <c r="Q310" s="2" t="inlineStr">
        <is>
          <t>当前无补充材料原件；沿用既有缺失/无附件证据，不据此认定无附件</t>
        </is>
      </c>
      <c r="R310" s="2" t="n">
        <v>2024</v>
      </c>
      <c r="S310" s="2" t="inlineStr">
        <is>
          <t>2025发布版（2024指标年）</t>
        </is>
      </c>
      <c r="T310" s="2" t="inlineStr"/>
      <c r="U310" s="2" t="inlineStr"/>
      <c r="V310" s="2" t="inlineStr">
        <is>
          <t>待核实</t>
        </is>
      </c>
      <c r="W310" s="2" t="inlineStr">
        <is>
          <t>待核实</t>
        </is>
      </c>
      <c r="X310" s="2" t="inlineStr">
        <is>
          <t>否</t>
        </is>
      </c>
      <c r="Y310" s="2" t="inlineStr"/>
      <c r="Z310" s="2" t="inlineStr">
        <is>
          <t>https://api.crossref.org/works/10.1016/j.eng.2022.04.012</t>
        </is>
      </c>
      <c r="AA310" s="2" t="inlineStr">
        <is>
          <t>2024指标年JCR分区未核实；空白不能当非Q1。需要2025发布版/2024指标年的JCR全部学科导出。</t>
        </is>
      </c>
      <c r="AB310" s="2" t="inlineStr"/>
      <c r="AC310" s="2" t="inlineStr"/>
      <c r="AD310" s="2" t="inlineStr"/>
    </row>
    <row r="311" ht="48" customHeight="1">
      <c r="A311" s="3" t="inlineStr">
        <is>
          <t>R08456</t>
        </is>
      </c>
      <c r="B311" s="3" t="inlineStr">
        <is>
          <t>Understanding the mechanisms behind micro-aeration to enhance anaerobic digestion of corn straw</t>
        </is>
      </c>
      <c r="C311" s="3" t="inlineStr">
        <is>
          <t>2022</t>
        </is>
      </c>
      <c r="D311" s="3" t="inlineStr">
        <is>
          <t>2022</t>
        </is>
      </c>
      <c r="E311" s="3" t="inlineStr">
        <is>
          <t>10.1016/j.fuel.2022.123604</t>
        </is>
      </c>
      <c r="F311" s="3" t="inlineStr">
        <is>
          <t>期刊文章</t>
        </is>
      </c>
      <c r="G311" s="3" t="inlineStr">
        <is>
          <t>1 直接向 AD 反应器或内部循环系统供氧</t>
        </is>
      </c>
      <c r="H311" s="3" t="inlineStr">
        <is>
          <t>是</t>
        </is>
      </c>
      <c r="I311" s="3" t="inlineStr">
        <is>
          <t>研究类</t>
        </is>
      </c>
      <c r="J311" s="3" t="inlineStr">
        <is>
          <t>是</t>
        </is>
      </c>
      <c r="K311" s="3" t="inlineStr">
        <is>
          <t>Fuel</t>
        </is>
      </c>
      <c r="L311" s="3" t="inlineStr">
        <is>
          <t>Fuel</t>
        </is>
      </c>
      <c r="M311" s="3" t="inlineStr">
        <is>
          <t>0016-2361</t>
        </is>
      </c>
      <c r="N311" s="3" t="inlineStr"/>
      <c r="O311" s="3" t="inlineStr">
        <is>
          <t>已取得核验全文</t>
        </is>
      </c>
      <c r="P311" s="3" t="inlineStr">
        <is>
          <t>是</t>
        </is>
      </c>
      <c r="Q311" s="3" t="inlineStr">
        <is>
          <t>已取得1件原格式补充材料；其中0件唯一关联待核实；完整性未确认</t>
        </is>
      </c>
      <c r="R311" s="3" t="n">
        <v>2024</v>
      </c>
      <c r="S311" s="3" t="inlineStr">
        <is>
          <t>2025发布版（2024指标年）</t>
        </is>
      </c>
      <c r="T311" s="3" t="inlineStr">
        <is>
          <t>ENERGY &amp; FUELS; ENGINEERING, CHEMICAL</t>
        </is>
      </c>
      <c r="U311" s="3" t="inlineStr">
        <is>
          <t>ENERGY &amp; FUELS: Q1; ENGINEERING, CHEMICAL: Q1</t>
        </is>
      </c>
      <c r="V311" s="4" t="inlineStr">
        <is>
          <t>是</t>
        </is>
      </c>
      <c r="W311" s="4" t="inlineStr">
        <is>
          <t>是</t>
        </is>
      </c>
      <c r="X311" s="3" t="inlineStr">
        <is>
          <t>是</t>
        </is>
      </c>
      <c r="Y311" s="3" t="inlineStr">
        <is>
          <t>https://topj.lib.whu.edu.cn/show.asp?cat=sci&amp;id=5597</t>
        </is>
      </c>
      <c r="Z311" s="3" t="inlineStr">
        <is>
          <t>https://api.crossref.org/works/10.1016/j.fuel.2022.123604</t>
        </is>
      </c>
      <c r="AA31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11" s="3" t="inlineStr">
        <is>
          <t>original_files/R08456/fulltext/fulltext__published__66cfb1c0f06eb3d6.pdf</t>
        </is>
      </c>
      <c r="AC311" s="3" t="inlineStr">
        <is>
          <t>original_files/R08456/supplementary/supplementary__45e5908c4b979816.docx</t>
        </is>
      </c>
      <c r="AD311" s="3" t="inlineStr">
        <is>
          <t>https://github.com/Colliam-Vermilion/FirstCodex/blob/results/ad-oxygen-literature-20261006/results/ad-oxygen-literature-20261006/original_files/R08456/fulltext/fulltext__published__66cfb1c0f06eb3d6.pdf</t>
        </is>
      </c>
    </row>
    <row r="312" ht="48" customHeight="1">
      <c r="A312" s="2" t="inlineStr">
        <is>
          <t>R08562</t>
        </is>
      </c>
      <c r="B312" s="2" t="inlineStr">
        <is>
          <t>Acidogenic Fermentation of Kitchen Waste for the Production of Volatile Fatty Acids: Bioaugmentation by Bacillus GIEC</t>
        </is>
      </c>
      <c r="C312" s="2" t="inlineStr">
        <is>
          <t>2023</t>
        </is>
      </c>
      <c r="D312" s="2" t="inlineStr">
        <is>
          <t>2023</t>
        </is>
      </c>
      <c r="E312" s="2" t="inlineStr">
        <is>
          <t>10.1166/jbmb.2023.2329</t>
        </is>
      </c>
      <c r="F312" s="2" t="inlineStr">
        <is>
          <t>期刊文章</t>
        </is>
      </c>
      <c r="G312" s="2" t="inlineStr">
        <is>
          <t>2 向厌氧水解或产酸阶段供氧</t>
        </is>
      </c>
      <c r="H312" s="2" t="inlineStr">
        <is>
          <t>是</t>
        </is>
      </c>
      <c r="I312" s="2" t="inlineStr">
        <is>
          <t>研究类</t>
        </is>
      </c>
      <c r="J312" s="2" t="inlineStr">
        <is>
          <t>是</t>
        </is>
      </c>
      <c r="K312" s="2" t="inlineStr">
        <is>
          <t>Journal of Biobased Materials and Bioenergy</t>
        </is>
      </c>
      <c r="L312" s="2" t="inlineStr">
        <is>
          <t>Journal of Biobased Materials and Bioenergy</t>
        </is>
      </c>
      <c r="M312" s="2" t="inlineStr">
        <is>
          <t>1556-6560</t>
        </is>
      </c>
      <c r="N312" s="2" t="inlineStr"/>
      <c r="O312" s="2" t="inlineStr">
        <is>
          <t>未取得全文</t>
        </is>
      </c>
      <c r="P312" s="2" t="inlineStr">
        <is>
          <t>否</t>
        </is>
      </c>
      <c r="Q312" s="2" t="inlineStr">
        <is>
          <t>当前无补充材料原件；沿用既有缺失/无附件证据，不据此认定无附件</t>
        </is>
      </c>
      <c r="R312" s="2" t="n">
        <v>2024</v>
      </c>
      <c r="S312" s="2" t="inlineStr">
        <is>
          <t>2025发布版（2024指标年）</t>
        </is>
      </c>
      <c r="T312" s="2" t="inlineStr"/>
      <c r="U312" s="2" t="inlineStr"/>
      <c r="V312" s="2" t="inlineStr">
        <is>
          <t>待核实</t>
        </is>
      </c>
      <c r="W312" s="2" t="inlineStr">
        <is>
          <t>待核实</t>
        </is>
      </c>
      <c r="X312" s="2" t="inlineStr">
        <is>
          <t>否</t>
        </is>
      </c>
      <c r="Y312" s="2" t="inlineStr"/>
      <c r="Z312" s="2" t="inlineStr">
        <is>
          <t>https://api.crossref.org/works/10.1166/jbmb.2023.2329</t>
        </is>
      </c>
      <c r="AA312" s="2" t="inlineStr">
        <is>
          <t>2024指标年JCR分区未核实；空白不能当非Q1。需要2025发布版/2024指标年的JCR全部学科导出。</t>
        </is>
      </c>
      <c r="AB312" s="2" t="inlineStr"/>
      <c r="AC312" s="2" t="inlineStr"/>
      <c r="AD312" s="2" t="inlineStr"/>
    </row>
    <row r="313" ht="48" customHeight="1">
      <c r="A313" s="3" t="inlineStr">
        <is>
          <t>R08616</t>
        </is>
      </c>
      <c r="B313" s="3" t="inlineStr">
        <is>
          <t>Anaerobic digestion of toluene-laden wastewater under oxygen-deficient mesophilic condition and concurrent retrieval of methane-enriched biogas</t>
        </is>
      </c>
      <c r="C313" s="3" t="inlineStr">
        <is>
          <t>2023</t>
        </is>
      </c>
      <c r="D313" s="3" t="inlineStr">
        <is>
          <t>2023</t>
        </is>
      </c>
      <c r="E313" s="3" t="inlineStr">
        <is>
          <t>10.1007/s13399-020-01124-y</t>
        </is>
      </c>
      <c r="F313" s="3" t="inlineStr">
        <is>
          <t>期刊文章</t>
        </is>
      </c>
      <c r="G313" s="3" t="inlineStr">
        <is>
          <t>5 排除</t>
        </is>
      </c>
      <c r="H313" s="3" t="inlineStr">
        <is>
          <t>否</t>
        </is>
      </c>
      <c r="I313" s="3" t="inlineStr">
        <is>
          <t>研究类</t>
        </is>
      </c>
      <c r="J313" s="3" t="inlineStr">
        <is>
          <t>否</t>
        </is>
      </c>
      <c r="K313" s="3" t="inlineStr">
        <is>
          <t>Biomass Conversion and Biorefinery</t>
        </is>
      </c>
      <c r="L313" s="3" t="inlineStr">
        <is>
          <t>Biomass Conversion and Biorefinery</t>
        </is>
      </c>
      <c r="M313" s="3" t="inlineStr">
        <is>
          <t>2190-6815</t>
        </is>
      </c>
      <c r="N313" s="3" t="inlineStr">
        <is>
          <t>2190-6823</t>
        </is>
      </c>
      <c r="O313" s="3" t="inlineStr">
        <is>
          <t>未取得全文</t>
        </is>
      </c>
      <c r="P313" s="3" t="inlineStr">
        <is>
          <t>否</t>
        </is>
      </c>
      <c r="Q313" s="3" t="inlineStr">
        <is>
          <t>当前无补充材料原件；沿用既有缺失/无附件证据，不据此认定无附件</t>
        </is>
      </c>
      <c r="R313" s="3" t="n">
        <v>2024</v>
      </c>
      <c r="S313" s="3" t="inlineStr">
        <is>
          <t>2025发布版（2024指标年）</t>
        </is>
      </c>
      <c r="T313" s="3" t="inlineStr"/>
      <c r="U313" s="3" t="inlineStr"/>
      <c r="V313" s="3" t="inlineStr">
        <is>
          <t>待核实</t>
        </is>
      </c>
      <c r="W313" s="3" t="inlineStr">
        <is>
          <t>待核实</t>
        </is>
      </c>
      <c r="X313" s="3" t="inlineStr">
        <is>
          <t>否</t>
        </is>
      </c>
      <c r="Y313" s="3" t="inlineStr"/>
      <c r="Z313" s="3" t="inlineStr">
        <is>
          <t>https://api.crossref.org/works/10.1007/s13399-020-01124-y</t>
        </is>
      </c>
      <c r="AA313" s="3" t="inlineStr">
        <is>
          <t>2024指标年JCR分区未核实；空白不能当非Q1。需要2025发布版/2024指标年的JCR全部学科导出。</t>
        </is>
      </c>
      <c r="AB313" s="3" t="inlineStr"/>
      <c r="AC313" s="3" t="inlineStr"/>
      <c r="AD313" s="3" t="inlineStr"/>
    </row>
    <row r="314" ht="48" customHeight="1">
      <c r="A314" s="2" t="inlineStr">
        <is>
          <t>R08685</t>
        </is>
      </c>
      <c r="B314" s="2" t="inlineStr">
        <is>
          <t>Biogas Production from Palm Oil Mill Effluent Using Dielectric Barrier Discharge Integrated with the Aerated Condition: Evaluation Based on Stoichiometric Simulation and Kinetic Study</t>
        </is>
      </c>
      <c r="C314" s="2" t="inlineStr">
        <is>
          <t>2023</t>
        </is>
      </c>
      <c r="D314" s="2" t="inlineStr">
        <is>
          <t>2023</t>
        </is>
      </c>
      <c r="E314" s="2" t="inlineStr">
        <is>
          <t>10.4028/p-213rv9</t>
        </is>
      </c>
      <c r="F314" s="2" t="inlineStr">
        <is>
          <t>期刊文章</t>
        </is>
      </c>
      <c r="G314" s="2" t="inlineStr">
        <is>
          <t>5 排除</t>
        </is>
      </c>
      <c r="H314" s="2" t="inlineStr">
        <is>
          <t>否</t>
        </is>
      </c>
      <c r="I314" s="2" t="inlineStr">
        <is>
          <t>研究类</t>
        </is>
      </c>
      <c r="J314" s="2" t="inlineStr">
        <is>
          <t>否</t>
        </is>
      </c>
      <c r="K314" s="2" t="inlineStr">
        <is>
          <t>Key Engineering Materials</t>
        </is>
      </c>
      <c r="L314" s="2" t="inlineStr">
        <is>
          <t>Key Engineering Materials</t>
        </is>
      </c>
      <c r="M314" s="2" t="inlineStr"/>
      <c r="N314" s="2" t="inlineStr">
        <is>
          <t>1662-9795</t>
        </is>
      </c>
      <c r="O314" s="2" t="inlineStr">
        <is>
          <t>未取得全文</t>
        </is>
      </c>
      <c r="P314" s="2" t="inlineStr">
        <is>
          <t>否</t>
        </is>
      </c>
      <c r="Q314" s="2" t="inlineStr">
        <is>
          <t>当前无补充材料原件；沿用既有缺失/无附件证据，不据此认定无附件</t>
        </is>
      </c>
      <c r="R314" s="2" t="n">
        <v>2024</v>
      </c>
      <c r="S314" s="2" t="inlineStr">
        <is>
          <t>2025发布版（2024指标年）</t>
        </is>
      </c>
      <c r="T314" s="2" t="inlineStr"/>
      <c r="U314" s="2" t="inlineStr"/>
      <c r="V314" s="2" t="inlineStr">
        <is>
          <t>待核实</t>
        </is>
      </c>
      <c r="W314" s="2" t="inlineStr">
        <is>
          <t>待核实</t>
        </is>
      </c>
      <c r="X314" s="2" t="inlineStr">
        <is>
          <t>否</t>
        </is>
      </c>
      <c r="Y314" s="2" t="inlineStr"/>
      <c r="Z314" s="2" t="inlineStr">
        <is>
          <t>https://api.crossref.org/works/10.4028/p-213rv9</t>
        </is>
      </c>
      <c r="AA314" s="2" t="inlineStr">
        <is>
          <t>2024指标年JCR分区未核实；空白不能当非Q1。需要2025发布版/2024指标年的JCR全部学科导出。</t>
        </is>
      </c>
      <c r="AB314" s="2" t="inlineStr"/>
      <c r="AC314" s="2" t="inlineStr"/>
      <c r="AD314" s="2" t="inlineStr"/>
    </row>
    <row r="315" ht="48" customHeight="1">
      <c r="A315" s="3" t="inlineStr">
        <is>
          <t>R08729</t>
        </is>
      </c>
      <c r="B315" s="3" t="inlineStr">
        <is>
          <t>Cellulose-based carbon membranes for gas separations - Unraveling structural parameters and surface chemistry for superior separation performance</t>
        </is>
      </c>
      <c r="C315" s="3" t="inlineStr">
        <is>
          <t>2023</t>
        </is>
      </c>
      <c r="D315" s="3" t="inlineStr">
        <is>
          <t>2023</t>
        </is>
      </c>
      <c r="E315" s="3" t="inlineStr">
        <is>
          <t>10.1016/j.carbon.2022.12.062</t>
        </is>
      </c>
      <c r="F315" s="3" t="inlineStr">
        <is>
          <t>期刊文章</t>
        </is>
      </c>
      <c r="G315" s="3" t="inlineStr">
        <is>
          <t>5 排除</t>
        </is>
      </c>
      <c r="H315" s="3" t="inlineStr">
        <is>
          <t>否</t>
        </is>
      </c>
      <c r="I315" s="3" t="inlineStr">
        <is>
          <t>研究类</t>
        </is>
      </c>
      <c r="J315" s="3" t="inlineStr">
        <is>
          <t>否</t>
        </is>
      </c>
      <c r="K315" s="3" t="inlineStr">
        <is>
          <t>Carbon</t>
        </is>
      </c>
      <c r="L315" s="3" t="inlineStr">
        <is>
          <t>Carbon</t>
        </is>
      </c>
      <c r="M315" s="3" t="inlineStr">
        <is>
          <t>0008-6223</t>
        </is>
      </c>
      <c r="N315" s="3" t="inlineStr"/>
      <c r="O315" s="3" t="inlineStr">
        <is>
          <t>未取得全文</t>
        </is>
      </c>
      <c r="P315" s="3" t="inlineStr">
        <is>
          <t>否</t>
        </is>
      </c>
      <c r="Q315" s="3" t="inlineStr">
        <is>
          <t>当前无补充材料原件；沿用既有缺失/无附件证据，不据此认定无附件</t>
        </is>
      </c>
      <c r="R315" s="3" t="n">
        <v>2024</v>
      </c>
      <c r="S315" s="3" t="inlineStr">
        <is>
          <t>2025发布版（2024指标年）</t>
        </is>
      </c>
      <c r="T315" s="3" t="inlineStr"/>
      <c r="U315" s="3" t="inlineStr"/>
      <c r="V315" s="3" t="inlineStr">
        <is>
          <t>待核实</t>
        </is>
      </c>
      <c r="W315" s="3" t="inlineStr">
        <is>
          <t>待核实</t>
        </is>
      </c>
      <c r="X315" s="3" t="inlineStr">
        <is>
          <t>否</t>
        </is>
      </c>
      <c r="Y315" s="3" t="inlineStr"/>
      <c r="Z315" s="3" t="inlineStr">
        <is>
          <t>https://api.crossref.org/works/10.1016/j.carbon.2022.12.062</t>
        </is>
      </c>
      <c r="AA315" s="3" t="inlineStr">
        <is>
          <t>2024指标年JCR分区未核实；空白不能当非Q1。需要2025发布版/2024指标年的JCR全部学科导出。</t>
        </is>
      </c>
      <c r="AB315" s="3" t="inlineStr"/>
      <c r="AC315" s="3" t="inlineStr"/>
      <c r="AD315" s="3" t="inlineStr"/>
    </row>
    <row r="316" ht="48" customHeight="1">
      <c r="A316" s="2" t="inlineStr">
        <is>
          <t>R08779</t>
        </is>
      </c>
      <c r="B316" s="2" t="inlineStr">
        <is>
          <t>Conversion of Materials and Energy in Anaerobic Digestion of Sewage Sludge with High-Pressure Homogenization Pretreatment</t>
        </is>
      </c>
      <c r="C316" s="2" t="inlineStr">
        <is>
          <t>2023</t>
        </is>
      </c>
      <c r="D316" s="2" t="inlineStr">
        <is>
          <t>2023</t>
        </is>
      </c>
      <c r="E316" s="2" t="inlineStr">
        <is>
          <t>10.3390/pr11082467</t>
        </is>
      </c>
      <c r="F316" s="2" t="inlineStr">
        <is>
          <t>期刊文章</t>
        </is>
      </c>
      <c r="G316" s="2" t="inlineStr">
        <is>
          <t>5 排除</t>
        </is>
      </c>
      <c r="H316" s="2" t="inlineStr">
        <is>
          <t>否</t>
        </is>
      </c>
      <c r="I316" s="2" t="inlineStr">
        <is>
          <t>研究类</t>
        </is>
      </c>
      <c r="J316" s="2" t="inlineStr">
        <is>
          <t>否</t>
        </is>
      </c>
      <c r="K316" s="2" t="inlineStr">
        <is>
          <t>Processes</t>
        </is>
      </c>
      <c r="L316" s="2" t="inlineStr">
        <is>
          <t>Processes</t>
        </is>
      </c>
      <c r="M316" s="2" t="inlineStr"/>
      <c r="N316" s="2" t="inlineStr">
        <is>
          <t>2227-9717</t>
        </is>
      </c>
      <c r="O316" s="2" t="inlineStr">
        <is>
          <t>未取得全文</t>
        </is>
      </c>
      <c r="P316" s="2" t="inlineStr">
        <is>
          <t>否</t>
        </is>
      </c>
      <c r="Q316" s="2" t="inlineStr">
        <is>
          <t>当前无补充材料原件；沿用既有缺失/无附件证据，不据此认定无附件</t>
        </is>
      </c>
      <c r="R316" s="2" t="n">
        <v>2024</v>
      </c>
      <c r="S316" s="2" t="inlineStr">
        <is>
          <t>2025发布版（2024指标年）</t>
        </is>
      </c>
      <c r="T316" s="2" t="inlineStr"/>
      <c r="U316" s="2" t="inlineStr"/>
      <c r="V316" s="2" t="inlineStr">
        <is>
          <t>待核实</t>
        </is>
      </c>
      <c r="W316" s="2" t="inlineStr">
        <is>
          <t>待核实</t>
        </is>
      </c>
      <c r="X316" s="2" t="inlineStr">
        <is>
          <t>否</t>
        </is>
      </c>
      <c r="Y316" s="2" t="inlineStr"/>
      <c r="Z316" s="2" t="inlineStr">
        <is>
          <t>https://api.crossref.org/works/10.3390/pr11082467</t>
        </is>
      </c>
      <c r="AA316" s="2" t="inlineStr">
        <is>
          <t>2024指标年JCR分区未核实；空白不能当非Q1。需要2025发布版/2024指标年的JCR全部学科导出。</t>
        </is>
      </c>
      <c r="AB316" s="2" t="inlineStr"/>
      <c r="AC316" s="2" t="inlineStr"/>
      <c r="AD316" s="2" t="inlineStr"/>
    </row>
    <row r="317" ht="48" customHeight="1">
      <c r="A317" s="3" t="inlineStr">
        <is>
          <t>R08862</t>
        </is>
      </c>
      <c r="B317" s="3" t="inlineStr">
        <is>
          <t>Effect of pretreatment with alkali on the anaerobic digestion characteristics of kitchen waste and analysis of microbial diversity</t>
        </is>
      </c>
      <c r="C317" s="3" t="inlineStr">
        <is>
          <t>2023</t>
        </is>
      </c>
      <c r="D317" s="3" t="inlineStr">
        <is>
          <t>2023</t>
        </is>
      </c>
      <c r="E317" s="3" t="inlineStr">
        <is>
          <t>10.1515/gps-2023-0072</t>
        </is>
      </c>
      <c r="F317" s="3" t="inlineStr">
        <is>
          <t>期刊文章</t>
        </is>
      </c>
      <c r="G317" s="3" t="inlineStr">
        <is>
          <t>5 排除</t>
        </is>
      </c>
      <c r="H317" s="3" t="inlineStr">
        <is>
          <t>否</t>
        </is>
      </c>
      <c r="I317" s="3" t="inlineStr">
        <is>
          <t>研究类</t>
        </is>
      </c>
      <c r="J317" s="3" t="inlineStr">
        <is>
          <t>否</t>
        </is>
      </c>
      <c r="K317" s="3" t="inlineStr">
        <is>
          <t>Green Processing and Synthesis</t>
        </is>
      </c>
      <c r="L317" s="3" t="inlineStr">
        <is>
          <t>Green Processing and Synthesis</t>
        </is>
      </c>
      <c r="M317" s="3" t="inlineStr"/>
      <c r="N317" s="3" t="inlineStr">
        <is>
          <t>2191-9550</t>
        </is>
      </c>
      <c r="O317" s="3" t="inlineStr">
        <is>
          <t>未取得全文</t>
        </is>
      </c>
      <c r="P317" s="3" t="inlineStr">
        <is>
          <t>否</t>
        </is>
      </c>
      <c r="Q317" s="3" t="inlineStr">
        <is>
          <t>当前无补充材料原件；沿用既有缺失/无附件证据，不据此认定无附件</t>
        </is>
      </c>
      <c r="R317" s="3" t="n">
        <v>2024</v>
      </c>
      <c r="S317" s="3" t="inlineStr">
        <is>
          <t>2025发布版（2024指标年）</t>
        </is>
      </c>
      <c r="T317" s="3" t="inlineStr"/>
      <c r="U317" s="3" t="inlineStr"/>
      <c r="V317" s="3" t="inlineStr">
        <is>
          <t>待核实</t>
        </is>
      </c>
      <c r="W317" s="3" t="inlineStr">
        <is>
          <t>待核实</t>
        </is>
      </c>
      <c r="X317" s="3" t="inlineStr">
        <is>
          <t>否</t>
        </is>
      </c>
      <c r="Y317" s="3" t="inlineStr"/>
      <c r="Z317" s="3" t="inlineStr">
        <is>
          <t>https://api.crossref.org/works/10.1515/gps-2023-0072</t>
        </is>
      </c>
      <c r="AA317" s="3" t="inlineStr">
        <is>
          <t>2024指标年JCR分区未核实；空白不能当非Q1。需要2025发布版/2024指标年的JCR全部学科导出。</t>
        </is>
      </c>
      <c r="AB317" s="3" t="inlineStr"/>
      <c r="AC317" s="3" t="inlineStr"/>
      <c r="AD317" s="3" t="inlineStr"/>
    </row>
    <row r="318" ht="48" customHeight="1">
      <c r="A318" s="2" t="inlineStr">
        <is>
          <t>R09085</t>
        </is>
      </c>
      <c r="B318" s="2" t="inlineStr">
        <is>
          <t>Improving Volatile Fatty Acid Productivity of Anaerobic Digestion</t>
        </is>
      </c>
      <c r="C318" s="2" t="inlineStr">
        <is>
          <t>2023</t>
        </is>
      </c>
      <c r="D318" s="2" t="inlineStr">
        <is>
          <t>2023</t>
        </is>
      </c>
      <c r="E318" s="2" t="inlineStr"/>
      <c r="F318" s="2" t="inlineStr">
        <is>
          <t>研究海报（非论文全文）</t>
        </is>
      </c>
      <c r="G318" s="2" t="inlineStr">
        <is>
          <t>5 排除</t>
        </is>
      </c>
      <c r="H318" s="2" t="inlineStr">
        <is>
          <t>否</t>
        </is>
      </c>
      <c r="I318" s="2" t="inlineStr">
        <is>
          <t>会议/非期刊</t>
        </is>
      </c>
      <c r="J318" s="2" t="inlineStr">
        <is>
          <t>否</t>
        </is>
      </c>
      <c r="K318" s="2" t="inlineStr">
        <is>
          <t>OSTI OAI (U.S. Department of Energy Office of Scientific and Technical Information)</t>
        </is>
      </c>
      <c r="L318" s="2" t="inlineStr">
        <is>
          <t>OSTI OAI (U.S. Department of Energy Office of Scientific and Technical Information)</t>
        </is>
      </c>
      <c r="M318" s="2" t="inlineStr"/>
      <c r="N318" s="2" t="inlineStr"/>
      <c r="O318" s="2" t="inlineStr">
        <is>
          <t>未取得全文</t>
        </is>
      </c>
      <c r="P318" s="2" t="inlineStr">
        <is>
          <t>否</t>
        </is>
      </c>
      <c r="Q318" s="2" t="inlineStr">
        <is>
          <t>当前无补充材料原件；沿用既有缺失/无附件证据，不据此认定无附件</t>
        </is>
      </c>
      <c r="R318" s="2" t="inlineStr"/>
      <c r="S318" s="2" t="inlineStr"/>
      <c r="T318" s="2" t="inlineStr"/>
      <c r="U318" s="2" t="inlineStr"/>
      <c r="V318" s="2" t="inlineStr">
        <is>
          <t>不适用</t>
        </is>
      </c>
      <c r="W318" s="2" t="inlineStr">
        <is>
          <t>不适用</t>
        </is>
      </c>
      <c r="X318" s="2" t="inlineStr">
        <is>
          <t>不适用</t>
        </is>
      </c>
      <c r="Y318" s="2" t="inlineStr"/>
      <c r="Z318" s="2" t="inlineStr"/>
      <c r="AA318" s="2" t="inlineStr">
        <is>
          <t>非目标期刊论文或类型待核实，不进入JCR分母</t>
        </is>
      </c>
      <c r="AB318" s="2" t="inlineStr"/>
      <c r="AC318" s="2" t="inlineStr"/>
      <c r="AD318" s="2" t="inlineStr"/>
    </row>
    <row r="319" ht="48" customHeight="1">
      <c r="A319" s="3" t="inlineStr">
        <is>
          <t>R09107</t>
        </is>
      </c>
      <c r="B319" s="3" t="inlineStr">
        <is>
          <t>Innovative passive aeration process for synthetic deoxygenated water</t>
        </is>
      </c>
      <c r="C319" s="3" t="inlineStr">
        <is>
          <t>2023</t>
        </is>
      </c>
      <c r="D319" s="3" t="inlineStr">
        <is>
          <t>2023</t>
        </is>
      </c>
      <c r="E319" s="3" t="inlineStr">
        <is>
          <t>10.1080/16874048.2023.2216482</t>
        </is>
      </c>
      <c r="F319" s="3" t="inlineStr">
        <is>
          <t>期刊文章</t>
        </is>
      </c>
      <c r="G319" s="3" t="inlineStr">
        <is>
          <t>5 排除</t>
        </is>
      </c>
      <c r="H319" s="3" t="inlineStr">
        <is>
          <t>否</t>
        </is>
      </c>
      <c r="I319" s="3" t="inlineStr">
        <is>
          <t>研究类</t>
        </is>
      </c>
      <c r="J319" s="3" t="inlineStr">
        <is>
          <t>否</t>
        </is>
      </c>
      <c r="K319" s="3" t="inlineStr">
        <is>
          <t>HBRC Journal</t>
        </is>
      </c>
      <c r="L319" s="3" t="inlineStr">
        <is>
          <t>HBRC Journal</t>
        </is>
      </c>
      <c r="M319" s="3" t="inlineStr">
        <is>
          <t>1687-4048</t>
        </is>
      </c>
      <c r="N319" s="3" t="inlineStr">
        <is>
          <t>1687-4048</t>
        </is>
      </c>
      <c r="O319" s="3" t="inlineStr">
        <is>
          <t>未取得全文</t>
        </is>
      </c>
      <c r="P319" s="3" t="inlineStr">
        <is>
          <t>否</t>
        </is>
      </c>
      <c r="Q319" s="3" t="inlineStr">
        <is>
          <t>当前无补充材料原件；沿用既有缺失/无附件证据，不据此认定无附件</t>
        </is>
      </c>
      <c r="R319" s="3" t="n">
        <v>2024</v>
      </c>
      <c r="S319" s="3" t="inlineStr">
        <is>
          <t>2025发布版（2024指标年）</t>
        </is>
      </c>
      <c r="T319" s="3" t="inlineStr"/>
      <c r="U319" s="3" t="inlineStr"/>
      <c r="V319" s="3" t="inlineStr">
        <is>
          <t>待核实</t>
        </is>
      </c>
      <c r="W319" s="3" t="inlineStr">
        <is>
          <t>待核实</t>
        </is>
      </c>
      <c r="X319" s="3" t="inlineStr">
        <is>
          <t>否</t>
        </is>
      </c>
      <c r="Y319" s="3" t="inlineStr"/>
      <c r="Z319" s="3" t="inlineStr">
        <is>
          <t>https://api.crossref.org/works/10.1080/16874048.2023.2216482</t>
        </is>
      </c>
      <c r="AA319" s="3" t="inlineStr">
        <is>
          <t>2024指标年JCR分区未核实；空白不能当非Q1。需要2025发布版/2024指标年的JCR全部学科导出。</t>
        </is>
      </c>
      <c r="AB319" s="3" t="inlineStr"/>
      <c r="AC319" s="3" t="inlineStr"/>
      <c r="AD319" s="3" t="inlineStr"/>
    </row>
    <row r="320" ht="48" customHeight="1">
      <c r="A320" s="2" t="inlineStr">
        <is>
          <t>R09147</t>
        </is>
      </c>
      <c r="B320" s="2" t="inlineStr">
        <is>
          <t>Kinetic study on the effects of elevated temperature and micro aeration in volatile fatty acids production by anaerobic fermentation of alkaline-pretreated oil palm empty fruit bunch</t>
        </is>
      </c>
      <c r="C320" s="2" t="inlineStr">
        <is>
          <t>2023</t>
        </is>
      </c>
      <c r="D320" s="2" t="inlineStr">
        <is>
          <t>2023</t>
        </is>
      </c>
      <c r="E320" s="2" t="inlineStr">
        <is>
          <t>10.1016/j.jece.2023.110163</t>
        </is>
      </c>
      <c r="F320" s="2" t="inlineStr">
        <is>
          <t>期刊文章</t>
        </is>
      </c>
      <c r="G320" s="2" t="inlineStr">
        <is>
          <t>2 向厌氧水解或产酸阶段供氧</t>
        </is>
      </c>
      <c r="H320" s="2" t="inlineStr">
        <is>
          <t>是</t>
        </is>
      </c>
      <c r="I320" s="2" t="inlineStr">
        <is>
          <t>研究类</t>
        </is>
      </c>
      <c r="J320" s="2" t="inlineStr">
        <is>
          <t>是</t>
        </is>
      </c>
      <c r="K320" s="2" t="inlineStr">
        <is>
          <t>Journal of Environmental Chemical Engineering</t>
        </is>
      </c>
      <c r="L320" s="2" t="inlineStr">
        <is>
          <t>Journal of Environmental Chemical Engineering</t>
        </is>
      </c>
      <c r="M320" s="2" t="inlineStr">
        <is>
          <t>2213-3437</t>
        </is>
      </c>
      <c r="N320" s="2" t="inlineStr"/>
      <c r="O320" s="2" t="inlineStr">
        <is>
          <t>已取得核验全文</t>
        </is>
      </c>
      <c r="P320" s="2" t="inlineStr">
        <is>
          <t>是</t>
        </is>
      </c>
      <c r="Q320" s="2" t="inlineStr">
        <is>
          <t>当前无补充材料原件；沿用既有缺失/无附件证据，不据此认定无附件</t>
        </is>
      </c>
      <c r="R320" s="2" t="n">
        <v>2024</v>
      </c>
      <c r="S320" s="2" t="inlineStr">
        <is>
          <t>2025发布版（2024指标年）</t>
        </is>
      </c>
      <c r="T320" s="2" t="inlineStr">
        <is>
          <t>ENGINEERING, CHEMICAL; ENGINEERING, ENVIRONMENTAL</t>
        </is>
      </c>
      <c r="U320" s="2" t="inlineStr">
        <is>
          <t>ENGINEERING, CHEMICAL: Q1; ENGINEERING, ENVIRONMENTAL: Q1</t>
        </is>
      </c>
      <c r="V320" s="4" t="inlineStr">
        <is>
          <t>是</t>
        </is>
      </c>
      <c r="W320" s="4" t="inlineStr">
        <is>
          <t>是</t>
        </is>
      </c>
      <c r="X320" s="2" t="inlineStr">
        <is>
          <t>是</t>
        </is>
      </c>
      <c r="Y320" s="2" t="inlineStr">
        <is>
          <t>https://topj.lib.whu.edu.cn/show.asp?cat=zk&amp;id=5142</t>
        </is>
      </c>
      <c r="Z320" s="2" t="inlineStr">
        <is>
          <t>https://api.crossref.org/works/10.1016/j.jece.2023.110163</t>
        </is>
      </c>
      <c r="AA32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20" s="2" t="inlineStr">
        <is>
          <t>original_files/R09147/fulltext/fulltext__published__14453894c81e4458.pdf</t>
        </is>
      </c>
      <c r="AC320" s="2" t="inlineStr"/>
      <c r="AD320" s="2" t="inlineStr">
        <is>
          <t>https://github.com/Colliam-Vermilion/FirstCodex/blob/results/ad-oxygen-literature-20261006/results/ad-oxygen-literature-20261006/original_files/R09147/fulltext/fulltext__published__14453894c81e4458.pdf</t>
        </is>
      </c>
    </row>
    <row r="321" ht="48" customHeight="1">
      <c r="A321" s="3" t="inlineStr">
        <is>
          <t>R09148</t>
        </is>
      </c>
      <c r="B321" s="3" t="inlineStr">
        <is>
          <t>Lactate oxidation is linked to energy conservation and to oxygen detoxification via a putative terminal cytochrome oxidase in Methanosarcina acetivorans</t>
        </is>
      </c>
      <c r="C321" s="3" t="inlineStr">
        <is>
          <t>2023</t>
        </is>
      </c>
      <c r="D321" s="3" t="inlineStr">
        <is>
          <t>2023</t>
        </is>
      </c>
      <c r="E321" s="3" t="inlineStr">
        <is>
          <t>10.1016/j.abb.2023.109667</t>
        </is>
      </c>
      <c r="F321" s="3" t="inlineStr">
        <is>
          <t>期刊文章</t>
        </is>
      </c>
      <c r="G321" s="3" t="inlineStr">
        <is>
          <t>5 排除</t>
        </is>
      </c>
      <c r="H321" s="3" t="inlineStr">
        <is>
          <t>否</t>
        </is>
      </c>
      <c r="I321" s="3" t="inlineStr">
        <is>
          <t>研究类</t>
        </is>
      </c>
      <c r="J321" s="3" t="inlineStr">
        <is>
          <t>否</t>
        </is>
      </c>
      <c r="K321" s="3" t="inlineStr">
        <is>
          <t>Archives of Biochemistry and Biophysics</t>
        </is>
      </c>
      <c r="L321" s="3" t="inlineStr">
        <is>
          <t>Archives of Biochemistry and Biophysics</t>
        </is>
      </c>
      <c r="M321" s="3" t="inlineStr">
        <is>
          <t>0003-9861</t>
        </is>
      </c>
      <c r="N321" s="3" t="inlineStr"/>
      <c r="O321" s="3" t="inlineStr">
        <is>
          <t>未取得全文</t>
        </is>
      </c>
      <c r="P321" s="3" t="inlineStr">
        <is>
          <t>否</t>
        </is>
      </c>
      <c r="Q321" s="3" t="inlineStr">
        <is>
          <t>当前无补充材料原件；沿用既有缺失/无附件证据，不据此认定无附件</t>
        </is>
      </c>
      <c r="R321" s="3" t="n">
        <v>2024</v>
      </c>
      <c r="S321" s="3" t="inlineStr">
        <is>
          <t>2025发布版（2024指标年）</t>
        </is>
      </c>
      <c r="T321" s="3" t="inlineStr"/>
      <c r="U321" s="3" t="inlineStr"/>
      <c r="V321" s="3" t="inlineStr">
        <is>
          <t>待核实</t>
        </is>
      </c>
      <c r="W321" s="3" t="inlineStr">
        <is>
          <t>待核实</t>
        </is>
      </c>
      <c r="X321" s="3" t="inlineStr">
        <is>
          <t>否</t>
        </is>
      </c>
      <c r="Y321" s="3" t="inlineStr"/>
      <c r="Z321" s="3" t="inlineStr">
        <is>
          <t>https://api.crossref.org/works/10.1016/j.abb.2023.109667</t>
        </is>
      </c>
      <c r="AA321" s="3" t="inlineStr">
        <is>
          <t>2024指标年JCR分区未核实；空白不能当非Q1。需要2025发布版/2024指标年的JCR全部学科导出。</t>
        </is>
      </c>
      <c r="AB321" s="3" t="inlineStr"/>
      <c r="AC321" s="3" t="inlineStr"/>
      <c r="AD321" s="3" t="inlineStr"/>
    </row>
    <row r="322" ht="48" customHeight="1">
      <c r="A322" s="2" t="inlineStr">
        <is>
          <t>R09150</t>
        </is>
      </c>
      <c r="B322" s="2" t="inlineStr">
        <is>
          <t>Large-scale micro-aerobic digestion studies at municipal water resource recovery facilities for process-integrated biogas desulfurization</t>
        </is>
      </c>
      <c r="C322" s="2" t="inlineStr">
        <is>
          <t>2023</t>
        </is>
      </c>
      <c r="D322" s="2" t="inlineStr">
        <is>
          <t>2023</t>
        </is>
      </c>
      <c r="E322" s="2" t="inlineStr">
        <is>
          <t>10.1016/j.jwpe.2023.103643</t>
        </is>
      </c>
      <c r="F322" s="2" t="inlineStr">
        <is>
          <t>期刊文章</t>
        </is>
      </c>
      <c r="G322" s="2" t="inlineStr">
        <is>
          <t>1 直接向 AD 反应器或内部循环系统供氧</t>
        </is>
      </c>
      <c r="H322" s="2" t="inlineStr">
        <is>
          <t>是</t>
        </is>
      </c>
      <c r="I322" s="2" t="inlineStr">
        <is>
          <t>研究类</t>
        </is>
      </c>
      <c r="J322" s="2" t="inlineStr">
        <is>
          <t>是</t>
        </is>
      </c>
      <c r="K322" s="2" t="inlineStr">
        <is>
          <t>Journal of Water Process Engineering</t>
        </is>
      </c>
      <c r="L322" s="2" t="inlineStr">
        <is>
          <t>Journal of Water Process Engineering</t>
        </is>
      </c>
      <c r="M322" s="2" t="inlineStr">
        <is>
          <t>2214-7144</t>
        </is>
      </c>
      <c r="N322" s="2" t="inlineStr"/>
      <c r="O322" s="2" t="inlineStr">
        <is>
          <t>已取得核验全文</t>
        </is>
      </c>
      <c r="P322" s="2" t="inlineStr">
        <is>
          <t>是</t>
        </is>
      </c>
      <c r="Q322" s="2" t="inlineStr">
        <is>
          <t>已取得1件原格式补充材料；其中0件唯一关联待核实；完整性未确认</t>
        </is>
      </c>
      <c r="R322" s="2" t="n">
        <v>2024</v>
      </c>
      <c r="S322" s="2" t="inlineStr">
        <is>
          <t>2025发布版（2024指标年）</t>
        </is>
      </c>
      <c r="T322" s="2" t="inlineStr">
        <is>
          <t>WATER RESOURCES; ENGINEERING, CHEMICAL; ENGINEERING, ENVIRONMENTAL</t>
        </is>
      </c>
      <c r="U322" s="2" t="inlineStr">
        <is>
          <t>WATER RESOURCES: Q1; ENGINEERING, CHEMICAL: Q1; ENGINEERING, ENVIRONMENTAL: Q2</t>
        </is>
      </c>
      <c r="V322" s="4" t="inlineStr">
        <is>
          <t>是</t>
        </is>
      </c>
      <c r="W322" s="2" t="inlineStr">
        <is>
          <t>否</t>
        </is>
      </c>
      <c r="X322" s="2" t="inlineStr">
        <is>
          <t>是</t>
        </is>
      </c>
      <c r="Y322" s="2" t="inlineStr">
        <is>
          <t>https://topj.lib.whu.edu.cn/show.asp?cat=sci&amp;id=6383</t>
        </is>
      </c>
      <c r="Z322" s="2" t="inlineStr">
        <is>
          <t>https://api.crossref.org/works/10.1016/j.jwpe.2023.103643</t>
        </is>
      </c>
      <c r="AA32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22" s="2" t="inlineStr">
        <is>
          <t>original_files/R09150/fulltext/fulltext__published__b7eeb59d669ea4ce.pdf</t>
        </is>
      </c>
      <c r="AC322" s="2" t="inlineStr">
        <is>
          <t>original_files/R09150/supplementary/supplementary__caf7b09abd29cc07.docx</t>
        </is>
      </c>
      <c r="AD322" s="2" t="inlineStr">
        <is>
          <t>https://github.com/Colliam-Vermilion/FirstCodex/blob/results/ad-oxygen-literature-20261006/results/ad-oxygen-literature-20261006/original_files/R09150/fulltext/fulltext__published__b7eeb59d669ea4ce.pdf</t>
        </is>
      </c>
    </row>
    <row r="323" ht="48" customHeight="1">
      <c r="A323" s="3" t="inlineStr">
        <is>
          <t>R09230</t>
        </is>
      </c>
      <c r="B323" s="3" t="inlineStr">
        <is>
          <t>Microbial electrolysis cell simultaneously enhancing methanization and reducing hydrogen sulfide production in anaerobic digestion of sewage sludge</t>
        </is>
      </c>
      <c r="C323" s="3" t="inlineStr">
        <is>
          <t>2023</t>
        </is>
      </c>
      <c r="D323" s="3" t="inlineStr">
        <is>
          <t>2023</t>
        </is>
      </c>
      <c r="E323" s="3" t="inlineStr">
        <is>
          <t>10.1016/j.chemosphere.2023.139445</t>
        </is>
      </c>
      <c r="F323" s="3" t="inlineStr">
        <is>
          <t>期刊文章</t>
        </is>
      </c>
      <c r="G323" s="3" t="inlineStr">
        <is>
          <t>1 直接向 AD 反应器或内部循环系统供氧</t>
        </is>
      </c>
      <c r="H323" s="3" t="inlineStr">
        <is>
          <t>是</t>
        </is>
      </c>
      <c r="I323" s="3" t="inlineStr">
        <is>
          <t>研究类</t>
        </is>
      </c>
      <c r="J323" s="3" t="inlineStr">
        <is>
          <t>是</t>
        </is>
      </c>
      <c r="K323" s="3" t="inlineStr">
        <is>
          <t>Chemosphere</t>
        </is>
      </c>
      <c r="L323" s="3" t="inlineStr">
        <is>
          <t>Chemosphere</t>
        </is>
      </c>
      <c r="M323" s="3" t="inlineStr">
        <is>
          <t>0045-6535</t>
        </is>
      </c>
      <c r="N323" s="3" t="inlineStr"/>
      <c r="O323" s="3" t="inlineStr">
        <is>
          <t>已取得核验全文</t>
        </is>
      </c>
      <c r="P323" s="3" t="inlineStr">
        <is>
          <t>是</t>
        </is>
      </c>
      <c r="Q323" s="3" t="inlineStr">
        <is>
          <t>已取得1件原格式补充材料；其中0件唯一关联待核实；完整性未确认</t>
        </is>
      </c>
      <c r="R323" s="3" t="n">
        <v>2024</v>
      </c>
      <c r="S323" s="3" t="inlineStr">
        <is>
          <t>2025发布版（2024指标年）</t>
        </is>
      </c>
      <c r="T323" s="3" t="inlineStr"/>
      <c r="U323" s="3" t="inlineStr"/>
      <c r="V323" s="3" t="inlineStr">
        <is>
          <t>待核实</t>
        </is>
      </c>
      <c r="W323" s="3" t="inlineStr">
        <is>
          <t>待核实</t>
        </is>
      </c>
      <c r="X323" s="3" t="inlineStr">
        <is>
          <t>否</t>
        </is>
      </c>
      <c r="Y323" s="3" t="inlineStr"/>
      <c r="Z323" s="3" t="inlineStr">
        <is>
          <t>https://api.crossref.org/works/10.1016/j.chemosphere.2023.139445</t>
        </is>
      </c>
      <c r="AA323" s="3" t="inlineStr">
        <is>
          <t>2024指标年JCR分区未核实；空白不能当非Q1。需要2025发布版/2024指标年的JCR全部学科导出。</t>
        </is>
      </c>
      <c r="AB323" s="3" t="inlineStr">
        <is>
          <t>original_files/R09230/fulltext/fulltext__published__14fc742c31a44270.pdf</t>
        </is>
      </c>
      <c r="AC323" s="3" t="inlineStr">
        <is>
          <t>original_files/R09230/supplementary/supplementary__9eb15b74ff187bb6.docx</t>
        </is>
      </c>
      <c r="AD323" s="3" t="inlineStr">
        <is>
          <t>https://github.com/Colliam-Vermilion/FirstCodex/blob/results/ad-oxygen-literature-20261006/results/ad-oxygen-literature-20261006/original_files/R09230/fulltext/fulltext__published__14fc742c31a44270.pdf</t>
        </is>
      </c>
    </row>
    <row r="324" ht="48" customHeight="1">
      <c r="A324" s="2" t="inlineStr">
        <is>
          <t>R09240</t>
        </is>
      </c>
      <c r="B324" s="2" t="inlineStr">
        <is>
          <t>Microbubble Intensification of Bioprocessing</t>
        </is>
      </c>
      <c r="C324" s="2" t="inlineStr">
        <is>
          <t>2023</t>
        </is>
      </c>
      <c r="D324" s="2" t="inlineStr">
        <is>
          <t>2023</t>
        </is>
      </c>
      <c r="E324" s="2" t="inlineStr">
        <is>
          <t>10.1595/205651323x16778518231554</t>
        </is>
      </c>
      <c r="F324" s="2" t="inlineStr">
        <is>
          <t>综述</t>
        </is>
      </c>
      <c r="G324" s="2" t="inlineStr">
        <is>
          <t>4 综述</t>
        </is>
      </c>
      <c r="H324" s="2" t="inlineStr">
        <is>
          <t>是</t>
        </is>
      </c>
      <c r="I324" s="2" t="inlineStr">
        <is>
          <t>综述</t>
        </is>
      </c>
      <c r="J324" s="2" t="inlineStr">
        <is>
          <t>是</t>
        </is>
      </c>
      <c r="K324" s="2" t="inlineStr">
        <is>
          <t>Johnson Matthey Technology Review</t>
        </is>
      </c>
      <c r="L324" s="2" t="inlineStr">
        <is>
          <t>Johnson Matthey Technology Review</t>
        </is>
      </c>
      <c r="M324" s="2" t="inlineStr">
        <is>
          <t>2056-5135</t>
        </is>
      </c>
      <c r="N324" s="2" t="inlineStr"/>
      <c r="O324" s="2" t="inlineStr">
        <is>
          <t>已取得核验全文</t>
        </is>
      </c>
      <c r="P324" s="2" t="inlineStr">
        <is>
          <t>是</t>
        </is>
      </c>
      <c r="Q324" s="2" t="inlineStr">
        <is>
          <t>当前无补充材料原件；沿用既有缺失/无附件证据，不据此认定无附件</t>
        </is>
      </c>
      <c r="R324" s="2" t="n">
        <v>2024</v>
      </c>
      <c r="S324" s="2" t="inlineStr">
        <is>
          <t>2025发布版（2024指标年）</t>
        </is>
      </c>
      <c r="T324" s="2" t="inlineStr"/>
      <c r="U324" s="2" t="inlineStr"/>
      <c r="V324" s="2" t="inlineStr">
        <is>
          <t>待核实</t>
        </is>
      </c>
      <c r="W324" s="2" t="inlineStr">
        <is>
          <t>待核实</t>
        </is>
      </c>
      <c r="X324" s="2" t="inlineStr">
        <is>
          <t>否</t>
        </is>
      </c>
      <c r="Y324" s="2" t="inlineStr"/>
      <c r="Z324" s="2" t="inlineStr">
        <is>
          <t>https://api.crossref.org/works/10.1595/205651323x16778518231554</t>
        </is>
      </c>
      <c r="AA324" s="2" t="inlineStr">
        <is>
          <t>2024指标年JCR分区未核实；空白不能当非Q1。需要2025发布版/2024指标年的JCR全部学科导出。</t>
        </is>
      </c>
      <c r="AB324" s="2" t="inlineStr">
        <is>
          <t>original_files/R09240/fulltext/fulltext__version_unverified__da8dbeb874b19b59.pdf</t>
        </is>
      </c>
      <c r="AC324" s="2" t="inlineStr"/>
      <c r="AD324" s="2" t="inlineStr">
        <is>
          <t>https://github.com/Colliam-Vermilion/FirstCodex/blob/results/ad-oxygen-literature-20261006/results/ad-oxygen-literature-20261006/original_files/R09240/fulltext/fulltext__version_unverified__da8dbeb874b19b59.pdf</t>
        </is>
      </c>
    </row>
    <row r="325" ht="48" customHeight="1">
      <c r="A325" s="3" t="inlineStr">
        <is>
          <t>R09266</t>
        </is>
      </c>
      <c r="B325" s="3" t="inlineStr">
        <is>
          <t>Mono-Digestion of 5-Hydroxymethylfurfural Process-Wastewater in Continuously Operated Anaerobic Filters: A Cascade Utilization Approach</t>
        </is>
      </c>
      <c r="C325" s="3" t="inlineStr">
        <is>
          <t>2023</t>
        </is>
      </c>
      <c r="D325" s="3" t="inlineStr">
        <is>
          <t>2023</t>
        </is>
      </c>
      <c r="E325" s="3" t="inlineStr">
        <is>
          <t>10.3390/en16227576</t>
        </is>
      </c>
      <c r="F325" s="3" t="inlineStr">
        <is>
          <t>期刊文章</t>
        </is>
      </c>
      <c r="G325" s="3" t="inlineStr">
        <is>
          <t>5 排除</t>
        </is>
      </c>
      <c r="H325" s="3" t="inlineStr">
        <is>
          <t>否</t>
        </is>
      </c>
      <c r="I325" s="3" t="inlineStr">
        <is>
          <t>研究类</t>
        </is>
      </c>
      <c r="J325" s="3" t="inlineStr">
        <is>
          <t>否</t>
        </is>
      </c>
      <c r="K325" s="3" t="inlineStr">
        <is>
          <t>Energies</t>
        </is>
      </c>
      <c r="L325" s="3" t="inlineStr">
        <is>
          <t>Energies</t>
        </is>
      </c>
      <c r="M325" s="3" t="inlineStr"/>
      <c r="N325" s="3" t="inlineStr">
        <is>
          <t>1996-1073</t>
        </is>
      </c>
      <c r="O325" s="3" t="inlineStr">
        <is>
          <t>未取得全文</t>
        </is>
      </c>
      <c r="P325" s="3" t="inlineStr">
        <is>
          <t>否</t>
        </is>
      </c>
      <c r="Q325" s="3" t="inlineStr">
        <is>
          <t>当前无补充材料原件；沿用既有缺失/无附件证据，不据此认定无附件</t>
        </is>
      </c>
      <c r="R325" s="3" t="n">
        <v>2024</v>
      </c>
      <c r="S325" s="3" t="inlineStr">
        <is>
          <t>2025发布版（2024指标年）</t>
        </is>
      </c>
      <c r="T325" s="3" t="inlineStr"/>
      <c r="U325" s="3" t="inlineStr"/>
      <c r="V325" s="3" t="inlineStr">
        <is>
          <t>待核实</t>
        </is>
      </c>
      <c r="W325" s="3" t="inlineStr">
        <is>
          <t>待核实</t>
        </is>
      </c>
      <c r="X325" s="3" t="inlineStr">
        <is>
          <t>否</t>
        </is>
      </c>
      <c r="Y325" s="3" t="inlineStr"/>
      <c r="Z325" s="3" t="inlineStr">
        <is>
          <t>https://api.crossref.org/works/10.3390/en16227576</t>
        </is>
      </c>
      <c r="AA325" s="3" t="inlineStr">
        <is>
          <t>2024指标年JCR分区未核实；空白不能当非Q1。需要2025发布版/2024指标年的JCR全部学科导出。</t>
        </is>
      </c>
      <c r="AB325" s="3" t="inlineStr"/>
      <c r="AC325" s="3" t="inlineStr"/>
      <c r="AD325" s="3" t="inlineStr"/>
    </row>
    <row r="326" ht="48" customHeight="1">
      <c r="A326" s="2" t="inlineStr">
        <is>
          <t>R09331</t>
        </is>
      </c>
      <c r="B326" s="2" t="inlineStr">
        <is>
          <t>Optimization of biogas production from straw wastes by different pretreatments: Progress, challenges, and prospects</t>
        </is>
      </c>
      <c r="C326" s="2" t="inlineStr">
        <is>
          <t>2023</t>
        </is>
      </c>
      <c r="D326" s="2" t="inlineStr">
        <is>
          <t>2023</t>
        </is>
      </c>
      <c r="E326" s="2" t="inlineStr">
        <is>
          <t>10.1016/j.scitotenv.2023.166992</t>
        </is>
      </c>
      <c r="F326" s="2" t="inlineStr">
        <is>
          <t>综述</t>
        </is>
      </c>
      <c r="G326" s="2" t="inlineStr">
        <is>
          <t>4 综述</t>
        </is>
      </c>
      <c r="H326" s="2" t="inlineStr">
        <is>
          <t>是</t>
        </is>
      </c>
      <c r="I326" s="2" t="inlineStr">
        <is>
          <t>综述</t>
        </is>
      </c>
      <c r="J326" s="2" t="inlineStr">
        <is>
          <t>是</t>
        </is>
      </c>
      <c r="K326" s="2" t="inlineStr">
        <is>
          <t>Science of The Total Environment</t>
        </is>
      </c>
      <c r="L326" s="2" t="inlineStr">
        <is>
          <t>Science of The Total Environment</t>
        </is>
      </c>
      <c r="M326" s="2" t="inlineStr">
        <is>
          <t>0048-9697</t>
        </is>
      </c>
      <c r="N326" s="2" t="inlineStr"/>
      <c r="O326" s="2" t="inlineStr">
        <is>
          <t>已取得核验全文</t>
        </is>
      </c>
      <c r="P326" s="2" t="inlineStr">
        <is>
          <t>是</t>
        </is>
      </c>
      <c r="Q326" s="2" t="inlineStr">
        <is>
          <t>当前无补充材料原件；沿用既有缺失/无附件证据，不据此认定无附件</t>
        </is>
      </c>
      <c r="R326" s="2" t="n">
        <v>2024</v>
      </c>
      <c r="S326" s="2" t="inlineStr">
        <is>
          <t>2025发布版（2024指标年）</t>
        </is>
      </c>
      <c r="T326" s="2" t="inlineStr">
        <is>
          <t>ENVIRONMENTAL SCIENCES</t>
        </is>
      </c>
      <c r="U326" s="2" t="inlineStr">
        <is>
          <t>ENVIRONMENTAL SCIENCES: Q1</t>
        </is>
      </c>
      <c r="V326" s="4" t="inlineStr">
        <is>
          <t>是</t>
        </is>
      </c>
      <c r="W326" s="4" t="inlineStr">
        <is>
          <t>是</t>
        </is>
      </c>
      <c r="X326" s="2" t="inlineStr">
        <is>
          <t>是</t>
        </is>
      </c>
      <c r="Y326" s="2" t="inlineStr">
        <is>
          <t>https://topj.lib.whu.edu.cn/show.asp?cat=zk&amp;id=4001</t>
        </is>
      </c>
      <c r="Z326" s="2" t="inlineStr">
        <is>
          <t>https://api.crossref.org/works/10.1016/j.scitotenv.2023.166992</t>
        </is>
      </c>
      <c r="AA32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26" s="2" t="inlineStr">
        <is>
          <t>original_files/R09331/fulltext/fulltext__published__052cebd7d0ccc0ae.pdf</t>
        </is>
      </c>
      <c r="AC326" s="2" t="inlineStr"/>
      <c r="AD326" s="2" t="inlineStr">
        <is>
          <t>https://github.com/Colliam-Vermilion/FirstCodex/blob/results/ad-oxygen-literature-20261006/results/ad-oxygen-literature-20261006/original_files/R09331/fulltext/fulltext__published__052cebd7d0ccc0ae.pdf</t>
        </is>
      </c>
    </row>
    <row r="327" ht="48" customHeight="1">
      <c r="A327" s="3" t="inlineStr">
        <is>
          <t>R09383</t>
        </is>
      </c>
      <c r="B327" s="3" t="inlineStr">
        <is>
          <t>Plant for producing an oxygen-containing additive as an ecologically beneficial component for liquid motor fuels</t>
        </is>
      </c>
      <c r="C327" s="3" t="inlineStr">
        <is>
          <t>2023</t>
        </is>
      </c>
      <c r="D327" s="3" t="inlineStr">
        <is>
          <t>2023</t>
        </is>
      </c>
      <c r="E327" s="3" t="inlineStr"/>
      <c r="F327" s="3" t="inlineStr">
        <is>
          <t>专利（非研究文章）</t>
        </is>
      </c>
      <c r="G327" s="3" t="inlineStr">
        <is>
          <t>5 排除</t>
        </is>
      </c>
      <c r="H327" s="3" t="inlineStr">
        <is>
          <t>否</t>
        </is>
      </c>
      <c r="I327" s="3" t="inlineStr">
        <is>
          <t>类型待核实</t>
        </is>
      </c>
      <c r="J327" s="3" t="inlineStr">
        <is>
          <t>否</t>
        </is>
      </c>
      <c r="K327" s="3" t="inlineStr">
        <is>
          <t>OSTI OAI (U.S. Department of Energy Office of Scientific and Technical Information)</t>
        </is>
      </c>
      <c r="L327" s="3" t="inlineStr">
        <is>
          <t>OSTI OAI (U.S. Department of Energy Office of Scientific and Technical Information)</t>
        </is>
      </c>
      <c r="M327" s="3" t="inlineStr"/>
      <c r="N327" s="3" t="inlineStr"/>
      <c r="O327" s="3" t="inlineStr">
        <is>
          <t>未取得全文</t>
        </is>
      </c>
      <c r="P327" s="3" t="inlineStr">
        <is>
          <t>否</t>
        </is>
      </c>
      <c r="Q327" s="3" t="inlineStr">
        <is>
          <t>当前无补充材料原件；沿用既有缺失/无附件证据，不据此认定无附件</t>
        </is>
      </c>
      <c r="R327" s="3" t="inlineStr"/>
      <c r="S327" s="3" t="inlineStr"/>
      <c r="T327" s="3" t="inlineStr"/>
      <c r="U327" s="3" t="inlineStr"/>
      <c r="V327" s="3" t="inlineStr">
        <is>
          <t>不适用</t>
        </is>
      </c>
      <c r="W327" s="3" t="inlineStr">
        <is>
          <t>不适用</t>
        </is>
      </c>
      <c r="X327" s="3" t="inlineStr">
        <is>
          <t>不适用</t>
        </is>
      </c>
      <c r="Y327" s="3" t="inlineStr"/>
      <c r="Z327" s="3" t="inlineStr"/>
      <c r="AA327" s="3" t="inlineStr">
        <is>
          <t>非目标期刊论文或类型待核实，不进入JCR分母</t>
        </is>
      </c>
      <c r="AB327" s="3" t="inlineStr"/>
      <c r="AC327" s="3" t="inlineStr"/>
      <c r="AD327" s="3" t="inlineStr"/>
    </row>
    <row r="328" ht="48" customHeight="1">
      <c r="A328" s="2" t="inlineStr">
        <is>
          <t>R09568</t>
        </is>
      </c>
      <c r="B328" s="2" t="inlineStr">
        <is>
          <t>The fate of sulfamethoxazole and trimethoprim in a micro-aerated anaerobic membrane bioreactor and the occurrence of antibiotic resistance in the permeate</t>
        </is>
      </c>
      <c r="C328" s="2" t="inlineStr">
        <is>
          <t>2023</t>
        </is>
      </c>
      <c r="D328" s="2" t="inlineStr">
        <is>
          <t>2023</t>
        </is>
      </c>
      <c r="E328" s="2" t="inlineStr">
        <is>
          <t>10.2166/wst.2023.324</t>
        </is>
      </c>
      <c r="F328" s="2" t="inlineStr">
        <is>
          <t>期刊文章</t>
        </is>
      </c>
      <c r="G328" s="2" t="inlineStr">
        <is>
          <t>1 直接向 AD 反应器或内部循环系统供氧</t>
        </is>
      </c>
      <c r="H328" s="2" t="inlineStr">
        <is>
          <t>是</t>
        </is>
      </c>
      <c r="I328" s="2" t="inlineStr">
        <is>
          <t>研究类</t>
        </is>
      </c>
      <c r="J328" s="2" t="inlineStr">
        <is>
          <t>是</t>
        </is>
      </c>
      <c r="K328" s="2" t="inlineStr">
        <is>
          <t>WATER SCIENCE AND TECHNOLOGY</t>
        </is>
      </c>
      <c r="L328" s="2" t="inlineStr">
        <is>
          <t>Water Science &amp;amp; Technology</t>
        </is>
      </c>
      <c r="M328" s="2" t="inlineStr">
        <is>
          <t>0273-1223</t>
        </is>
      </c>
      <c r="N328" s="2" t="inlineStr">
        <is>
          <t>1996-9732</t>
        </is>
      </c>
      <c r="O328" s="2" t="inlineStr">
        <is>
          <t>已取得核验全文</t>
        </is>
      </c>
      <c r="P328" s="2" t="inlineStr">
        <is>
          <t>是</t>
        </is>
      </c>
      <c r="Q328" s="2" t="inlineStr">
        <is>
          <t>当前无补充材料原件；沿用既有缺失/无附件证据，不据此认定无附件</t>
        </is>
      </c>
      <c r="R328" s="2" t="n">
        <v>2024</v>
      </c>
      <c r="S328" s="2" t="inlineStr">
        <is>
          <t>2025发布版（2024指标年）</t>
        </is>
      </c>
      <c r="T328" s="2" t="inlineStr">
        <is>
          <t>WATER RESOURCES; ENGINEERING, ENVIRONMENTAL; ENVIRONMENTAL SCIENCES</t>
        </is>
      </c>
      <c r="U328" s="2" t="inlineStr">
        <is>
          <t>WATER RESOURCES: Q2; ENGINEERING, ENVIRONMENTAL: Q3; ENVIRONMENTAL SCIENCES: Q3</t>
        </is>
      </c>
      <c r="V328" s="2" t="inlineStr">
        <is>
          <t>否</t>
        </is>
      </c>
      <c r="W328" s="2" t="inlineStr">
        <is>
          <t>否</t>
        </is>
      </c>
      <c r="X328" s="2" t="inlineStr">
        <is>
          <t>是</t>
        </is>
      </c>
      <c r="Y328" s="2" t="inlineStr">
        <is>
          <t>https://topj.lib.whu.edu.cn/search2.asp?ordertype=&amp;page=2&amp;q=&amp;sea=w&amp;searchtype=esi</t>
        </is>
      </c>
      <c r="Z328" s="2" t="inlineStr">
        <is>
          <t>https://api.crossref.org/works/10.2166/wst.2023.324</t>
        </is>
      </c>
      <c r="AA328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328" s="2" t="inlineStr">
        <is>
          <t>original_files/R09568/fulltext/fulltext__published__393322098ea47587.pdf</t>
        </is>
      </c>
      <c r="AC328" s="2" t="inlineStr"/>
      <c r="AD328" s="2" t="inlineStr">
        <is>
          <t>https://github.com/Colliam-Vermilion/FirstCodex/blob/results/ad-oxygen-literature-20261006/results/ad-oxygen-literature-20261006/original_files/R09568/fulltext/fulltext__published__393322098ea47587.pdf</t>
        </is>
      </c>
    </row>
    <row r="329" ht="48" customHeight="1">
      <c r="A329" s="3" t="inlineStr">
        <is>
          <t>R09571</t>
        </is>
      </c>
      <c r="B329" s="3" t="inlineStr">
        <is>
          <t>The integrated production of hydrochar and methane from lignocellulosic fermentative residue coupling hydrothermal carbonization with anaerobic digestion</t>
        </is>
      </c>
      <c r="C329" s="3" t="inlineStr">
        <is>
          <t>2023</t>
        </is>
      </c>
      <c r="D329" s="3" t="inlineStr">
        <is>
          <t>2023</t>
        </is>
      </c>
      <c r="E329" s="3" t="inlineStr">
        <is>
          <t>10.1016/j.chemosphere.2023.139929</t>
        </is>
      </c>
      <c r="F329" s="3" t="inlineStr">
        <is>
          <t>期刊文章</t>
        </is>
      </c>
      <c r="G329" s="3" t="inlineStr">
        <is>
          <t>5 排除</t>
        </is>
      </c>
      <c r="H329" s="3" t="inlineStr">
        <is>
          <t>否</t>
        </is>
      </c>
      <c r="I329" s="3" t="inlineStr">
        <is>
          <t>研究类</t>
        </is>
      </c>
      <c r="J329" s="3" t="inlineStr">
        <is>
          <t>否</t>
        </is>
      </c>
      <c r="K329" s="3" t="inlineStr">
        <is>
          <t>Chemosphere</t>
        </is>
      </c>
      <c r="L329" s="3" t="inlineStr">
        <is>
          <t>Chemosphere</t>
        </is>
      </c>
      <c r="M329" s="3" t="inlineStr">
        <is>
          <t>0045-6535</t>
        </is>
      </c>
      <c r="N329" s="3" t="inlineStr"/>
      <c r="O329" s="3" t="inlineStr">
        <is>
          <t>未取得全文</t>
        </is>
      </c>
      <c r="P329" s="3" t="inlineStr">
        <is>
          <t>否</t>
        </is>
      </c>
      <c r="Q329" s="3" t="inlineStr">
        <is>
          <t>当前无补充材料原件；沿用既有缺失/无附件证据，不据此认定无附件</t>
        </is>
      </c>
      <c r="R329" s="3" t="n">
        <v>2024</v>
      </c>
      <c r="S329" s="3" t="inlineStr">
        <is>
          <t>2025发布版（2024指标年）</t>
        </is>
      </c>
      <c r="T329" s="3" t="inlineStr"/>
      <c r="U329" s="3" t="inlineStr"/>
      <c r="V329" s="3" t="inlineStr">
        <is>
          <t>待核实</t>
        </is>
      </c>
      <c r="W329" s="3" t="inlineStr">
        <is>
          <t>待核实</t>
        </is>
      </c>
      <c r="X329" s="3" t="inlineStr">
        <is>
          <t>否</t>
        </is>
      </c>
      <c r="Y329" s="3" t="inlineStr"/>
      <c r="Z329" s="3" t="inlineStr">
        <is>
          <t>https://api.crossref.org/works/10.1016/j.chemosphere.2023.139929</t>
        </is>
      </c>
      <c r="AA329" s="3" t="inlineStr">
        <is>
          <t>2024指标年JCR分区未核实；空白不能当非Q1。需要2025发布版/2024指标年的JCR全部学科导出。</t>
        </is>
      </c>
      <c r="AB329" s="3" t="inlineStr"/>
      <c r="AC329" s="3" t="inlineStr"/>
      <c r="AD329" s="3" t="inlineStr"/>
    </row>
    <row r="330" ht="48" customHeight="1">
      <c r="A330" s="2" t="inlineStr">
        <is>
          <t>R09585</t>
        </is>
      </c>
      <c r="B330" s="2" t="inlineStr">
        <is>
          <t>Thermophilic Fungi as the Microbial Agents of Choice for the Industrial Co-Fermentation of Wood Wastes and Nitrogen-Rich Organic Wastes to Bio-Methane</t>
        </is>
      </c>
      <c r="C330" s="2" t="inlineStr">
        <is>
          <t>2023</t>
        </is>
      </c>
      <c r="D330" s="2" t="inlineStr">
        <is>
          <t>2023</t>
        </is>
      </c>
      <c r="E330" s="2" t="inlineStr">
        <is>
          <t>10.3390/microorganisms11102600</t>
        </is>
      </c>
      <c r="F330" s="2" t="inlineStr">
        <is>
          <t>综述</t>
        </is>
      </c>
      <c r="G330" s="2" t="inlineStr">
        <is>
          <t>4 综述</t>
        </is>
      </c>
      <c r="H330" s="2" t="inlineStr">
        <is>
          <t>是</t>
        </is>
      </c>
      <c r="I330" s="2" t="inlineStr">
        <is>
          <t>综述</t>
        </is>
      </c>
      <c r="J330" s="2" t="inlineStr">
        <is>
          <t>是</t>
        </is>
      </c>
      <c r="K330" s="2" t="inlineStr">
        <is>
          <t>Microorganisms</t>
        </is>
      </c>
      <c r="L330" s="2" t="inlineStr">
        <is>
          <t>Microorganisms</t>
        </is>
      </c>
      <c r="M330" s="2" t="inlineStr"/>
      <c r="N330" s="2" t="inlineStr">
        <is>
          <t>2076-2607</t>
        </is>
      </c>
      <c r="O330" s="2" t="inlineStr">
        <is>
          <t>已取得核验全文</t>
        </is>
      </c>
      <c r="P330" s="2" t="inlineStr">
        <is>
          <t>是</t>
        </is>
      </c>
      <c r="Q330" s="2" t="inlineStr">
        <is>
          <t>当前无补充材料原件；沿用既有缺失/无附件证据，不据此认定无附件</t>
        </is>
      </c>
      <c r="R330" s="2" t="n">
        <v>2024</v>
      </c>
      <c r="S330" s="2" t="inlineStr">
        <is>
          <t>2025发布版（2024指标年）</t>
        </is>
      </c>
      <c r="T330" s="2" t="inlineStr"/>
      <c r="U330" s="2" t="inlineStr"/>
      <c r="V330" s="2" t="inlineStr">
        <is>
          <t>待核实</t>
        </is>
      </c>
      <c r="W330" s="2" t="inlineStr">
        <is>
          <t>待核实</t>
        </is>
      </c>
      <c r="X330" s="2" t="inlineStr">
        <is>
          <t>否</t>
        </is>
      </c>
      <c r="Y330" s="2" t="inlineStr"/>
      <c r="Z330" s="2" t="inlineStr">
        <is>
          <t>https://api.crossref.org/works/10.3390/microorganisms11102600</t>
        </is>
      </c>
      <c r="AA330" s="2" t="inlineStr">
        <is>
          <t>2024指标年JCR分区未核实；空白不能当非Q1。需要2025发布版/2024指标年的JCR全部学科导出。</t>
        </is>
      </c>
      <c r="AB330" s="2" t="inlineStr">
        <is>
          <t>original_files/R09585/fulltext/fulltext__published__b16e44cb7a1232c0.pdf</t>
        </is>
      </c>
      <c r="AC330" s="2" t="inlineStr"/>
      <c r="AD330" s="2" t="inlineStr">
        <is>
          <t>https://github.com/Colliam-Vermilion/FirstCodex/blob/results/ad-oxygen-literature-20261006/results/ad-oxygen-literature-20261006/original_files/R09585/fulltext/fulltext__published__b16e44cb7a1232c0.pdf</t>
        </is>
      </c>
    </row>
    <row r="331" ht="48" customHeight="1">
      <c r="A331" s="3" t="inlineStr">
        <is>
          <t>R09618</t>
        </is>
      </c>
      <c r="B331" s="3" t="inlineStr">
        <is>
          <t>Two-step anaerobic digestion of rice straw with nanobubble water</t>
        </is>
      </c>
      <c r="C331" s="3" t="inlineStr">
        <is>
          <t>2023</t>
        </is>
      </c>
      <c r="D331" s="3" t="inlineStr">
        <is>
          <t>2023</t>
        </is>
      </c>
      <c r="E331" s="3" t="inlineStr">
        <is>
          <t>10.1016/j.biortech.2023.128928</t>
        </is>
      </c>
      <c r="F331" s="3" t="inlineStr">
        <is>
          <t>期刊文章</t>
        </is>
      </c>
      <c r="G331" s="3" t="inlineStr">
        <is>
          <t>1 直接向 AD 反应器或内部循环系统供氧</t>
        </is>
      </c>
      <c r="H331" s="3" t="inlineStr">
        <is>
          <t>是</t>
        </is>
      </c>
      <c r="I331" s="3" t="inlineStr">
        <is>
          <t>研究类</t>
        </is>
      </c>
      <c r="J331" s="3" t="inlineStr">
        <is>
          <t>是</t>
        </is>
      </c>
      <c r="K331" s="3" t="inlineStr">
        <is>
          <t>BIORESOURCE TECHNOLOGY</t>
        </is>
      </c>
      <c r="L331" s="3" t="inlineStr">
        <is>
          <t>Bioresource Technology</t>
        </is>
      </c>
      <c r="M331" s="3" t="inlineStr">
        <is>
          <t>0960-8524</t>
        </is>
      </c>
      <c r="N331" s="3" t="inlineStr"/>
      <c r="O331" s="3" t="inlineStr">
        <is>
          <t>已取得核验全文</t>
        </is>
      </c>
      <c r="P331" s="3" t="inlineStr">
        <is>
          <t>是</t>
        </is>
      </c>
      <c r="Q331" s="3" t="inlineStr">
        <is>
          <t>已取得1件原格式补充材料；其中0件唯一关联待核实；完整性未确认</t>
        </is>
      </c>
      <c r="R331" s="3" t="n">
        <v>2024</v>
      </c>
      <c r="S331" s="3" t="inlineStr">
        <is>
          <t>2025发布版（2024指标年）</t>
        </is>
      </c>
      <c r="T331" s="3" t="inlineStr">
        <is>
          <t>AGRICULTURAL ENGINEERING; BIOTECHNOLOGY &amp; APPLIED MICROBIOLOGY; ENERGY &amp; FUELS</t>
        </is>
      </c>
      <c r="U331" s="3" t="inlineStr">
        <is>
          <t>AGRICULTURAL ENGINEERING: Q1; BIOTECHNOLOGY &amp; APPLIED MICROBIOLOGY: Q1; ENERGY &amp; FUELS: Q1</t>
        </is>
      </c>
      <c r="V331" s="4" t="inlineStr">
        <is>
          <t>是</t>
        </is>
      </c>
      <c r="W331" s="4" t="inlineStr">
        <is>
          <t>是</t>
        </is>
      </c>
      <c r="X331" s="3" t="inlineStr">
        <is>
          <t>是</t>
        </is>
      </c>
      <c r="Y331" s="3" t="inlineStr">
        <is>
          <t>https://topj.lib.whu.edu.cn/show.asp?cat=zk&amp;id=3976</t>
        </is>
      </c>
      <c r="Z331" s="3" t="inlineStr">
        <is>
          <t>https://api.crossref.org/works/10.1016/j.biortech.2023.128928</t>
        </is>
      </c>
      <c r="AA33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31" s="3" t="inlineStr">
        <is>
          <t>original_files/R09618/fulltext/fulltext__published__4c1c2a21a6964433.pdf</t>
        </is>
      </c>
      <c r="AC331" s="3" t="inlineStr">
        <is>
          <t>original_files/R09618/supplementary/supplementary__5d6e50ed68417129.docx</t>
        </is>
      </c>
      <c r="AD331" s="3" t="inlineStr">
        <is>
          <t>https://github.com/Colliam-Vermilion/FirstCodex/blob/results/ad-oxygen-literature-20261006/results/ad-oxygen-literature-20261006/original_files/R09618/fulltext/fulltext__published__4c1c2a21a6964433.pdf</t>
        </is>
      </c>
    </row>
    <row r="332" ht="48" customHeight="1">
      <c r="A332" s="2" t="inlineStr">
        <is>
          <t>R09649</t>
        </is>
      </c>
      <c r="B332" s="2" t="inlineStr">
        <is>
          <t>Use of nanobubble water bioaugmented anaerobically digested sludge for high-efficacy energy production from high-solids anaerobic digestion of corn straw</t>
        </is>
      </c>
      <c r="C332" s="2" t="inlineStr">
        <is>
          <t>2023</t>
        </is>
      </c>
      <c r="D332" s="2" t="inlineStr">
        <is>
          <t>2023</t>
        </is>
      </c>
      <c r="E332" s="2" t="inlineStr">
        <is>
          <t>10.1016/j.scitotenv.2022.160825</t>
        </is>
      </c>
      <c r="F332" s="2" t="inlineStr">
        <is>
          <t>期刊文章</t>
        </is>
      </c>
      <c r="G332" s="2" t="inlineStr">
        <is>
          <t>3 独立好氧或微好氧预处理</t>
        </is>
      </c>
      <c r="H332" s="2" t="inlineStr">
        <is>
          <t>是</t>
        </is>
      </c>
      <c r="I332" s="2" t="inlineStr">
        <is>
          <t>研究类</t>
        </is>
      </c>
      <c r="J332" s="2" t="inlineStr">
        <is>
          <t>是</t>
        </is>
      </c>
      <c r="K332" s="2" t="inlineStr">
        <is>
          <t>Science of The Total Environment</t>
        </is>
      </c>
      <c r="L332" s="2" t="inlineStr">
        <is>
          <t>Science of The Total Environment</t>
        </is>
      </c>
      <c r="M332" s="2" t="inlineStr">
        <is>
          <t>0048-9697</t>
        </is>
      </c>
      <c r="N332" s="2" t="inlineStr"/>
      <c r="O332" s="2" t="inlineStr">
        <is>
          <t>已取得核验全文</t>
        </is>
      </c>
      <c r="P332" s="2" t="inlineStr">
        <is>
          <t>是</t>
        </is>
      </c>
      <c r="Q332" s="2" t="inlineStr">
        <is>
          <t>当前无补充材料原件；沿用既有缺失/无附件证据，不据此认定无附件</t>
        </is>
      </c>
      <c r="R332" s="2" t="n">
        <v>2024</v>
      </c>
      <c r="S332" s="2" t="inlineStr">
        <is>
          <t>2025发布版（2024指标年）</t>
        </is>
      </c>
      <c r="T332" s="2" t="inlineStr">
        <is>
          <t>ENVIRONMENTAL SCIENCES</t>
        </is>
      </c>
      <c r="U332" s="2" t="inlineStr">
        <is>
          <t>ENVIRONMENTAL SCIENCES: Q1</t>
        </is>
      </c>
      <c r="V332" s="4" t="inlineStr">
        <is>
          <t>是</t>
        </is>
      </c>
      <c r="W332" s="4" t="inlineStr">
        <is>
          <t>是</t>
        </is>
      </c>
      <c r="X332" s="2" t="inlineStr">
        <is>
          <t>是</t>
        </is>
      </c>
      <c r="Y332" s="2" t="inlineStr">
        <is>
          <t>https://topj.lib.whu.edu.cn/show.asp?cat=zk&amp;id=4001</t>
        </is>
      </c>
      <c r="Z332" s="2" t="inlineStr">
        <is>
          <t>https://api.crossref.org/works/10.1016/j.scitotenv.2022.160825</t>
        </is>
      </c>
      <c r="AA33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32" s="2" t="inlineStr">
        <is>
          <t>original_files/R09649/fulltext/fulltext__published__234b96574d200967.pdf</t>
        </is>
      </c>
      <c r="AC332" s="2" t="inlineStr"/>
      <c r="AD332" s="2" t="inlineStr">
        <is>
          <t>https://github.com/Colliam-Vermilion/FirstCodex/blob/results/ad-oxygen-literature-20261006/results/ad-oxygen-literature-20261006/original_files/R09649/fulltext/fulltext__published__234b96574d200967.pdf</t>
        </is>
      </c>
    </row>
    <row r="333" ht="48" customHeight="1">
      <c r="A333" s="3" t="inlineStr">
        <is>
          <t>R09762</t>
        </is>
      </c>
      <c r="B333" s="3" t="inlineStr">
        <is>
          <t>Advancing the treatment of low carbon-to-nitrogen ratio municipal wastewater using a novel microaerobic sludge bed approach: Insights into enhanced performance and functional microbial community</t>
        </is>
      </c>
      <c r="C333" s="3" t="inlineStr">
        <is>
          <t>2024</t>
        </is>
      </c>
      <c r="D333" s="3" t="inlineStr">
        <is>
          <t>2024</t>
        </is>
      </c>
      <c r="E333" s="3" t="inlineStr">
        <is>
          <t>10.1016/j.envres.2024.119461</t>
        </is>
      </c>
      <c r="F333" s="3" t="inlineStr">
        <is>
          <t>期刊文章</t>
        </is>
      </c>
      <c r="G333" s="3" t="inlineStr">
        <is>
          <t>5 排除</t>
        </is>
      </c>
      <c r="H333" s="3" t="inlineStr">
        <is>
          <t>否</t>
        </is>
      </c>
      <c r="I333" s="3" t="inlineStr">
        <is>
          <t>研究类</t>
        </is>
      </c>
      <c r="J333" s="3" t="inlineStr">
        <is>
          <t>否</t>
        </is>
      </c>
      <c r="K333" s="3" t="inlineStr">
        <is>
          <t>ENVIRONMENTAL RESEARCH</t>
        </is>
      </c>
      <c r="L333" s="3" t="inlineStr">
        <is>
          <t>Environmental Research</t>
        </is>
      </c>
      <c r="M333" s="3" t="inlineStr">
        <is>
          <t>0013-9351</t>
        </is>
      </c>
      <c r="N333" s="3" t="inlineStr"/>
      <c r="O333" s="3" t="inlineStr">
        <is>
          <t>未取得全文</t>
        </is>
      </c>
      <c r="P333" s="3" t="inlineStr">
        <is>
          <t>否</t>
        </is>
      </c>
      <c r="Q333" s="3" t="inlineStr">
        <is>
          <t>当前无补充材料原件；沿用既有缺失/无附件证据，不据此认定无附件</t>
        </is>
      </c>
      <c r="R333" s="3" t="n">
        <v>2024</v>
      </c>
      <c r="S333" s="3" t="inlineStr">
        <is>
          <t>2025发布版（2024指标年）</t>
        </is>
      </c>
      <c r="T333" s="3" t="inlineStr">
        <is>
          <t>ENVIRONMENTAL SCIENCES; PUBLIC, ENVIRONMENTAL &amp; OCCUPATIONAL HEALTH</t>
        </is>
      </c>
      <c r="U333" s="3" t="inlineStr">
        <is>
          <t>ENVIRONMENTAL SCIENCES: Q1; PUBLIC, ENVIRONMENTAL &amp; OCCUPATIONAL HEALTH: Q1</t>
        </is>
      </c>
      <c r="V333" s="4" t="inlineStr">
        <is>
          <t>是</t>
        </is>
      </c>
      <c r="W333" s="4" t="inlineStr">
        <is>
          <t>是</t>
        </is>
      </c>
      <c r="X333" s="3" t="inlineStr">
        <is>
          <t>是</t>
        </is>
      </c>
      <c r="Y333" s="3" t="inlineStr">
        <is>
          <t>https://topj.lib.whu.edu.cn/show.asp?cat=esi&amp;id=3602</t>
        </is>
      </c>
      <c r="Z333" s="3" t="inlineStr">
        <is>
          <t>https://api.crossref.org/works/10.1016/j.envres.2024.119461</t>
        </is>
      </c>
      <c r="AA33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33" s="3" t="inlineStr"/>
      <c r="AC333" s="3" t="inlineStr"/>
      <c r="AD333" s="3" t="inlineStr"/>
    </row>
    <row r="334" ht="48" customHeight="1">
      <c r="A334" s="2" t="inlineStr">
        <is>
          <t>R09805</t>
        </is>
      </c>
      <c r="B334" s="2" t="inlineStr">
        <is>
          <t>Anaerobic digestion of spoiled milk from dairy industry for biogas production – optimization of operating parameters and kinetic modeling of the pilot scale study</t>
        </is>
      </c>
      <c r="C334" s="2" t="inlineStr">
        <is>
          <t>2024</t>
        </is>
      </c>
      <c r="D334" s="2" t="inlineStr">
        <is>
          <t>2024</t>
        </is>
      </c>
      <c r="E334" s="2" t="inlineStr">
        <is>
          <t>10.1186/s44329-024-00002-6</t>
        </is>
      </c>
      <c r="F334" s="2" t="inlineStr">
        <is>
          <t>期刊文章</t>
        </is>
      </c>
      <c r="G334" s="2" t="inlineStr">
        <is>
          <t>5 排除</t>
        </is>
      </c>
      <c r="H334" s="2" t="inlineStr">
        <is>
          <t>否</t>
        </is>
      </c>
      <c r="I334" s="2" t="inlineStr">
        <is>
          <t>研究类</t>
        </is>
      </c>
      <c r="J334" s="2" t="inlineStr">
        <is>
          <t>否</t>
        </is>
      </c>
      <c r="K334" s="2" t="inlineStr">
        <is>
          <t>BMC Environmental Science</t>
        </is>
      </c>
      <c r="L334" s="2" t="inlineStr">
        <is>
          <t>BMC Environmental Science</t>
        </is>
      </c>
      <c r="M334" s="2" t="inlineStr"/>
      <c r="N334" s="2" t="inlineStr">
        <is>
          <t>3004-8710</t>
        </is>
      </c>
      <c r="O334" s="2" t="inlineStr">
        <is>
          <t>未取得全文</t>
        </is>
      </c>
      <c r="P334" s="2" t="inlineStr">
        <is>
          <t>否</t>
        </is>
      </c>
      <c r="Q334" s="2" t="inlineStr">
        <is>
          <t>当前无补充材料原件；沿用既有缺失/无附件证据，不据此认定无附件</t>
        </is>
      </c>
      <c r="R334" s="2" t="n">
        <v>2024</v>
      </c>
      <c r="S334" s="2" t="inlineStr">
        <is>
          <t>2025发布版（2024指标年）</t>
        </is>
      </c>
      <c r="T334" s="2" t="inlineStr"/>
      <c r="U334" s="2" t="inlineStr"/>
      <c r="V334" s="2" t="inlineStr">
        <is>
          <t>待核实</t>
        </is>
      </c>
      <c r="W334" s="2" t="inlineStr">
        <is>
          <t>待核实</t>
        </is>
      </c>
      <c r="X334" s="2" t="inlineStr">
        <is>
          <t>否</t>
        </is>
      </c>
      <c r="Y334" s="2" t="inlineStr"/>
      <c r="Z334" s="2" t="inlineStr">
        <is>
          <t>https://api.crossref.org/works/10.1186/s44329-024-00002-6</t>
        </is>
      </c>
      <c r="AA334" s="2" t="inlineStr">
        <is>
          <t>2024指标年JCR分区未核实；空白不能当非Q1。需要2025发布版/2024指标年的JCR全部学科导出。</t>
        </is>
      </c>
      <c r="AB334" s="2" t="inlineStr"/>
      <c r="AC334" s="2" t="inlineStr"/>
      <c r="AD334" s="2" t="inlineStr"/>
    </row>
    <row r="335" ht="48" customHeight="1">
      <c r="A335" s="3" t="inlineStr">
        <is>
          <t>R10037</t>
        </is>
      </c>
      <c r="B335" s="3" t="inlineStr">
        <is>
          <t>Dissolved oxygen drives heterotrophic microorganism succession to regulate low carbon source wastewater treatment enhanced by slurry</t>
        </is>
      </c>
      <c r="C335" s="3" t="inlineStr">
        <is>
          <t>2024</t>
        </is>
      </c>
      <c r="D335" s="3" t="inlineStr">
        <is>
          <t>2024</t>
        </is>
      </c>
      <c r="E335" s="3" t="inlineStr">
        <is>
          <t>10.1016/j.jenvman.2024.121804</t>
        </is>
      </c>
      <c r="F335" s="3" t="inlineStr">
        <is>
          <t>期刊文章</t>
        </is>
      </c>
      <c r="G335" s="3" t="inlineStr">
        <is>
          <t>5 排除</t>
        </is>
      </c>
      <c r="H335" s="3" t="inlineStr">
        <is>
          <t>否</t>
        </is>
      </c>
      <c r="I335" s="3" t="inlineStr">
        <is>
          <t>研究类</t>
        </is>
      </c>
      <c r="J335" s="3" t="inlineStr">
        <is>
          <t>否</t>
        </is>
      </c>
      <c r="K335" s="3" t="inlineStr">
        <is>
          <t>Journal of Environmental Management</t>
        </is>
      </c>
      <c r="L335" s="3" t="inlineStr">
        <is>
          <t>Journal of Environmental Management</t>
        </is>
      </c>
      <c r="M335" s="3" t="inlineStr">
        <is>
          <t>0301-4797</t>
        </is>
      </c>
      <c r="N335" s="3" t="inlineStr"/>
      <c r="O335" s="3" t="inlineStr">
        <is>
          <t>未取得全文</t>
        </is>
      </c>
      <c r="P335" s="3" t="inlineStr">
        <is>
          <t>否</t>
        </is>
      </c>
      <c r="Q335" s="3" t="inlineStr">
        <is>
          <t>当前无补充材料原件；沿用既有缺失/无附件证据，不据此认定无附件</t>
        </is>
      </c>
      <c r="R335" s="3" t="n">
        <v>2024</v>
      </c>
      <c r="S335" s="3" t="inlineStr">
        <is>
          <t>2025发布版（2024指标年）</t>
        </is>
      </c>
      <c r="T335" s="3" t="inlineStr">
        <is>
          <t>ENVIRONMENTAL SCIENCES</t>
        </is>
      </c>
      <c r="U335" s="3" t="inlineStr">
        <is>
          <t>ENVIRONMENTAL SCIENCES: Q1</t>
        </is>
      </c>
      <c r="V335" s="4" t="inlineStr">
        <is>
          <t>是</t>
        </is>
      </c>
      <c r="W335" s="4" t="inlineStr">
        <is>
          <t>是</t>
        </is>
      </c>
      <c r="X335" s="3" t="inlineStr">
        <is>
          <t>是</t>
        </is>
      </c>
      <c r="Y335" s="3" t="inlineStr">
        <is>
          <t>https://topj.lib.whu.edu.cn/show.asp?cat=sci&amp;id=6965</t>
        </is>
      </c>
      <c r="Z335" s="3" t="inlineStr">
        <is>
          <t>https://api.crossref.org/works/10.1016/j.jenvman.2024.121804</t>
        </is>
      </c>
      <c r="AA33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35" s="3" t="inlineStr"/>
      <c r="AC335" s="3" t="inlineStr"/>
      <c r="AD335" s="3" t="inlineStr"/>
    </row>
    <row r="336" ht="48" customHeight="1">
      <c r="A336" s="2" t="inlineStr">
        <is>
          <t>R10050</t>
        </is>
      </c>
      <c r="B336" s="2" t="inlineStr">
        <is>
          <t>Dynamic Modeling and Simulation of the Impact of Micro-Aeration on Anaerobic Treatment of Sulfate-Rich Wastewater</t>
        </is>
      </c>
      <c r="C336" s="2" t="inlineStr">
        <is>
          <t>2024</t>
        </is>
      </c>
      <c r="D336" s="2" t="inlineStr">
        <is>
          <t>2024</t>
        </is>
      </c>
      <c r="E336" s="2" t="inlineStr">
        <is>
          <t>10.1109/mercon63886.2024.10688555</t>
        </is>
      </c>
      <c r="F336" s="2" t="inlineStr">
        <is>
          <t>会议研究论文（非期刊文章）</t>
        </is>
      </c>
      <c r="G336" s="2" t="inlineStr">
        <is>
          <t>5 排除</t>
        </is>
      </c>
      <c r="H336" s="2" t="inlineStr">
        <is>
          <t>否</t>
        </is>
      </c>
      <c r="I336" s="2" t="inlineStr">
        <is>
          <t>会议/非期刊</t>
        </is>
      </c>
      <c r="J336" s="2" t="inlineStr">
        <is>
          <t>否</t>
        </is>
      </c>
      <c r="K336" s="2" t="inlineStr">
        <is>
          <t>2024 Moratuwa Engineering Research Conference (MERCon)</t>
        </is>
      </c>
      <c r="L336" s="2" t="inlineStr">
        <is>
          <t>2024 Moratuwa Engineering Research Conference (MERCon)</t>
        </is>
      </c>
      <c r="M336" s="2" t="inlineStr"/>
      <c r="N336" s="2" t="inlineStr"/>
      <c r="O336" s="2" t="inlineStr">
        <is>
          <t>未取得全文</t>
        </is>
      </c>
      <c r="P336" s="2" t="inlineStr">
        <is>
          <t>否</t>
        </is>
      </c>
      <c r="Q336" s="2" t="inlineStr">
        <is>
          <t>当前无补充材料原件；沿用既有缺失/无附件证据，不据此认定无附件</t>
        </is>
      </c>
      <c r="R336" s="2" t="inlineStr"/>
      <c r="S336" s="2" t="inlineStr"/>
      <c r="T336" s="2" t="inlineStr"/>
      <c r="U336" s="2" t="inlineStr"/>
      <c r="V336" s="2" t="inlineStr">
        <is>
          <t>不适用</t>
        </is>
      </c>
      <c r="W336" s="2" t="inlineStr">
        <is>
          <t>不适用</t>
        </is>
      </c>
      <c r="X336" s="2" t="inlineStr">
        <is>
          <t>不适用</t>
        </is>
      </c>
      <c r="Y336" s="2" t="inlineStr"/>
      <c r="Z336" s="2" t="inlineStr">
        <is>
          <t>https://api.crossref.org/works/10.1109/mercon63886.2024.10688555</t>
        </is>
      </c>
      <c r="AA336" s="2" t="inlineStr">
        <is>
          <t>非目标期刊论文或类型待核实，不进入JCR分母</t>
        </is>
      </c>
      <c r="AB336" s="2" t="inlineStr"/>
      <c r="AC336" s="2" t="inlineStr"/>
      <c r="AD336" s="2" t="inlineStr"/>
    </row>
    <row r="337" ht="48" customHeight="1">
      <c r="A337" s="3" t="inlineStr">
        <is>
          <t>R10064</t>
        </is>
      </c>
      <c r="B337" s="3" t="inlineStr">
        <is>
          <t>Effect of Biochar on Anaerobic Co-Digestion of Untreated Sewage Sludge with Municipal Organic Waste under Mesophilic Conditions</t>
        </is>
      </c>
      <c r="C337" s="3" t="inlineStr">
        <is>
          <t>2024</t>
        </is>
      </c>
      <c r="D337" s="3" t="inlineStr">
        <is>
          <t>2024</t>
        </is>
      </c>
      <c r="E337" s="3" t="inlineStr">
        <is>
          <t>10.3390/en17102393</t>
        </is>
      </c>
      <c r="F337" s="3" t="inlineStr">
        <is>
          <t>期刊文章</t>
        </is>
      </c>
      <c r="G337" s="3" t="inlineStr">
        <is>
          <t>5 排除</t>
        </is>
      </c>
      <c r="H337" s="3" t="inlineStr">
        <is>
          <t>否</t>
        </is>
      </c>
      <c r="I337" s="3" t="inlineStr">
        <is>
          <t>研究类</t>
        </is>
      </c>
      <c r="J337" s="3" t="inlineStr">
        <is>
          <t>否</t>
        </is>
      </c>
      <c r="K337" s="3" t="inlineStr">
        <is>
          <t>Energies</t>
        </is>
      </c>
      <c r="L337" s="3" t="inlineStr">
        <is>
          <t>Energies</t>
        </is>
      </c>
      <c r="M337" s="3" t="inlineStr"/>
      <c r="N337" s="3" t="inlineStr">
        <is>
          <t>1996-1073</t>
        </is>
      </c>
      <c r="O337" s="3" t="inlineStr">
        <is>
          <t>未取得全文</t>
        </is>
      </c>
      <c r="P337" s="3" t="inlineStr">
        <is>
          <t>否</t>
        </is>
      </c>
      <c r="Q337" s="3" t="inlineStr">
        <is>
          <t>当前无补充材料原件；沿用既有缺失/无附件证据，不据此认定无附件</t>
        </is>
      </c>
      <c r="R337" s="3" t="n">
        <v>2024</v>
      </c>
      <c r="S337" s="3" t="inlineStr">
        <is>
          <t>2025发布版（2024指标年）</t>
        </is>
      </c>
      <c r="T337" s="3" t="inlineStr"/>
      <c r="U337" s="3" t="inlineStr"/>
      <c r="V337" s="3" t="inlineStr">
        <is>
          <t>待核实</t>
        </is>
      </c>
      <c r="W337" s="3" t="inlineStr">
        <is>
          <t>待核实</t>
        </is>
      </c>
      <c r="X337" s="3" t="inlineStr">
        <is>
          <t>否</t>
        </is>
      </c>
      <c r="Y337" s="3" t="inlineStr"/>
      <c r="Z337" s="3" t="inlineStr">
        <is>
          <t>https://api.crossref.org/works/10.3390/en17102393</t>
        </is>
      </c>
      <c r="AA337" s="3" t="inlineStr">
        <is>
          <t>2024指标年JCR分区未核实；空白不能当非Q1。需要2025发布版/2024指标年的JCR全部学科导出。</t>
        </is>
      </c>
      <c r="AB337" s="3" t="inlineStr"/>
      <c r="AC337" s="3" t="inlineStr"/>
      <c r="AD337" s="3" t="inlineStr"/>
    </row>
    <row r="338" ht="48" customHeight="1">
      <c r="A338" s="2" t="inlineStr">
        <is>
          <t>R10097</t>
        </is>
      </c>
      <c r="B338" s="2" t="inlineStr">
        <is>
          <t>Effect of thermal pretreatment and nanobubble addition water on methane production from cowpea hull anaerobic digestion</t>
        </is>
      </c>
      <c r="C338" s="2" t="inlineStr">
        <is>
          <t>2024</t>
        </is>
      </c>
      <c r="D338" s="2" t="inlineStr">
        <is>
          <t>2024</t>
        </is>
      </c>
      <c r="E338" s="2" t="inlineStr">
        <is>
          <t>10.1007/s11164-023-05167-4</t>
        </is>
      </c>
      <c r="F338" s="2" t="inlineStr">
        <is>
          <t>期刊文章</t>
        </is>
      </c>
      <c r="G338" s="2" t="inlineStr">
        <is>
          <t>1 直接向 AD 反应器或内部循环系统供氧</t>
        </is>
      </c>
      <c r="H338" s="2" t="inlineStr">
        <is>
          <t>是</t>
        </is>
      </c>
      <c r="I338" s="2" t="inlineStr">
        <is>
          <t>研究类</t>
        </is>
      </c>
      <c r="J338" s="2" t="inlineStr">
        <is>
          <t>是</t>
        </is>
      </c>
      <c r="K338" s="2" t="inlineStr">
        <is>
          <t>Research on Chemical Intermediates</t>
        </is>
      </c>
      <c r="L338" s="2" t="inlineStr">
        <is>
          <t>Research on Chemical Intermediates</t>
        </is>
      </c>
      <c r="M338" s="2" t="inlineStr">
        <is>
          <t>0922-6168</t>
        </is>
      </c>
      <c r="N338" s="2" t="inlineStr">
        <is>
          <t>1568-5675</t>
        </is>
      </c>
      <c r="O338" s="2" t="inlineStr">
        <is>
          <t>已取得核验全文</t>
        </is>
      </c>
      <c r="P338" s="2" t="inlineStr">
        <is>
          <t>是</t>
        </is>
      </c>
      <c r="Q338" s="2" t="inlineStr">
        <is>
          <t>当前无补充材料原件；沿用既有缺失/无附件证据，不据此认定无附件</t>
        </is>
      </c>
      <c r="R338" s="2" t="n">
        <v>2024</v>
      </c>
      <c r="S338" s="2" t="inlineStr">
        <is>
          <t>2025发布版（2024指标年）</t>
        </is>
      </c>
      <c r="T338" s="2" t="inlineStr"/>
      <c r="U338" s="2" t="inlineStr"/>
      <c r="V338" s="2" t="inlineStr">
        <is>
          <t>待核实</t>
        </is>
      </c>
      <c r="W338" s="2" t="inlineStr">
        <is>
          <t>待核实</t>
        </is>
      </c>
      <c r="X338" s="2" t="inlineStr">
        <is>
          <t>否</t>
        </is>
      </c>
      <c r="Y338" s="2" t="inlineStr"/>
      <c r="Z338" s="2" t="inlineStr">
        <is>
          <t>https://api.crossref.org/works/10.1007/s11164-023-05167-4</t>
        </is>
      </c>
      <c r="AA338" s="2" t="inlineStr">
        <is>
          <t>2024指标年JCR分区未核实；空白不能当非Q1。需要2025发布版/2024指标年的JCR全部学科导出。</t>
        </is>
      </c>
      <c r="AB338" s="2" t="inlineStr">
        <is>
          <t>original_files/R10097/fulltext/fulltext__published__491b63375fcbafa6.pdf</t>
        </is>
      </c>
      <c r="AC338" s="2" t="inlineStr"/>
      <c r="AD338" s="2" t="inlineStr">
        <is>
          <t>https://github.com/Colliam-Vermilion/FirstCodex/blob/results/ad-oxygen-literature-20261006/results/ad-oxygen-literature-20261006/original_files/R10097/fulltext/fulltext__published__491b63375fcbafa6.pdf</t>
        </is>
      </c>
    </row>
    <row r="339" ht="48" customHeight="1">
      <c r="A339" s="3" t="inlineStr">
        <is>
          <t>R10141</t>
        </is>
      </c>
      <c r="B339" s="3" t="inlineStr">
        <is>
          <t>Electrogenerated singlet oxygen and reactive chlorine species enhancing volatile fatty acids production from co-fermentation of waste activated sludge and food waste: The key role of metal oxide coated electrodes</t>
        </is>
      </c>
      <c r="C339" s="3" t="inlineStr">
        <is>
          <t>2024</t>
        </is>
      </c>
      <c r="D339" s="3" t="inlineStr">
        <is>
          <t>2024</t>
        </is>
      </c>
      <c r="E339" s="3" t="inlineStr">
        <is>
          <t>10.1016/j.watres.2024.121953</t>
        </is>
      </c>
      <c r="F339" s="3" t="inlineStr">
        <is>
          <t>期刊文章</t>
        </is>
      </c>
      <c r="G339" s="3" t="inlineStr">
        <is>
          <t>5 排除</t>
        </is>
      </c>
      <c r="H339" s="3" t="inlineStr">
        <is>
          <t>否</t>
        </is>
      </c>
      <c r="I339" s="3" t="inlineStr">
        <is>
          <t>研究类</t>
        </is>
      </c>
      <c r="J339" s="3" t="inlineStr">
        <is>
          <t>否</t>
        </is>
      </c>
      <c r="K339" s="3" t="inlineStr">
        <is>
          <t>WATER RESEARCH</t>
        </is>
      </c>
      <c r="L339" s="3" t="inlineStr">
        <is>
          <t>Water Research</t>
        </is>
      </c>
      <c r="M339" s="3" t="inlineStr">
        <is>
          <t>0043-1354</t>
        </is>
      </c>
      <c r="N339" s="3" t="inlineStr"/>
      <c r="O339" s="3" t="inlineStr">
        <is>
          <t>未取得全文</t>
        </is>
      </c>
      <c r="P339" s="3" t="inlineStr">
        <is>
          <t>否</t>
        </is>
      </c>
      <c r="Q339" s="3" t="inlineStr">
        <is>
          <t>当前无补充材料原件；沿用既有缺失/无附件证据，不据此认定无附件</t>
        </is>
      </c>
      <c r="R339" s="3" t="n">
        <v>2024</v>
      </c>
      <c r="S339" s="3" t="inlineStr">
        <is>
          <t>2025发布版（2024指标年）</t>
        </is>
      </c>
      <c r="T339" s="3" t="inlineStr">
        <is>
          <t>WATER RESOURCES; ENGINEERING, ENVIRONMENTAL; ENVIRONMENTAL SCIENCES</t>
        </is>
      </c>
      <c r="U339" s="3" t="inlineStr">
        <is>
          <t>WATER RESOURCES: Q1; ENGINEERING, ENVIRONMENTAL: Q1; ENVIRONMENTAL SCIENCES: Q1</t>
        </is>
      </c>
      <c r="V339" s="4" t="inlineStr">
        <is>
          <t>是</t>
        </is>
      </c>
      <c r="W339" s="4" t="inlineStr">
        <is>
          <t>是</t>
        </is>
      </c>
      <c r="X339" s="3" t="inlineStr">
        <is>
          <t>是</t>
        </is>
      </c>
      <c r="Y339" s="3" t="inlineStr">
        <is>
          <t>https://topj.lib.whu.edu.cn/show.asp?cat=zk&amp;id=3962</t>
        </is>
      </c>
      <c r="Z339" s="3" t="inlineStr">
        <is>
          <t>https://api.crossref.org/works/10.1016/j.watres.2024.121953</t>
        </is>
      </c>
      <c r="AA33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39" s="3" t="inlineStr"/>
      <c r="AC339" s="3" t="inlineStr"/>
      <c r="AD339" s="3" t="inlineStr"/>
    </row>
    <row r="340" ht="48" customHeight="1">
      <c r="A340" s="2" t="inlineStr">
        <is>
          <t>R10178</t>
        </is>
      </c>
      <c r="B340" s="2" t="inlineStr">
        <is>
          <t>Enhanced short-chain fatty acid production from sludge anaerobic fermentation by combined pretreatment with sodium pyrophosphate and thermal hydrolysis</t>
        </is>
      </c>
      <c r="C340" s="2" t="inlineStr">
        <is>
          <t>2024</t>
        </is>
      </c>
      <c r="D340" s="2" t="inlineStr">
        <is>
          <t>2024</t>
        </is>
      </c>
      <c r="E340" s="2" t="inlineStr">
        <is>
          <t>10.1016/j.biortech.2024.131067</t>
        </is>
      </c>
      <c r="F340" s="2" t="inlineStr">
        <is>
          <t>期刊文章</t>
        </is>
      </c>
      <c r="G340" s="2" t="inlineStr">
        <is>
          <t>5 排除</t>
        </is>
      </c>
      <c r="H340" s="2" t="inlineStr">
        <is>
          <t>否</t>
        </is>
      </c>
      <c r="I340" s="2" t="inlineStr">
        <is>
          <t>研究类</t>
        </is>
      </c>
      <c r="J340" s="2" t="inlineStr">
        <is>
          <t>否</t>
        </is>
      </c>
      <c r="K340" s="2" t="inlineStr">
        <is>
          <t>BIORESOURCE TECHNOLOGY</t>
        </is>
      </c>
      <c r="L340" s="2" t="inlineStr">
        <is>
          <t>Bioresource Technology</t>
        </is>
      </c>
      <c r="M340" s="2" t="inlineStr">
        <is>
          <t>0960-8524</t>
        </is>
      </c>
      <c r="N340" s="2" t="inlineStr"/>
      <c r="O340" s="2" t="inlineStr">
        <is>
          <t>未取得全文</t>
        </is>
      </c>
      <c r="P340" s="2" t="inlineStr">
        <is>
          <t>否</t>
        </is>
      </c>
      <c r="Q340" s="2" t="inlineStr">
        <is>
          <t>当前无补充材料原件；沿用既有缺失/无附件证据，不据此认定无附件</t>
        </is>
      </c>
      <c r="R340" s="2" t="n">
        <v>2024</v>
      </c>
      <c r="S340" s="2" t="inlineStr">
        <is>
          <t>2025发布版（2024指标年）</t>
        </is>
      </c>
      <c r="T340" s="2" t="inlineStr">
        <is>
          <t>AGRICULTURAL ENGINEERING; BIOTECHNOLOGY &amp; APPLIED MICROBIOLOGY; ENERGY &amp; FUELS</t>
        </is>
      </c>
      <c r="U340" s="2" t="inlineStr">
        <is>
          <t>AGRICULTURAL ENGINEERING: Q1; BIOTECHNOLOGY &amp; APPLIED MICROBIOLOGY: Q1; ENERGY &amp; FUELS: Q1</t>
        </is>
      </c>
      <c r="V340" s="4" t="inlineStr">
        <is>
          <t>是</t>
        </is>
      </c>
      <c r="W340" s="4" t="inlineStr">
        <is>
          <t>是</t>
        </is>
      </c>
      <c r="X340" s="2" t="inlineStr">
        <is>
          <t>是</t>
        </is>
      </c>
      <c r="Y340" s="2" t="inlineStr">
        <is>
          <t>https://topj.lib.whu.edu.cn/show.asp?cat=zk&amp;id=3976</t>
        </is>
      </c>
      <c r="Z340" s="2" t="inlineStr">
        <is>
          <t>https://api.crossref.org/works/10.1016/j.biortech.2024.131067</t>
        </is>
      </c>
      <c r="AA34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40" s="2" t="inlineStr"/>
      <c r="AC340" s="2" t="inlineStr"/>
      <c r="AD340" s="2" t="inlineStr"/>
    </row>
    <row r="341" ht="48" customHeight="1">
      <c r="A341" s="3" t="inlineStr">
        <is>
          <t>R10250</t>
        </is>
      </c>
      <c r="B341" s="3" t="inlineStr">
        <is>
          <t>Exploring nanobubble technology for enhanced anaerobic digestion of thermal-hydrolysis pre-treated sewage sludge</t>
        </is>
      </c>
      <c r="C341" s="3" t="inlineStr">
        <is>
          <t>2024</t>
        </is>
      </c>
      <c r="D341" s="3" t="inlineStr">
        <is>
          <t>2024</t>
        </is>
      </c>
      <c r="E341" s="3" t="inlineStr">
        <is>
          <t>10.1016/j.biteb.2024.101939</t>
        </is>
      </c>
      <c r="F341" s="3" t="inlineStr">
        <is>
          <t>期刊文章</t>
        </is>
      </c>
      <c r="G341" s="3" t="inlineStr">
        <is>
          <t>1 直接向 AD 反应器或内部循环系统供氧</t>
        </is>
      </c>
      <c r="H341" s="3" t="inlineStr">
        <is>
          <t>是</t>
        </is>
      </c>
      <c r="I341" s="3" t="inlineStr">
        <is>
          <t>研究类</t>
        </is>
      </c>
      <c r="J341" s="3" t="inlineStr">
        <is>
          <t>是</t>
        </is>
      </c>
      <c r="K341" s="3" t="inlineStr">
        <is>
          <t>Bioresource Technology Reports</t>
        </is>
      </c>
      <c r="L341" s="3" t="inlineStr">
        <is>
          <t>Bioresource Technology Reports</t>
        </is>
      </c>
      <c r="M341" s="3" t="inlineStr">
        <is>
          <t>2589-014X</t>
        </is>
      </c>
      <c r="N341" s="3" t="inlineStr"/>
      <c r="O341" s="3" t="inlineStr">
        <is>
          <t>已取得核验全文</t>
        </is>
      </c>
      <c r="P341" s="3" t="inlineStr">
        <is>
          <t>是</t>
        </is>
      </c>
      <c r="Q341" s="3" t="inlineStr">
        <is>
          <t>当前无补充材料原件；沿用既有缺失/无附件证据，不据此认定无附件</t>
        </is>
      </c>
      <c r="R341" s="3" t="n">
        <v>2024</v>
      </c>
      <c r="S341" s="3" t="inlineStr">
        <is>
          <t>2025发布版（2024指标年）</t>
        </is>
      </c>
      <c r="T341" s="3" t="inlineStr"/>
      <c r="U341" s="3" t="inlineStr"/>
      <c r="V341" s="3" t="inlineStr">
        <is>
          <t>待核实</t>
        </is>
      </c>
      <c r="W341" s="3" t="inlineStr">
        <is>
          <t>待核实</t>
        </is>
      </c>
      <c r="X341" s="3" t="inlineStr">
        <is>
          <t>否</t>
        </is>
      </c>
      <c r="Y341" s="3" t="inlineStr"/>
      <c r="Z341" s="3" t="inlineStr">
        <is>
          <t>https://api.crossref.org/works/10.1016/j.biteb.2024.101939</t>
        </is>
      </c>
      <c r="AA341" s="3" t="inlineStr">
        <is>
          <t>2024指标年JCR分区未核实；空白不能当非Q1。需要2025发布版/2024指标年的JCR全部学科导出。</t>
        </is>
      </c>
      <c r="AB341" s="3" t="inlineStr">
        <is>
          <t>original_files/R10250/fulltext/fulltext__published__4356ccc0339c4477.pdf</t>
        </is>
      </c>
      <c r="AC341" s="3" t="inlineStr"/>
      <c r="AD341" s="3" t="inlineStr">
        <is>
          <t>https://github.com/Colliam-Vermilion/FirstCodex/blob/results/ad-oxygen-literature-20261006/results/ad-oxygen-literature-20261006/original_files/R10250/fulltext/fulltext__published__4356ccc0339c4477.pdf</t>
        </is>
      </c>
    </row>
    <row r="342" ht="48" customHeight="1">
      <c r="A342" s="2" t="inlineStr">
        <is>
          <t>R10290</t>
        </is>
      </c>
      <c r="B342" s="2" t="inlineStr">
        <is>
          <t>Gas nanobubble technology in wastewater treatment and anaerobic digestion</t>
        </is>
      </c>
      <c r="C342" s="2" t="inlineStr">
        <is>
          <t>2024</t>
        </is>
      </c>
      <c r="D342" s="2" t="inlineStr">
        <is>
          <t>2024</t>
        </is>
      </c>
      <c r="E342" s="2" t="inlineStr">
        <is>
          <t>10.34135/nbc.2100</t>
        </is>
      </c>
      <c r="F342" s="2" t="inlineStr">
        <is>
          <t>期刊文章</t>
        </is>
      </c>
      <c r="G342" s="2" t="inlineStr">
        <is>
          <t>1 直接向 AD 反应器或内部循环系统供氧</t>
        </is>
      </c>
      <c r="H342" s="2" t="inlineStr">
        <is>
          <t>是</t>
        </is>
      </c>
      <c r="I342" s="2" t="inlineStr">
        <is>
          <t>研究类</t>
        </is>
      </c>
      <c r="J342" s="2" t="inlineStr">
        <is>
          <t>是</t>
        </is>
      </c>
      <c r="K342" s="2" t="inlineStr">
        <is>
          <t>Nova Biotechnologica et Chimica</t>
        </is>
      </c>
      <c r="L342" s="2" t="inlineStr">
        <is>
          <t>Nova Biotechnologica et Chimica</t>
        </is>
      </c>
      <c r="M342" s="2" t="inlineStr">
        <is>
          <t>1338-6905</t>
        </is>
      </c>
      <c r="N342" s="2" t="inlineStr">
        <is>
          <t>1339-004X</t>
        </is>
      </c>
      <c r="O342" s="2" t="inlineStr">
        <is>
          <t>已取得核验全文</t>
        </is>
      </c>
      <c r="P342" s="2" t="inlineStr">
        <is>
          <t>是</t>
        </is>
      </c>
      <c r="Q342" s="2" t="inlineStr">
        <is>
          <t>当前无补充材料原件；沿用既有缺失/无附件证据，不据此认定无附件</t>
        </is>
      </c>
      <c r="R342" s="2" t="n">
        <v>2024</v>
      </c>
      <c r="S342" s="2" t="inlineStr">
        <is>
          <t>2025发布版（2024指标年）</t>
        </is>
      </c>
      <c r="T342" s="2" t="inlineStr"/>
      <c r="U342" s="2" t="inlineStr"/>
      <c r="V342" s="2" t="inlineStr">
        <is>
          <t>待核实</t>
        </is>
      </c>
      <c r="W342" s="2" t="inlineStr">
        <is>
          <t>待核实</t>
        </is>
      </c>
      <c r="X342" s="2" t="inlineStr">
        <is>
          <t>否</t>
        </is>
      </c>
      <c r="Y342" s="2" t="inlineStr"/>
      <c r="Z342" s="2" t="inlineStr">
        <is>
          <t>https://api.crossref.org/works/10.34135/nbc.2100</t>
        </is>
      </c>
      <c r="AA342" s="2" t="inlineStr">
        <is>
          <t>2024指标年JCR分区未核实；空白不能当非Q1。需要2025发布版/2024指标年的JCR全部学科导出。</t>
        </is>
      </c>
      <c r="AB342" s="2" t="inlineStr">
        <is>
          <t>original_files/R10290/fulltext/fulltext__published__0a63bc6c89e8dff8.pdf</t>
        </is>
      </c>
      <c r="AC342" s="2" t="inlineStr"/>
      <c r="AD342" s="2" t="inlineStr">
        <is>
          <t>https://github.com/Colliam-Vermilion/FirstCodex/blob/results/ad-oxygen-literature-20261006/results/ad-oxygen-literature-20261006/original_files/R10290/fulltext/fulltext__published__0a63bc6c89e8dff8.pdf</t>
        </is>
      </c>
    </row>
    <row r="343" ht="48" customHeight="1">
      <c r="A343" s="3" t="inlineStr">
        <is>
          <t>R10336</t>
        </is>
      </c>
      <c r="B343" s="3" t="inlineStr">
        <is>
          <t>Impact analysis of hydraulic residence time and dissolved oxygen on performance efficiency and microbial community in N, N-dimethylformamide wastewater treated by an AnSBR-ASBR</t>
        </is>
      </c>
      <c r="C343" s="3" t="inlineStr">
        <is>
          <t>2024</t>
        </is>
      </c>
      <c r="D343" s="3" t="inlineStr">
        <is>
          <t>2024</t>
        </is>
      </c>
      <c r="E343" s="3" t="inlineStr">
        <is>
          <t>10.1016/j.envpol.2024.123326</t>
        </is>
      </c>
      <c r="F343" s="3" t="inlineStr">
        <is>
          <t>期刊文章</t>
        </is>
      </c>
      <c r="G343" s="3" t="inlineStr">
        <is>
          <t>5 排除</t>
        </is>
      </c>
      <c r="H343" s="3" t="inlineStr">
        <is>
          <t>否</t>
        </is>
      </c>
      <c r="I343" s="3" t="inlineStr">
        <is>
          <t>研究类</t>
        </is>
      </c>
      <c r="J343" s="3" t="inlineStr">
        <is>
          <t>否</t>
        </is>
      </c>
      <c r="K343" s="3" t="inlineStr">
        <is>
          <t>ENVIRONMENTAL POLLUTION</t>
        </is>
      </c>
      <c r="L343" s="3" t="inlineStr">
        <is>
          <t>Environmental Pollution</t>
        </is>
      </c>
      <c r="M343" s="3" t="inlineStr">
        <is>
          <t>0269-7491</t>
        </is>
      </c>
      <c r="N343" s="3" t="inlineStr"/>
      <c r="O343" s="3" t="inlineStr">
        <is>
          <t>未取得全文</t>
        </is>
      </c>
      <c r="P343" s="3" t="inlineStr">
        <is>
          <t>否</t>
        </is>
      </c>
      <c r="Q343" s="3" t="inlineStr">
        <is>
          <t>当前无补充材料原件；沿用既有缺失/无附件证据，不据此认定无附件</t>
        </is>
      </c>
      <c r="R343" s="3" t="n">
        <v>2024</v>
      </c>
      <c r="S343" s="3" t="inlineStr">
        <is>
          <t>2025发布版（2024指标年）</t>
        </is>
      </c>
      <c r="T343" s="3" t="inlineStr">
        <is>
          <t>ENVIRONMENTAL SCIENCES</t>
        </is>
      </c>
      <c r="U343" s="3" t="inlineStr">
        <is>
          <t>ENVIRONMENTAL SCIENCES: Q1</t>
        </is>
      </c>
      <c r="V343" s="4" t="inlineStr">
        <is>
          <t>是</t>
        </is>
      </c>
      <c r="W343" s="4" t="inlineStr">
        <is>
          <t>是</t>
        </is>
      </c>
      <c r="X343" s="3" t="inlineStr">
        <is>
          <t>是</t>
        </is>
      </c>
      <c r="Y343" s="3" t="inlineStr">
        <is>
          <t>https://topj.lib.whu.edu.cn/search.asp?cat=esi&amp;ordertype=&amp;page=7&amp;q=&amp;xk=19</t>
        </is>
      </c>
      <c r="Z343" s="3" t="inlineStr">
        <is>
          <t>https://api.crossref.org/works/10.1016/j.envpol.2024.123326</t>
        </is>
      </c>
      <c r="AA34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343" s="3" t="inlineStr"/>
      <c r="AC343" s="3" t="inlineStr"/>
      <c r="AD343" s="3" t="inlineStr"/>
    </row>
    <row r="344" ht="48" customHeight="1">
      <c r="A344" s="2" t="inlineStr">
        <is>
          <t>R10372</t>
        </is>
      </c>
      <c r="B344" s="2" t="inlineStr">
        <is>
          <t>Influence of Aeration, Introduction of Probiotics, and Supply of Water on Landfill Gas Production—Study of Models</t>
        </is>
      </c>
      <c r="C344" s="2" t="inlineStr">
        <is>
          <t>2024</t>
        </is>
      </c>
      <c r="D344" s="2" t="inlineStr">
        <is>
          <t>2024</t>
        </is>
      </c>
      <c r="E344" s="2" t="inlineStr">
        <is>
          <t>10.3390/pr12091859</t>
        </is>
      </c>
      <c r="F344" s="2" t="inlineStr">
        <is>
          <t>期刊文章</t>
        </is>
      </c>
      <c r="G344" s="2" t="inlineStr">
        <is>
          <t>1 直接向 AD 反应器或内部循环系统供氧</t>
        </is>
      </c>
      <c r="H344" s="2" t="inlineStr">
        <is>
          <t>是</t>
        </is>
      </c>
      <c r="I344" s="2" t="inlineStr">
        <is>
          <t>研究类</t>
        </is>
      </c>
      <c r="J344" s="2" t="inlineStr">
        <is>
          <t>是</t>
        </is>
      </c>
      <c r="K344" s="2" t="inlineStr">
        <is>
          <t>Processes</t>
        </is>
      </c>
      <c r="L344" s="2" t="inlineStr">
        <is>
          <t>Processes</t>
        </is>
      </c>
      <c r="M344" s="2" t="inlineStr"/>
      <c r="N344" s="2" t="inlineStr">
        <is>
          <t>2227-9717</t>
        </is>
      </c>
      <c r="O344" s="2" t="inlineStr">
        <is>
          <t>已取得核验全文</t>
        </is>
      </c>
      <c r="P344" s="2" t="inlineStr">
        <is>
          <t>是</t>
        </is>
      </c>
      <c r="Q344" s="2" t="inlineStr">
        <is>
          <t>当前无补充材料原件；沿用既有缺失/无附件证据，不据此认定无附件</t>
        </is>
      </c>
      <c r="R344" s="2" t="n">
        <v>2024</v>
      </c>
      <c r="S344" s="2" t="inlineStr">
        <is>
          <t>2025发布版（2024指标年）</t>
        </is>
      </c>
      <c r="T344" s="2" t="inlineStr"/>
      <c r="U344" s="2" t="inlineStr"/>
      <c r="V344" s="2" t="inlineStr">
        <is>
          <t>待核实</t>
        </is>
      </c>
      <c r="W344" s="2" t="inlineStr">
        <is>
          <t>待核实</t>
        </is>
      </c>
      <c r="X344" s="2" t="inlineStr">
        <is>
          <t>否</t>
        </is>
      </c>
      <c r="Y344" s="2" t="inlineStr"/>
      <c r="Z344" s="2" t="inlineStr">
        <is>
          <t>https://api.crossref.org/works/10.3390/pr12091859</t>
        </is>
      </c>
      <c r="AA344" s="2" t="inlineStr">
        <is>
          <t>2024指标年JCR分区未核实；空白不能当非Q1。需要2025发布版/2024指标年的JCR全部学科导出。</t>
        </is>
      </c>
      <c r="AB344" s="2" t="inlineStr">
        <is>
          <t>original_files/R10372/fulltext/fulltext__published__750f30a55be12e7a.pdf</t>
        </is>
      </c>
      <c r="AC344" s="2" t="inlineStr"/>
      <c r="AD344" s="2" t="inlineStr">
        <is>
          <t>https://github.com/Colliam-Vermilion/FirstCodex/blob/results/ad-oxygen-literature-20261006/results/ad-oxygen-literature-20261006/original_files/R10372/fulltext/fulltext__published__750f30a55be12e7a.pdf</t>
        </is>
      </c>
    </row>
    <row r="345" ht="48" customHeight="1">
      <c r="A345" s="3" t="inlineStr">
        <is>
          <t>R10383</t>
        </is>
      </c>
      <c r="B345" s="3" t="inlineStr">
        <is>
          <t>Influence of water electrolysis on hydrolysis and methanogenesis stages of anaerobic digestion at room temperature: Kinetic and metabolic analysis</t>
        </is>
      </c>
      <c r="C345" s="3" t="inlineStr">
        <is>
          <t>2024</t>
        </is>
      </c>
      <c r="D345" s="3" t="inlineStr">
        <is>
          <t>2024</t>
        </is>
      </c>
      <c r="E345" s="3" t="inlineStr">
        <is>
          <t>10.1016/j.biortech.2023.130096</t>
        </is>
      </c>
      <c r="F345" s="3" t="inlineStr">
        <is>
          <t>期刊文章</t>
        </is>
      </c>
      <c r="G345" s="3" t="inlineStr">
        <is>
          <t>1 直接向 AD 反应器或内部循环系统供氧</t>
        </is>
      </c>
      <c r="H345" s="3" t="inlineStr">
        <is>
          <t>是</t>
        </is>
      </c>
      <c r="I345" s="3" t="inlineStr">
        <is>
          <t>研究类</t>
        </is>
      </c>
      <c r="J345" s="3" t="inlineStr">
        <is>
          <t>是</t>
        </is>
      </c>
      <c r="K345" s="3" t="inlineStr">
        <is>
          <t>BIORESOURCE TECHNOLOGY</t>
        </is>
      </c>
      <c r="L345" s="3" t="inlineStr">
        <is>
          <t>Bioresource Technology</t>
        </is>
      </c>
      <c r="M345" s="3" t="inlineStr">
        <is>
          <t>0960-8524</t>
        </is>
      </c>
      <c r="N345" s="3" t="inlineStr"/>
      <c r="O345" s="3" t="inlineStr">
        <is>
          <t>已取得核验全文</t>
        </is>
      </c>
      <c r="P345" s="3" t="inlineStr">
        <is>
          <t>是</t>
        </is>
      </c>
      <c r="Q345" s="3" t="inlineStr">
        <is>
          <t>已取得1件原格式补充材料；其中1件唯一关联待核实；完整性未确认</t>
        </is>
      </c>
      <c r="R345" s="3" t="n">
        <v>2024</v>
      </c>
      <c r="S345" s="3" t="inlineStr">
        <is>
          <t>2025发布版（2024指标年）</t>
        </is>
      </c>
      <c r="T345" s="3" t="inlineStr">
        <is>
          <t>AGRICULTURAL ENGINEERING; BIOTECHNOLOGY &amp; APPLIED MICROBIOLOGY; ENERGY &amp; FUELS</t>
        </is>
      </c>
      <c r="U345" s="3" t="inlineStr">
        <is>
          <t>AGRICULTURAL ENGINEERING: Q1; BIOTECHNOLOGY &amp; APPLIED MICROBIOLOGY: Q1; ENERGY &amp; FUELS: Q1</t>
        </is>
      </c>
      <c r="V345" s="4" t="inlineStr">
        <is>
          <t>是</t>
        </is>
      </c>
      <c r="W345" s="4" t="inlineStr">
        <is>
          <t>是</t>
        </is>
      </c>
      <c r="X345" s="3" t="inlineStr">
        <is>
          <t>是</t>
        </is>
      </c>
      <c r="Y345" s="3" t="inlineStr">
        <is>
          <t>https://topj.lib.whu.edu.cn/show.asp?cat=zk&amp;id=3976</t>
        </is>
      </c>
      <c r="Z345" s="3" t="inlineStr">
        <is>
          <t>https://api.crossref.org/works/10.1016/j.biortech.2023.130096</t>
        </is>
      </c>
      <c r="AA34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45" s="3" t="inlineStr">
        <is>
          <t>original_files/R10383/fulltext/fulltext__published__458e41b12a2105ff.pdf</t>
        </is>
      </c>
      <c r="AC345" s="3" t="inlineStr">
        <is>
          <t>original_files/R10383/supplementary/supplementary__4713f8dfe879de06.jpg</t>
        </is>
      </c>
      <c r="AD345" s="3" t="inlineStr">
        <is>
          <t>https://github.com/Colliam-Vermilion/FirstCodex/blob/results/ad-oxygen-literature-20261006/results/ad-oxygen-literature-20261006/original_files/R10383/fulltext/fulltext__published__458e41b12a2105ff.pdf</t>
        </is>
      </c>
    </row>
    <row r="346" ht="48" customHeight="1">
      <c r="A346" s="2" t="inlineStr">
        <is>
          <t>R10452</t>
        </is>
      </c>
      <c r="B346" s="2" t="inlineStr">
        <is>
          <t>Liquid Organic Fertilizer From Reduce Waste by Aerator and Bioinoculant Design</t>
        </is>
      </c>
      <c r="C346" s="2" t="inlineStr">
        <is>
          <t>2024</t>
        </is>
      </c>
      <c r="D346" s="2" t="inlineStr">
        <is>
          <t>2024</t>
        </is>
      </c>
      <c r="E346" s="2" t="inlineStr"/>
      <c r="F346" s="2" t="inlineStr">
        <is>
          <t>期刊文章</t>
        </is>
      </c>
      <c r="G346" s="2" t="inlineStr">
        <is>
          <t>5 排除</t>
        </is>
      </c>
      <c r="H346" s="2" t="inlineStr">
        <is>
          <t>否</t>
        </is>
      </c>
      <c r="I346" s="2" t="inlineStr">
        <is>
          <t>研究类</t>
        </is>
      </c>
      <c r="J346" s="2" t="inlineStr">
        <is>
          <t>否</t>
        </is>
      </c>
      <c r="K346" s="2" t="inlineStr">
        <is>
          <t>Proceeding International Conference on Health Polytechnic Ministry of Health Surabaya</t>
        </is>
      </c>
      <c r="L346" s="2" t="inlineStr">
        <is>
          <t>Proceeding International Conference on Health Polytechnic Ministry of Health Surabaya</t>
        </is>
      </c>
      <c r="M346" s="2" t="inlineStr"/>
      <c r="N346" s="2" t="inlineStr"/>
      <c r="O346" s="2" t="inlineStr">
        <is>
          <t>未取得全文</t>
        </is>
      </c>
      <c r="P346" s="2" t="inlineStr">
        <is>
          <t>否</t>
        </is>
      </c>
      <c r="Q346" s="2" t="inlineStr">
        <is>
          <t>当前无补充材料原件；沿用既有缺失/无附件证据，不据此认定无附件</t>
        </is>
      </c>
      <c r="R346" s="2" t="n">
        <v>2024</v>
      </c>
      <c r="S346" s="2" t="inlineStr">
        <is>
          <t>2025发布版（2024指标年）</t>
        </is>
      </c>
      <c r="T346" s="2" t="inlineStr"/>
      <c r="U346" s="2" t="inlineStr"/>
      <c r="V346" s="2" t="inlineStr">
        <is>
          <t>待核实</t>
        </is>
      </c>
      <c r="W346" s="2" t="inlineStr">
        <is>
          <t>待核实</t>
        </is>
      </c>
      <c r="X346" s="2" t="inlineStr">
        <is>
          <t>否</t>
        </is>
      </c>
      <c r="Y346" s="2" t="inlineStr"/>
      <c r="Z346" s="2" t="inlineStr"/>
      <c r="AA346" s="2" t="inlineStr">
        <is>
          <t>2024指标年JCR分区未核实；空白不能当非Q1。需要2025发布版/2024指标年的JCR全部学科导出。</t>
        </is>
      </c>
      <c r="AB346" s="2" t="inlineStr"/>
      <c r="AC346" s="2" t="inlineStr"/>
      <c r="AD346" s="2" t="inlineStr"/>
    </row>
    <row r="347" ht="48" customHeight="1">
      <c r="A347" s="3" t="inlineStr">
        <is>
          <t>R10525</t>
        </is>
      </c>
      <c r="B347" s="3" t="inlineStr">
        <is>
          <t>Microbial community dynamics and volatile fatty acid production during anaerobic digestion of microaerated food waste under different organic loadings</t>
        </is>
      </c>
      <c r="C347" s="3" t="inlineStr">
        <is>
          <t>2024</t>
        </is>
      </c>
      <c r="D347" s="3" t="inlineStr">
        <is>
          <t>2024</t>
        </is>
      </c>
      <c r="E347" s="3" t="inlineStr">
        <is>
          <t>10.1016/j.biteb.2024.101949</t>
        </is>
      </c>
      <c r="F347" s="3" t="inlineStr">
        <is>
          <t>期刊文章</t>
        </is>
      </c>
      <c r="G347" s="3" t="inlineStr">
        <is>
          <t>3 独立好氧或微好氧预处理</t>
        </is>
      </c>
      <c r="H347" s="3" t="inlineStr">
        <is>
          <t>是</t>
        </is>
      </c>
      <c r="I347" s="3" t="inlineStr">
        <is>
          <t>研究类</t>
        </is>
      </c>
      <c r="J347" s="3" t="inlineStr">
        <is>
          <t>是</t>
        </is>
      </c>
      <c r="K347" s="3" t="inlineStr">
        <is>
          <t>Bioresource Technology Reports</t>
        </is>
      </c>
      <c r="L347" s="3" t="inlineStr">
        <is>
          <t>Bioresource Technology Reports</t>
        </is>
      </c>
      <c r="M347" s="3" t="inlineStr">
        <is>
          <t>2589-014X</t>
        </is>
      </c>
      <c r="N347" s="3" t="inlineStr"/>
      <c r="O347" s="3" t="inlineStr">
        <is>
          <t>已取得核验全文</t>
        </is>
      </c>
      <c r="P347" s="3" t="inlineStr">
        <is>
          <t>是</t>
        </is>
      </c>
      <c r="Q347" s="3" t="inlineStr">
        <is>
          <t>当前无补充材料原件；沿用既有缺失/无附件证据，不据此认定无附件</t>
        </is>
      </c>
      <c r="R347" s="3" t="n">
        <v>2024</v>
      </c>
      <c r="S347" s="3" t="inlineStr">
        <is>
          <t>2025发布版（2024指标年）</t>
        </is>
      </c>
      <c r="T347" s="3" t="inlineStr"/>
      <c r="U347" s="3" t="inlineStr"/>
      <c r="V347" s="3" t="inlineStr">
        <is>
          <t>待核实</t>
        </is>
      </c>
      <c r="W347" s="3" t="inlineStr">
        <is>
          <t>待核实</t>
        </is>
      </c>
      <c r="X347" s="3" t="inlineStr">
        <is>
          <t>否</t>
        </is>
      </c>
      <c r="Y347" s="3" t="inlineStr"/>
      <c r="Z347" s="3" t="inlineStr">
        <is>
          <t>https://api.crossref.org/works/10.1016/j.biteb.2024.101949</t>
        </is>
      </c>
      <c r="AA347" s="3" t="inlineStr">
        <is>
          <t>2024指标年JCR分区未核实；空白不能当非Q1。需要2025发布版/2024指标年的JCR全部学科导出。</t>
        </is>
      </c>
      <c r="AB347" s="3" t="inlineStr">
        <is>
          <t>original_files/R10525/fulltext/fulltext__published__0249dd7b9749f3ef.pdf</t>
        </is>
      </c>
      <c r="AC347" s="3" t="inlineStr"/>
      <c r="AD347" s="3" t="inlineStr">
        <is>
          <t>https://github.com/Colliam-Vermilion/FirstCodex/blob/results/ad-oxygen-literature-20261006/results/ad-oxygen-literature-20261006/original_files/R10525/fulltext/fulltext__published__0249dd7b9749f3ef.pdf</t>
        </is>
      </c>
    </row>
    <row r="348" ht="48" customHeight="1">
      <c r="A348" s="2" t="inlineStr">
        <is>
          <t>R10586</t>
        </is>
      </c>
      <c r="B348" s="2" t="inlineStr">
        <is>
          <t>Nanobubble water promotes anaerobic digestion of high-solids cattle manure under mesophilic and thermophilic conditions</t>
        </is>
      </c>
      <c r="C348" s="2" t="inlineStr">
        <is>
          <t>2024</t>
        </is>
      </c>
      <c r="D348" s="2" t="inlineStr">
        <is>
          <t>2024</t>
        </is>
      </c>
      <c r="E348" s="2" t="inlineStr">
        <is>
          <t>10.1016/j.envres.2024.118721</t>
        </is>
      </c>
      <c r="F348" s="2" t="inlineStr">
        <is>
          <t>期刊文章</t>
        </is>
      </c>
      <c r="G348" s="2" t="inlineStr">
        <is>
          <t>1 直接向 AD 反应器或内部循环系统供氧</t>
        </is>
      </c>
      <c r="H348" s="2" t="inlineStr">
        <is>
          <t>是</t>
        </is>
      </c>
      <c r="I348" s="2" t="inlineStr">
        <is>
          <t>研究类</t>
        </is>
      </c>
      <c r="J348" s="2" t="inlineStr">
        <is>
          <t>是</t>
        </is>
      </c>
      <c r="K348" s="2" t="inlineStr">
        <is>
          <t>ENVIRONMENTAL RESEARCH</t>
        </is>
      </c>
      <c r="L348" s="2" t="inlineStr">
        <is>
          <t>Environmental Research</t>
        </is>
      </c>
      <c r="M348" s="2" t="inlineStr">
        <is>
          <t>0013-9351</t>
        </is>
      </c>
      <c r="N348" s="2" t="inlineStr"/>
      <c r="O348" s="2" t="inlineStr">
        <is>
          <t>已取得核验全文</t>
        </is>
      </c>
      <c r="P348" s="2" t="inlineStr">
        <is>
          <t>是</t>
        </is>
      </c>
      <c r="Q348" s="2" t="inlineStr">
        <is>
          <t>当前无补充材料原件；沿用既有缺失/无附件证据，不据此认定无附件</t>
        </is>
      </c>
      <c r="R348" s="2" t="n">
        <v>2024</v>
      </c>
      <c r="S348" s="2" t="inlineStr">
        <is>
          <t>2025发布版（2024指标年）</t>
        </is>
      </c>
      <c r="T348" s="2" t="inlineStr">
        <is>
          <t>ENVIRONMENTAL SCIENCES; PUBLIC, ENVIRONMENTAL &amp; OCCUPATIONAL HEALTH</t>
        </is>
      </c>
      <c r="U348" s="2" t="inlineStr">
        <is>
          <t>ENVIRONMENTAL SCIENCES: Q1; PUBLIC, ENVIRONMENTAL &amp; OCCUPATIONAL HEALTH: Q1</t>
        </is>
      </c>
      <c r="V348" s="4" t="inlineStr">
        <is>
          <t>是</t>
        </is>
      </c>
      <c r="W348" s="4" t="inlineStr">
        <is>
          <t>是</t>
        </is>
      </c>
      <c r="X348" s="2" t="inlineStr">
        <is>
          <t>是</t>
        </is>
      </c>
      <c r="Y348" s="2" t="inlineStr">
        <is>
          <t>https://topj.lib.whu.edu.cn/show.asp?cat=esi&amp;id=3602</t>
        </is>
      </c>
      <c r="Z348" s="2" t="inlineStr">
        <is>
          <t>https://api.crossref.org/works/10.1016/j.envres.2024.118721</t>
        </is>
      </c>
      <c r="AA34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48" s="2" t="inlineStr">
        <is>
          <t>original_files/R10586/fulltext/fulltext__published__9c63a9f190c6375d.pdf</t>
        </is>
      </c>
      <c r="AC348" s="2" t="inlineStr"/>
      <c r="AD348" s="2" t="inlineStr">
        <is>
          <t>https://github.com/Colliam-Vermilion/FirstCodex/blob/results/ad-oxygen-literature-20261006/results/ad-oxygen-literature-20261006/original_files/R10586/fulltext/fulltext__published__9c63a9f190c6375d.pdf</t>
        </is>
      </c>
    </row>
    <row r="349" ht="48" customHeight="1">
      <c r="A349" s="3" t="inlineStr">
        <is>
          <t>R10605</t>
        </is>
      </c>
      <c r="B349" s="3" t="inlineStr">
        <is>
          <t>Non-targeted facilitation of primary sludge anaerobic fermentation by micro-aeration and the simultaneous nutrients transformations</t>
        </is>
      </c>
      <c r="C349" s="3" t="inlineStr">
        <is>
          <t>2024</t>
        </is>
      </c>
      <c r="D349" s="3" t="inlineStr">
        <is>
          <t>2024</t>
        </is>
      </c>
      <c r="E349" s="3" t="inlineStr">
        <is>
          <t>10.1016/j.cej.2024.151930</t>
        </is>
      </c>
      <c r="F349" s="3" t="inlineStr">
        <is>
          <t>期刊文章</t>
        </is>
      </c>
      <c r="G349" s="3" t="inlineStr">
        <is>
          <t>2 向厌氧水解或产酸阶段供氧</t>
        </is>
      </c>
      <c r="H349" s="3" t="inlineStr">
        <is>
          <t>是</t>
        </is>
      </c>
      <c r="I349" s="3" t="inlineStr">
        <is>
          <t>研究类</t>
        </is>
      </c>
      <c r="J349" s="3" t="inlineStr">
        <is>
          <t>是</t>
        </is>
      </c>
      <c r="K349" s="3" t="inlineStr">
        <is>
          <t>Chemical Engineering Journal</t>
        </is>
      </c>
      <c r="L349" s="3" t="inlineStr">
        <is>
          <t>Chemical Engineering Journal</t>
        </is>
      </c>
      <c r="M349" s="3" t="inlineStr">
        <is>
          <t>1385-8947</t>
        </is>
      </c>
      <c r="N349" s="3" t="inlineStr"/>
      <c r="O349" s="3" t="inlineStr">
        <is>
          <t>已取得核验全文</t>
        </is>
      </c>
      <c r="P349" s="3" t="inlineStr">
        <is>
          <t>是</t>
        </is>
      </c>
      <c r="Q349" s="3" t="inlineStr">
        <is>
          <t>已取得1件原格式补充材料；其中0件唯一关联待核实；完整性未确认</t>
        </is>
      </c>
      <c r="R349" s="3" t="n">
        <v>2024</v>
      </c>
      <c r="S349" s="3" t="inlineStr">
        <is>
          <t>2025发布版（2024指标年）</t>
        </is>
      </c>
      <c r="T349" s="3" t="inlineStr">
        <is>
          <t>ENGINEERING, CHEMICAL; ENGINEERING, ENVIRONMENTAL</t>
        </is>
      </c>
      <c r="U349" s="3" t="inlineStr">
        <is>
          <t>ENGINEERING, CHEMICAL: Q1; ENGINEERING, ENVIRONMENTAL: Q1</t>
        </is>
      </c>
      <c r="V349" s="4" t="inlineStr">
        <is>
          <t>是</t>
        </is>
      </c>
      <c r="W349" s="4" t="inlineStr">
        <is>
          <t>是</t>
        </is>
      </c>
      <c r="X349" s="3" t="inlineStr">
        <is>
          <t>是</t>
        </is>
      </c>
      <c r="Y349" s="3" t="inlineStr">
        <is>
          <t>https://topj.lib.whu.edu.cn/show.asp?cat=zk&amp;id=2740</t>
        </is>
      </c>
      <c r="Z349" s="3" t="inlineStr">
        <is>
          <t>https://api.crossref.org/works/10.1016/j.cej.2024.151930</t>
        </is>
      </c>
      <c r="AA34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49" s="3" t="inlineStr">
        <is>
          <t>original_files/R10605/fulltext/fulltext__published__ce70e58c92e62619.pdf</t>
        </is>
      </c>
      <c r="AC349" s="3" t="inlineStr">
        <is>
          <t>original_files/R10605/supplementary/supplementary__192d3c369618c246.docx</t>
        </is>
      </c>
      <c r="AD349" s="3" t="inlineStr">
        <is>
          <t>https://github.com/Colliam-Vermilion/FirstCodex/blob/results/ad-oxygen-literature-20261006/results/ad-oxygen-literature-20261006/original_files/R10605/fulltext/fulltext__published__ce70e58c92e62619.pdf</t>
        </is>
      </c>
    </row>
    <row r="350" ht="48" customHeight="1">
      <c r="A350" s="2" t="inlineStr">
        <is>
          <t>R10714</t>
        </is>
      </c>
      <c r="B350" s="2" t="inlineStr">
        <is>
          <t>Process mechanisms of nanobubble technology enhanced hydrolytic acidification of anaerobic digestion of lignocellulosic biomass</t>
        </is>
      </c>
      <c r="C350" s="2" t="inlineStr">
        <is>
          <t>2024</t>
        </is>
      </c>
      <c r="D350" s="2" t="inlineStr">
        <is>
          <t>2024</t>
        </is>
      </c>
      <c r="E350" s="2" t="inlineStr">
        <is>
          <t>10.1016/j.cej.2023.147956</t>
        </is>
      </c>
      <c r="F350" s="2" t="inlineStr">
        <is>
          <t>期刊文章</t>
        </is>
      </c>
      <c r="G350" s="2" t="inlineStr">
        <is>
          <t>2 向厌氧水解或产酸阶段供氧</t>
        </is>
      </c>
      <c r="H350" s="2" t="inlineStr">
        <is>
          <t>是</t>
        </is>
      </c>
      <c r="I350" s="2" t="inlineStr">
        <is>
          <t>研究类</t>
        </is>
      </c>
      <c r="J350" s="2" t="inlineStr">
        <is>
          <t>是</t>
        </is>
      </c>
      <c r="K350" s="2" t="inlineStr">
        <is>
          <t>Chemical Engineering Journal</t>
        </is>
      </c>
      <c r="L350" s="2" t="inlineStr">
        <is>
          <t>Chemical Engineering Journal</t>
        </is>
      </c>
      <c r="M350" s="2" t="inlineStr">
        <is>
          <t>1385-8947</t>
        </is>
      </c>
      <c r="N350" s="2" t="inlineStr"/>
      <c r="O350" s="2" t="inlineStr">
        <is>
          <t>已取得核验全文</t>
        </is>
      </c>
      <c r="P350" s="2" t="inlineStr">
        <is>
          <t>是</t>
        </is>
      </c>
      <c r="Q350" s="2" t="inlineStr">
        <is>
          <t>当前无补充材料原件；沿用既有缺失/无附件证据，不据此认定无附件</t>
        </is>
      </c>
      <c r="R350" s="2" t="n">
        <v>2024</v>
      </c>
      <c r="S350" s="2" t="inlineStr">
        <is>
          <t>2025发布版（2024指标年）</t>
        </is>
      </c>
      <c r="T350" s="2" t="inlineStr">
        <is>
          <t>ENGINEERING, CHEMICAL; ENGINEERING, ENVIRONMENTAL</t>
        </is>
      </c>
      <c r="U350" s="2" t="inlineStr">
        <is>
          <t>ENGINEERING, CHEMICAL: Q1; ENGINEERING, ENVIRONMENTAL: Q1</t>
        </is>
      </c>
      <c r="V350" s="4" t="inlineStr">
        <is>
          <t>是</t>
        </is>
      </c>
      <c r="W350" s="4" t="inlineStr">
        <is>
          <t>是</t>
        </is>
      </c>
      <c r="X350" s="2" t="inlineStr">
        <is>
          <t>是</t>
        </is>
      </c>
      <c r="Y350" s="2" t="inlineStr">
        <is>
          <t>https://topj.lib.whu.edu.cn/show.asp?cat=zk&amp;id=2740</t>
        </is>
      </c>
      <c r="Z350" s="2" t="inlineStr">
        <is>
          <t>https://api.crossref.org/works/10.1016/j.cej.2023.147956</t>
        </is>
      </c>
      <c r="AA35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50" s="2" t="inlineStr">
        <is>
          <t>original_files/R10714/fulltext/fulltext__accepted__7b30471378196b17.pdf</t>
        </is>
      </c>
      <c r="AC350" s="2" t="inlineStr"/>
      <c r="AD350" s="2" t="inlineStr">
        <is>
          <t>https://github.com/Colliam-Vermilion/FirstCodex/blob/results/ad-oxygen-literature-20261006/results/ad-oxygen-literature-20261006/original_files/R10714/fulltext/fulltext__accepted__7b30471378196b17.pdf</t>
        </is>
      </c>
    </row>
    <row r="351" ht="48" customHeight="1">
      <c r="A351" s="3" t="inlineStr">
        <is>
          <t>R10724</t>
        </is>
      </c>
      <c r="B351" s="3" t="inlineStr">
        <is>
          <t>Protection of the Purification Station Thermal Engines Against the Effects of Hydrogen Sulfide by the Coupling of a Chemical and Biological Treatment of the Produced Biogas</t>
        </is>
      </c>
      <c r="C351" s="3" t="inlineStr">
        <is>
          <t>2024</t>
        </is>
      </c>
      <c r="D351" s="3" t="inlineStr">
        <is>
          <t>2024</t>
        </is>
      </c>
      <c r="E351" s="3" t="inlineStr">
        <is>
          <t>10.12912/27197050/181210</t>
        </is>
      </c>
      <c r="F351" s="3" t="inlineStr">
        <is>
          <t>期刊文章</t>
        </is>
      </c>
      <c r="G351" s="3" t="inlineStr">
        <is>
          <t>1 直接向 AD 反应器或内部循环系统供氧</t>
        </is>
      </c>
      <c r="H351" s="3" t="inlineStr">
        <is>
          <t>是</t>
        </is>
      </c>
      <c r="I351" s="3" t="inlineStr">
        <is>
          <t>研究类</t>
        </is>
      </c>
      <c r="J351" s="3" t="inlineStr">
        <is>
          <t>是</t>
        </is>
      </c>
      <c r="K351" s="3" t="inlineStr">
        <is>
          <t>Ecological Engineering &amp; Environmental Technology</t>
        </is>
      </c>
      <c r="L351" s="3" t="inlineStr">
        <is>
          <t>Ecological Engineering &amp;amp; Environmental Technology</t>
        </is>
      </c>
      <c r="M351" s="3" t="inlineStr"/>
      <c r="N351" s="3" t="inlineStr">
        <is>
          <t>2719-7050</t>
        </is>
      </c>
      <c r="O351" s="3" t="inlineStr">
        <is>
          <t>已取得核验全文</t>
        </is>
      </c>
      <c r="P351" s="3" t="inlineStr">
        <is>
          <t>是</t>
        </is>
      </c>
      <c r="Q351" s="3" t="inlineStr">
        <is>
          <t>当前无补充材料原件；沿用既有缺失/无附件证据，不据此认定无附件</t>
        </is>
      </c>
      <c r="R351" s="3" t="n">
        <v>2024</v>
      </c>
      <c r="S351" s="3" t="inlineStr">
        <is>
          <t>2025发布版（2024指标年）</t>
        </is>
      </c>
      <c r="T351" s="3" t="inlineStr"/>
      <c r="U351" s="3" t="inlineStr"/>
      <c r="V351" s="3" t="inlineStr">
        <is>
          <t>待核实</t>
        </is>
      </c>
      <c r="W351" s="3" t="inlineStr">
        <is>
          <t>待核实</t>
        </is>
      </c>
      <c r="X351" s="3" t="inlineStr">
        <is>
          <t>否</t>
        </is>
      </c>
      <c r="Y351" s="3" t="inlineStr"/>
      <c r="Z351" s="3" t="inlineStr">
        <is>
          <t>https://api.crossref.org/works/10.12912/27197050/181210</t>
        </is>
      </c>
      <c r="AA351" s="3" t="inlineStr">
        <is>
          <t>2024指标年JCR分区未核实；空白不能当非Q1。需要2025发布版/2024指标年的JCR全部学科导出。</t>
        </is>
      </c>
      <c r="AB351" s="3" t="inlineStr">
        <is>
          <t>original_files/R10724/fulltext/fulltext__published__cfdc1bcb235acdd7.pdf</t>
        </is>
      </c>
      <c r="AC351" s="3" t="inlineStr"/>
      <c r="AD351" s="3" t="inlineStr">
        <is>
          <t>https://github.com/Colliam-Vermilion/FirstCodex/blob/results/ad-oxygen-literature-20261006/results/ad-oxygen-literature-20261006/original_files/R10724/fulltext/fulltext__published__cfdc1bcb235acdd7.pdf</t>
        </is>
      </c>
    </row>
    <row r="352" ht="48" customHeight="1">
      <c r="A352" s="2" t="inlineStr">
        <is>
          <t>R10761</t>
        </is>
      </c>
      <c r="B352" s="2" t="inlineStr">
        <is>
          <t>Role of polylactic acid microplastics during anaerobic co-digestion of cow manure and Chinese cabbage waste enhanced by nanobubble</t>
        </is>
      </c>
      <c r="C352" s="2" t="inlineStr">
        <is>
          <t>2024</t>
        </is>
      </c>
      <c r="D352" s="2" t="inlineStr">
        <is>
          <t>2024</t>
        </is>
      </c>
      <c r="E352" s="2" t="inlineStr">
        <is>
          <t>10.1016/j.chemosphere.2024.143639</t>
        </is>
      </c>
      <c r="F352" s="2" t="inlineStr">
        <is>
          <t>期刊文章</t>
        </is>
      </c>
      <c r="G352" s="2" t="inlineStr">
        <is>
          <t>1 直接向 AD 反应器或内部循环系统供氧</t>
        </is>
      </c>
      <c r="H352" s="2" t="inlineStr">
        <is>
          <t>是</t>
        </is>
      </c>
      <c r="I352" s="2" t="inlineStr">
        <is>
          <t>研究类</t>
        </is>
      </c>
      <c r="J352" s="2" t="inlineStr">
        <is>
          <t>是</t>
        </is>
      </c>
      <c r="K352" s="2" t="inlineStr">
        <is>
          <t>Chemosphere</t>
        </is>
      </c>
      <c r="L352" s="2" t="inlineStr">
        <is>
          <t>Chemosphere</t>
        </is>
      </c>
      <c r="M352" s="2" t="inlineStr">
        <is>
          <t>0045-6535</t>
        </is>
      </c>
      <c r="N352" s="2" t="inlineStr"/>
      <c r="O352" s="2" t="inlineStr">
        <is>
          <t>已取得核验全文</t>
        </is>
      </c>
      <c r="P352" s="2" t="inlineStr">
        <is>
          <t>是</t>
        </is>
      </c>
      <c r="Q352" s="2" t="inlineStr">
        <is>
          <t>已取得1件原格式补充材料；其中0件唯一关联待核实；完整性未确认</t>
        </is>
      </c>
      <c r="R352" s="2" t="n">
        <v>2024</v>
      </c>
      <c r="S352" s="2" t="inlineStr">
        <is>
          <t>2025发布版（2024指标年）</t>
        </is>
      </c>
      <c r="T352" s="2" t="inlineStr"/>
      <c r="U352" s="2" t="inlineStr"/>
      <c r="V352" s="2" t="inlineStr">
        <is>
          <t>待核实</t>
        </is>
      </c>
      <c r="W352" s="2" t="inlineStr">
        <is>
          <t>待核实</t>
        </is>
      </c>
      <c r="X352" s="2" t="inlineStr">
        <is>
          <t>否</t>
        </is>
      </c>
      <c r="Y352" s="2" t="inlineStr"/>
      <c r="Z352" s="2" t="inlineStr">
        <is>
          <t>https://api.crossref.org/works/10.1016/j.chemosphere.2024.143639</t>
        </is>
      </c>
      <c r="AA352" s="2" t="inlineStr">
        <is>
          <t>2024指标年JCR分区未核实；空白不能当非Q1。需要2025发布版/2024指标年的JCR全部学科导出。</t>
        </is>
      </c>
      <c r="AB352" s="2" t="inlineStr">
        <is>
          <t>original_files/R10761/fulltext/fulltext__published__29a4d8ee7e26c7d4.pdf</t>
        </is>
      </c>
      <c r="AC352" s="2" t="inlineStr">
        <is>
          <t>original_files/R10761/supplementary/supplementary__394c49ff288412f3.docx</t>
        </is>
      </c>
      <c r="AD352" s="2" t="inlineStr">
        <is>
          <t>https://github.com/Colliam-Vermilion/FirstCodex/blob/results/ad-oxygen-literature-20261006/results/ad-oxygen-literature-20261006/original_files/R10761/fulltext/fulltext__published__29a4d8ee7e26c7d4.pdf</t>
        </is>
      </c>
    </row>
    <row r="353" ht="48" customHeight="1">
      <c r="A353" s="3" t="inlineStr">
        <is>
          <t>R10778</t>
        </is>
      </c>
      <c r="B353" s="3" t="inlineStr">
        <is>
          <t>Sequential anaerobic–intermittently aerated treatment of textile and domestic wastewater</t>
        </is>
      </c>
      <c r="C353" s="3" t="inlineStr">
        <is>
          <t>2024</t>
        </is>
      </c>
      <c r="D353" s="3" t="inlineStr">
        <is>
          <t>2024</t>
        </is>
      </c>
      <c r="E353" s="3" t="inlineStr">
        <is>
          <t>10.2166/wpt.2024.283</t>
        </is>
      </c>
      <c r="F353" s="3" t="inlineStr">
        <is>
          <t>期刊文章</t>
        </is>
      </c>
      <c r="G353" s="3" t="inlineStr">
        <is>
          <t>5 排除</t>
        </is>
      </c>
      <c r="H353" s="3" t="inlineStr">
        <is>
          <t>否</t>
        </is>
      </c>
      <c r="I353" s="3" t="inlineStr">
        <is>
          <t>研究类</t>
        </is>
      </c>
      <c r="J353" s="3" t="inlineStr">
        <is>
          <t>否</t>
        </is>
      </c>
      <c r="K353" s="3" t="inlineStr">
        <is>
          <t>Water Practice &amp; Technology</t>
        </is>
      </c>
      <c r="L353" s="3" t="inlineStr">
        <is>
          <t>Water Practice &amp;amp; Technology</t>
        </is>
      </c>
      <c r="M353" s="3" t="inlineStr"/>
      <c r="N353" s="3" t="inlineStr">
        <is>
          <t>1751-231X</t>
        </is>
      </c>
      <c r="O353" s="3" t="inlineStr">
        <is>
          <t>未取得全文</t>
        </is>
      </c>
      <c r="P353" s="3" t="inlineStr">
        <is>
          <t>否</t>
        </is>
      </c>
      <c r="Q353" s="3" t="inlineStr">
        <is>
          <t>当前无补充材料原件；沿用既有缺失/无附件证据，不据此认定无附件</t>
        </is>
      </c>
      <c r="R353" s="3" t="n">
        <v>2024</v>
      </c>
      <c r="S353" s="3" t="inlineStr">
        <is>
          <t>2025发布版（2024指标年）</t>
        </is>
      </c>
      <c r="T353" s="3" t="inlineStr"/>
      <c r="U353" s="3" t="inlineStr"/>
      <c r="V353" s="3" t="inlineStr">
        <is>
          <t>待核实</t>
        </is>
      </c>
      <c r="W353" s="3" t="inlineStr">
        <is>
          <t>待核实</t>
        </is>
      </c>
      <c r="X353" s="3" t="inlineStr">
        <is>
          <t>否</t>
        </is>
      </c>
      <c r="Y353" s="3" t="inlineStr"/>
      <c r="Z353" s="3" t="inlineStr">
        <is>
          <t>https://api.crossref.org/works/10.2166/wpt.2024.283</t>
        </is>
      </c>
      <c r="AA353" s="3" t="inlineStr">
        <is>
          <t>2024指标年JCR分区未核实；空白不能当非Q1。需要2025发布版/2024指标年的JCR全部学科导出。</t>
        </is>
      </c>
      <c r="AB353" s="3" t="inlineStr"/>
      <c r="AC353" s="3" t="inlineStr"/>
      <c r="AD353" s="3" t="inlineStr"/>
    </row>
    <row r="354" ht="48" customHeight="1">
      <c r="A354" s="2" t="inlineStr">
        <is>
          <t>R10819</t>
        </is>
      </c>
      <c r="B354" s="2" t="inlineStr">
        <is>
          <t>Study on synergistic effect of carrier combined with micro-aeration on anaerobic digestion of food waste</t>
        </is>
      </c>
      <c r="C354" s="2" t="inlineStr">
        <is>
          <t>2024</t>
        </is>
      </c>
      <c r="D354" s="2" t="inlineStr">
        <is>
          <t>2024</t>
        </is>
      </c>
      <c r="E354" s="2" t="inlineStr">
        <is>
          <t>10.1016/j.cej.2024.155731</t>
        </is>
      </c>
      <c r="F354" s="2" t="inlineStr">
        <is>
          <t>期刊文章</t>
        </is>
      </c>
      <c r="G354" s="2" t="inlineStr">
        <is>
          <t>1 直接向 AD 反应器或内部循环系统供氧</t>
        </is>
      </c>
      <c r="H354" s="2" t="inlineStr">
        <is>
          <t>是</t>
        </is>
      </c>
      <c r="I354" s="2" t="inlineStr">
        <is>
          <t>研究类</t>
        </is>
      </c>
      <c r="J354" s="2" t="inlineStr">
        <is>
          <t>是</t>
        </is>
      </c>
      <c r="K354" s="2" t="inlineStr">
        <is>
          <t>Chemical Engineering Journal</t>
        </is>
      </c>
      <c r="L354" s="2" t="inlineStr">
        <is>
          <t>Chemical Engineering Journal</t>
        </is>
      </c>
      <c r="M354" s="2" t="inlineStr">
        <is>
          <t>1385-8947</t>
        </is>
      </c>
      <c r="N354" s="2" t="inlineStr"/>
      <c r="O354" s="2" t="inlineStr">
        <is>
          <t>已取得核验全文</t>
        </is>
      </c>
      <c r="P354" s="2" t="inlineStr">
        <is>
          <t>是</t>
        </is>
      </c>
      <c r="Q354" s="2" t="inlineStr">
        <is>
          <t>已取得1件原格式补充材料；其中0件唯一关联待核实；完整性未确认</t>
        </is>
      </c>
      <c r="R354" s="2" t="n">
        <v>2024</v>
      </c>
      <c r="S354" s="2" t="inlineStr">
        <is>
          <t>2025发布版（2024指标年）</t>
        </is>
      </c>
      <c r="T354" s="2" t="inlineStr">
        <is>
          <t>ENGINEERING, CHEMICAL; ENGINEERING, ENVIRONMENTAL</t>
        </is>
      </c>
      <c r="U354" s="2" t="inlineStr">
        <is>
          <t>ENGINEERING, CHEMICAL: Q1; ENGINEERING, ENVIRONMENTAL: Q1</t>
        </is>
      </c>
      <c r="V354" s="4" t="inlineStr">
        <is>
          <t>是</t>
        </is>
      </c>
      <c r="W354" s="4" t="inlineStr">
        <is>
          <t>是</t>
        </is>
      </c>
      <c r="X354" s="2" t="inlineStr">
        <is>
          <t>是</t>
        </is>
      </c>
      <c r="Y354" s="2" t="inlineStr">
        <is>
          <t>https://topj.lib.whu.edu.cn/show.asp?cat=zk&amp;id=2740</t>
        </is>
      </c>
      <c r="Z354" s="2" t="inlineStr">
        <is>
          <t>https://api.crossref.org/works/10.1016/j.cej.2024.155731</t>
        </is>
      </c>
      <c r="AA35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54" s="2" t="inlineStr">
        <is>
          <t>original_files/R10819/fulltext/fulltext__published__1a0f26d4c217458e.pdf</t>
        </is>
      </c>
      <c r="AC354" s="2" t="inlineStr">
        <is>
          <t>original_files/R10819/supplementary/supplementary__44ceef1a74711345.docx</t>
        </is>
      </c>
      <c r="AD354" s="2" t="inlineStr">
        <is>
          <t>https://github.com/Colliam-Vermilion/FirstCodex/blob/results/ad-oxygen-literature-20261006/results/ad-oxygen-literature-20261006/original_files/R10819/fulltext/fulltext__published__1a0f26d4c217458e.pdf</t>
        </is>
      </c>
    </row>
    <row r="355" ht="48" customHeight="1">
      <c r="A355" s="3" t="inlineStr">
        <is>
          <t>R10833</t>
        </is>
      </c>
      <c r="B355" s="3" t="inlineStr">
        <is>
          <t>Synchronous improvement of methane production and digestate dewaterability in sludge anaerobic digestion by nanobubble</t>
        </is>
      </c>
      <c r="C355" s="3" t="inlineStr">
        <is>
          <t>2024</t>
        </is>
      </c>
      <c r="D355" s="3" t="inlineStr">
        <is>
          <t>2024</t>
        </is>
      </c>
      <c r="E355" s="3" t="inlineStr">
        <is>
          <t>10.1016/j.biortech.2024.130791</t>
        </is>
      </c>
      <c r="F355" s="3" t="inlineStr">
        <is>
          <t>期刊文章</t>
        </is>
      </c>
      <c r="G355" s="3" t="inlineStr">
        <is>
          <t>1 直接向 AD 反应器或内部循环系统供氧</t>
        </is>
      </c>
      <c r="H355" s="3" t="inlineStr">
        <is>
          <t>是</t>
        </is>
      </c>
      <c r="I355" s="3" t="inlineStr">
        <is>
          <t>研究类</t>
        </is>
      </c>
      <c r="J355" s="3" t="inlineStr">
        <is>
          <t>是</t>
        </is>
      </c>
      <c r="K355" s="3" t="inlineStr">
        <is>
          <t>BIORESOURCE TECHNOLOGY</t>
        </is>
      </c>
      <c r="L355" s="3" t="inlineStr">
        <is>
          <t>Bioresource Technology</t>
        </is>
      </c>
      <c r="M355" s="3" t="inlineStr">
        <is>
          <t>0960-8524</t>
        </is>
      </c>
      <c r="N355" s="3" t="inlineStr"/>
      <c r="O355" s="3" t="inlineStr">
        <is>
          <t>已取得核验全文</t>
        </is>
      </c>
      <c r="P355" s="3" t="inlineStr">
        <is>
          <t>是</t>
        </is>
      </c>
      <c r="Q355" s="3" t="inlineStr">
        <is>
          <t>已取得1件原格式补充材料；其中0件唯一关联待核实；完整性未确认</t>
        </is>
      </c>
      <c r="R355" s="3" t="n">
        <v>2024</v>
      </c>
      <c r="S355" s="3" t="inlineStr">
        <is>
          <t>2025发布版（2024指标年）</t>
        </is>
      </c>
      <c r="T355" s="3" t="inlineStr">
        <is>
          <t>AGRICULTURAL ENGINEERING; BIOTECHNOLOGY &amp; APPLIED MICROBIOLOGY; ENERGY &amp; FUELS</t>
        </is>
      </c>
      <c r="U355" s="3" t="inlineStr">
        <is>
          <t>AGRICULTURAL ENGINEERING: Q1; BIOTECHNOLOGY &amp; APPLIED MICROBIOLOGY: Q1; ENERGY &amp; FUELS: Q1</t>
        </is>
      </c>
      <c r="V355" s="4" t="inlineStr">
        <is>
          <t>是</t>
        </is>
      </c>
      <c r="W355" s="4" t="inlineStr">
        <is>
          <t>是</t>
        </is>
      </c>
      <c r="X355" s="3" t="inlineStr">
        <is>
          <t>是</t>
        </is>
      </c>
      <c r="Y355" s="3" t="inlineStr">
        <is>
          <t>https://topj.lib.whu.edu.cn/show.asp?cat=zk&amp;id=3976</t>
        </is>
      </c>
      <c r="Z355" s="3" t="inlineStr">
        <is>
          <t>https://api.crossref.org/works/10.1016/j.biortech.2024.130791</t>
        </is>
      </c>
      <c r="AA35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55" s="3" t="inlineStr">
        <is>
          <t>original_files/R10833/fulltext/fulltext__published__e04a369444e929d4.pdf</t>
        </is>
      </c>
      <c r="AC355" s="3" t="inlineStr">
        <is>
          <t>original_files/R10833/supplementary/supplementary__978850b2399a4b4b.docx</t>
        </is>
      </c>
      <c r="AD355" s="3" t="inlineStr">
        <is>
          <t>https://github.com/Colliam-Vermilion/FirstCodex/blob/results/ad-oxygen-literature-20261006/results/ad-oxygen-literature-20261006/original_files/R10833/fulltext/fulltext__published__e04a369444e929d4.pdf</t>
        </is>
      </c>
    </row>
    <row r="356" ht="48" customHeight="1">
      <c r="A356" s="2" t="inlineStr">
        <is>
          <t>R11038</t>
        </is>
      </c>
      <c r="B356" s="2" t="inlineStr">
        <is>
          <t>A novel additive for enhancing biomass energy production from agro-industrial wastes: synthesis of hydrophobic nanoporous silica aerogel and its effect on methane production</t>
        </is>
      </c>
      <c r="C356" s="2" t="inlineStr">
        <is>
          <t>2025</t>
        </is>
      </c>
      <c r="D356" s="2" t="inlineStr">
        <is>
          <t>2025</t>
        </is>
      </c>
      <c r="E356" s="2" t="inlineStr">
        <is>
          <t>10.1007/s13399-024-05566-6</t>
        </is>
      </c>
      <c r="F356" s="2" t="inlineStr">
        <is>
          <t>期刊文章</t>
        </is>
      </c>
      <c r="G356" s="2" t="inlineStr">
        <is>
          <t>5 排除</t>
        </is>
      </c>
      <c r="H356" s="2" t="inlineStr">
        <is>
          <t>否</t>
        </is>
      </c>
      <c r="I356" s="2" t="inlineStr">
        <is>
          <t>研究类</t>
        </is>
      </c>
      <c r="J356" s="2" t="inlineStr">
        <is>
          <t>否</t>
        </is>
      </c>
      <c r="K356" s="2" t="inlineStr">
        <is>
          <t>Biomass Conversion and Biorefinery</t>
        </is>
      </c>
      <c r="L356" s="2" t="inlineStr">
        <is>
          <t>Biomass Conversion and Biorefinery</t>
        </is>
      </c>
      <c r="M356" s="2" t="inlineStr">
        <is>
          <t>2190-6815</t>
        </is>
      </c>
      <c r="N356" s="2" t="inlineStr">
        <is>
          <t>2190-6823</t>
        </is>
      </c>
      <c r="O356" s="2" t="inlineStr">
        <is>
          <t>未取得全文</t>
        </is>
      </c>
      <c r="P356" s="2" t="inlineStr">
        <is>
          <t>否</t>
        </is>
      </c>
      <c r="Q356" s="2" t="inlineStr">
        <is>
          <t>当前无补充材料原件；沿用既有缺失/无附件证据，不据此认定无附件</t>
        </is>
      </c>
      <c r="R356" s="2" t="n">
        <v>2024</v>
      </c>
      <c r="S356" s="2" t="inlineStr">
        <is>
          <t>2025发布版（2024指标年）</t>
        </is>
      </c>
      <c r="T356" s="2" t="inlineStr"/>
      <c r="U356" s="2" t="inlineStr"/>
      <c r="V356" s="2" t="inlineStr">
        <is>
          <t>待核实</t>
        </is>
      </c>
      <c r="W356" s="2" t="inlineStr">
        <is>
          <t>待核实</t>
        </is>
      </c>
      <c r="X356" s="2" t="inlineStr">
        <is>
          <t>否</t>
        </is>
      </c>
      <c r="Y356" s="2" t="inlineStr"/>
      <c r="Z356" s="2" t="inlineStr">
        <is>
          <t>https://api.crossref.org/works/10.1007/s13399-024-05566-6</t>
        </is>
      </c>
      <c r="AA356" s="2" t="inlineStr">
        <is>
          <t>2024指标年JCR分区未核实；空白不能当非Q1。需要2025发布版/2024指标年的JCR全部学科导出。</t>
        </is>
      </c>
      <c r="AB356" s="2" t="inlineStr"/>
      <c r="AC356" s="2" t="inlineStr"/>
      <c r="AD356" s="2" t="inlineStr"/>
    </row>
    <row r="357" ht="48" customHeight="1">
      <c r="A357" s="3" t="inlineStr">
        <is>
          <t>R11041</t>
        </is>
      </c>
      <c r="B357" s="3" t="inlineStr">
        <is>
          <t>A novel microbubbles-assisted Fe-C micro-electrolysis system to bridge the anaerobic digestion and microalgae cultivation: the dual drive of electron transfer and coagulation</t>
        </is>
      </c>
      <c r="C357" s="3" t="inlineStr">
        <is>
          <t>2025</t>
        </is>
      </c>
      <c r="D357" s="3" t="inlineStr">
        <is>
          <t>2025</t>
        </is>
      </c>
      <c r="E357" s="3" t="inlineStr">
        <is>
          <t>10.1016/j.cej.2025.164185</t>
        </is>
      </c>
      <c r="F357" s="3" t="inlineStr">
        <is>
          <t>期刊文章</t>
        </is>
      </c>
      <c r="G357" s="3" t="inlineStr">
        <is>
          <t>3 独立好氧或微好氧预处理</t>
        </is>
      </c>
      <c r="H357" s="3" t="inlineStr">
        <is>
          <t>是</t>
        </is>
      </c>
      <c r="I357" s="3" t="inlineStr">
        <is>
          <t>研究类</t>
        </is>
      </c>
      <c r="J357" s="3" t="inlineStr">
        <is>
          <t>是</t>
        </is>
      </c>
      <c r="K357" s="3" t="inlineStr">
        <is>
          <t>Chemical Engineering Journal</t>
        </is>
      </c>
      <c r="L357" s="3" t="inlineStr">
        <is>
          <t>Chemical Engineering Journal</t>
        </is>
      </c>
      <c r="M357" s="3" t="inlineStr">
        <is>
          <t>1385-8947</t>
        </is>
      </c>
      <c r="N357" s="3" t="inlineStr"/>
      <c r="O357" s="3" t="inlineStr">
        <is>
          <t>已取得核验全文</t>
        </is>
      </c>
      <c r="P357" s="3" t="inlineStr">
        <is>
          <t>是</t>
        </is>
      </c>
      <c r="Q357" s="3" t="inlineStr">
        <is>
          <t>已取得1件原格式补充材料；其中0件唯一关联待核实；完整性未确认</t>
        </is>
      </c>
      <c r="R357" s="3" t="n">
        <v>2024</v>
      </c>
      <c r="S357" s="3" t="inlineStr">
        <is>
          <t>2025发布版（2024指标年）</t>
        </is>
      </c>
      <c r="T357" s="3" t="inlineStr">
        <is>
          <t>ENGINEERING, CHEMICAL; ENGINEERING, ENVIRONMENTAL</t>
        </is>
      </c>
      <c r="U357" s="3" t="inlineStr">
        <is>
          <t>ENGINEERING, CHEMICAL: Q1; ENGINEERING, ENVIRONMENTAL: Q1</t>
        </is>
      </c>
      <c r="V357" s="4" t="inlineStr">
        <is>
          <t>是</t>
        </is>
      </c>
      <c r="W357" s="4" t="inlineStr">
        <is>
          <t>是</t>
        </is>
      </c>
      <c r="X357" s="3" t="inlineStr">
        <is>
          <t>是</t>
        </is>
      </c>
      <c r="Y357" s="3" t="inlineStr">
        <is>
          <t>https://topj.lib.whu.edu.cn/show.asp?cat=zk&amp;id=2740</t>
        </is>
      </c>
      <c r="Z357" s="3" t="inlineStr">
        <is>
          <t>https://api.crossref.org/works/10.1016/j.cej.2025.164185</t>
        </is>
      </c>
      <c r="AA35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57" s="3" t="inlineStr">
        <is>
          <t>original_files/R11041/fulltext/fulltext__published__09bf83ca76152924.pdf</t>
        </is>
      </c>
      <c r="AC357" s="3" t="inlineStr">
        <is>
          <t>original_files/R11041/supplementary/supplementary__27ac08f29794d037.docx</t>
        </is>
      </c>
      <c r="AD357" s="3" t="inlineStr">
        <is>
          <t>https://github.com/Colliam-Vermilion/FirstCodex/blob/results/ad-oxygen-literature-20261006/results/ad-oxygen-literature-20261006/original_files/R11041/fulltext/fulltext__published__09bf83ca76152924.pdf</t>
        </is>
      </c>
    </row>
    <row r="358" ht="48" customHeight="1">
      <c r="A358" s="2" t="inlineStr">
        <is>
          <t>R11056</t>
        </is>
      </c>
      <c r="B358" s="2" t="inlineStr">
        <is>
          <t>AUTOMATION OF ORGANIC WASTE TECHNOLOGICAL PROCESSING BY AN AUTONOMOUS BIOFERMENTER’S DEVELOPING</t>
        </is>
      </c>
      <c r="C358" s="2" t="inlineStr">
        <is>
          <t>2025</t>
        </is>
      </c>
      <c r="D358" s="2" t="inlineStr">
        <is>
          <t>2025</t>
        </is>
      </c>
      <c r="E358" s="2" t="inlineStr">
        <is>
          <t>10.22314/27132064-2025-15-1-63</t>
        </is>
      </c>
      <c r="F358" s="2" t="inlineStr">
        <is>
          <t>期刊文章</t>
        </is>
      </c>
      <c r="G358" s="2" t="inlineStr">
        <is>
          <t>5 排除</t>
        </is>
      </c>
      <c r="H358" s="2" t="inlineStr">
        <is>
          <t>否</t>
        </is>
      </c>
      <c r="I358" s="2" t="inlineStr">
        <is>
          <t>研究类</t>
        </is>
      </c>
      <c r="J358" s="2" t="inlineStr">
        <is>
          <t>否</t>
        </is>
      </c>
      <c r="K358" s="2" t="inlineStr">
        <is>
          <t>Техника и технологии в животноводстве</t>
        </is>
      </c>
      <c r="L358" s="2" t="inlineStr">
        <is>
          <t>Техника и технологии в животноводстве</t>
        </is>
      </c>
      <c r="M358" s="2" t="inlineStr">
        <is>
          <t>2713-2064</t>
        </is>
      </c>
      <c r="N358" s="2" t="inlineStr"/>
      <c r="O358" s="2" t="inlineStr">
        <is>
          <t>未取得全文</t>
        </is>
      </c>
      <c r="P358" s="2" t="inlineStr">
        <is>
          <t>否</t>
        </is>
      </c>
      <c r="Q358" s="2" t="inlineStr">
        <is>
          <t>当前无补充材料原件；沿用既有缺失/无附件证据，不据此认定无附件</t>
        </is>
      </c>
      <c r="R358" s="2" t="n">
        <v>2024</v>
      </c>
      <c r="S358" s="2" t="inlineStr">
        <is>
          <t>2025发布版（2024指标年）</t>
        </is>
      </c>
      <c r="T358" s="2" t="inlineStr"/>
      <c r="U358" s="2" t="inlineStr"/>
      <c r="V358" s="2" t="inlineStr">
        <is>
          <t>待核实</t>
        </is>
      </c>
      <c r="W358" s="2" t="inlineStr">
        <is>
          <t>待核实</t>
        </is>
      </c>
      <c r="X358" s="2" t="inlineStr">
        <is>
          <t>否</t>
        </is>
      </c>
      <c r="Y358" s="2" t="inlineStr"/>
      <c r="Z358" s="2" t="inlineStr">
        <is>
          <t>https://api.crossref.org/works/10.22314/27132064-2025-15-1-63</t>
        </is>
      </c>
      <c r="AA358" s="2" t="inlineStr">
        <is>
          <t>2024指标年JCR分区未核实；空白不能当非Q1。需要2025发布版/2024指标年的JCR全部学科导出。</t>
        </is>
      </c>
      <c r="AB358" s="2" t="inlineStr"/>
      <c r="AC358" s="2" t="inlineStr"/>
      <c r="AD358" s="2" t="inlineStr"/>
    </row>
    <row r="359" ht="48" customHeight="1">
      <c r="A359" s="3" t="inlineStr">
        <is>
          <t>R11104</t>
        </is>
      </c>
      <c r="B359" s="3" t="inlineStr">
        <is>
          <t>Alleviation of propionic acid inhibition and enhancement of methane production in anaerobic digestion by micronano-bubble water supplementation</t>
        </is>
      </c>
      <c r="C359" s="3" t="inlineStr">
        <is>
          <t>2025</t>
        </is>
      </c>
      <c r="D359" s="3" t="inlineStr">
        <is>
          <t>2025</t>
        </is>
      </c>
      <c r="E359" s="3" t="inlineStr">
        <is>
          <t>10.1016/j.biortech.2025.132425</t>
        </is>
      </c>
      <c r="F359" s="3" t="inlineStr">
        <is>
          <t>期刊文章</t>
        </is>
      </c>
      <c r="G359" s="3" t="inlineStr">
        <is>
          <t>1 直接向 AD 反应器或内部循环系统供氧</t>
        </is>
      </c>
      <c r="H359" s="3" t="inlineStr">
        <is>
          <t>是</t>
        </is>
      </c>
      <c r="I359" s="3" t="inlineStr">
        <is>
          <t>研究类</t>
        </is>
      </c>
      <c r="J359" s="3" t="inlineStr">
        <is>
          <t>是</t>
        </is>
      </c>
      <c r="K359" s="3" t="inlineStr">
        <is>
          <t>BIORESOURCE TECHNOLOGY</t>
        </is>
      </c>
      <c r="L359" s="3" t="inlineStr">
        <is>
          <t>Bioresource Technology</t>
        </is>
      </c>
      <c r="M359" s="3" t="inlineStr">
        <is>
          <t>0960-8524</t>
        </is>
      </c>
      <c r="N359" s="3" t="inlineStr"/>
      <c r="O359" s="3" t="inlineStr">
        <is>
          <t>已取得核验全文</t>
        </is>
      </c>
      <c r="P359" s="3" t="inlineStr">
        <is>
          <t>是</t>
        </is>
      </c>
      <c r="Q359" s="3" t="inlineStr">
        <is>
          <t>已取得1件原格式补充材料；其中1件唯一关联待核实；完整性未确认</t>
        </is>
      </c>
      <c r="R359" s="3" t="n">
        <v>2024</v>
      </c>
      <c r="S359" s="3" t="inlineStr">
        <is>
          <t>2025发布版（2024指标年）</t>
        </is>
      </c>
      <c r="T359" s="3" t="inlineStr">
        <is>
          <t>AGRICULTURAL ENGINEERING; BIOTECHNOLOGY &amp; APPLIED MICROBIOLOGY; ENERGY &amp; FUELS</t>
        </is>
      </c>
      <c r="U359" s="3" t="inlineStr">
        <is>
          <t>AGRICULTURAL ENGINEERING: Q1; BIOTECHNOLOGY &amp; APPLIED MICROBIOLOGY: Q1; ENERGY &amp; FUELS: Q1</t>
        </is>
      </c>
      <c r="V359" s="4" t="inlineStr">
        <is>
          <t>是</t>
        </is>
      </c>
      <c r="W359" s="4" t="inlineStr">
        <is>
          <t>是</t>
        </is>
      </c>
      <c r="X359" s="3" t="inlineStr">
        <is>
          <t>是</t>
        </is>
      </c>
      <c r="Y359" s="3" t="inlineStr">
        <is>
          <t>https://topj.lib.whu.edu.cn/show.asp?cat=zk&amp;id=3976</t>
        </is>
      </c>
      <c r="Z359" s="3" t="inlineStr">
        <is>
          <t>https://api.crossref.org/works/10.1016/j.biortech.2025.132425</t>
        </is>
      </c>
      <c r="AA35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59" s="3" t="inlineStr">
        <is>
          <t>original_files/R11104/fulltext/fulltext__published__017fd6b517b69e35.pdf</t>
        </is>
      </c>
      <c r="AC359" s="3" t="inlineStr">
        <is>
          <t>original_files/R11104/supplementary/supplementary__5d37f833467dd163.docx</t>
        </is>
      </c>
      <c r="AD359" s="3" t="inlineStr">
        <is>
          <t>https://github.com/Colliam-Vermilion/FirstCodex/blob/results/ad-oxygen-literature-20261006/results/ad-oxygen-literature-20261006/original_files/R11104/fulltext/fulltext__published__017fd6b517b69e35.pdf</t>
        </is>
      </c>
    </row>
    <row r="360" ht="48" customHeight="1">
      <c r="A360" s="2" t="inlineStr">
        <is>
          <t>R11118</t>
        </is>
      </c>
      <c r="B360" s="2" t="inlineStr">
        <is>
          <t>Anaerobic Digestion of Dairy Dissolved Air Flotation Sludge: Assessment of Enhancement Strategies</t>
        </is>
      </c>
      <c r="C360" s="2" t="inlineStr">
        <is>
          <t>2025</t>
        </is>
      </c>
      <c r="D360" s="2" t="inlineStr">
        <is>
          <t>2025</t>
        </is>
      </c>
      <c r="E360" s="2" t="inlineStr">
        <is>
          <t>10.1002/cben.70031</t>
        </is>
      </c>
      <c r="F360" s="2" t="inlineStr">
        <is>
          <t>综述</t>
        </is>
      </c>
      <c r="G360" s="2" t="inlineStr">
        <is>
          <t>4 综述</t>
        </is>
      </c>
      <c r="H360" s="2" t="inlineStr">
        <is>
          <t>是</t>
        </is>
      </c>
      <c r="I360" s="2" t="inlineStr">
        <is>
          <t>综述</t>
        </is>
      </c>
      <c r="J360" s="2" t="inlineStr">
        <is>
          <t>是</t>
        </is>
      </c>
      <c r="K360" s="2" t="inlineStr">
        <is>
          <t>ChemBioEng Reviews</t>
        </is>
      </c>
      <c r="L360" s="2" t="inlineStr">
        <is>
          <t>ChemBioEng Reviews</t>
        </is>
      </c>
      <c r="M360" s="2" t="inlineStr">
        <is>
          <t>2196-9744</t>
        </is>
      </c>
      <c r="N360" s="2" t="inlineStr">
        <is>
          <t>2196-9744</t>
        </is>
      </c>
      <c r="O360" s="2" t="inlineStr">
        <is>
          <t>已取得核验全文</t>
        </is>
      </c>
      <c r="P360" s="2" t="inlineStr">
        <is>
          <t>是</t>
        </is>
      </c>
      <c r="Q360" s="2" t="inlineStr">
        <is>
          <t>已取得1件原格式补充材料；其中0件唯一关联待核实；完整性未确认</t>
        </is>
      </c>
      <c r="R360" s="2" t="n">
        <v>2024</v>
      </c>
      <c r="S360" s="2" t="inlineStr">
        <is>
          <t>2025发布版（2024指标年）</t>
        </is>
      </c>
      <c r="T360" s="2" t="inlineStr">
        <is>
          <t>ENGINEERING, CHEMICAL</t>
        </is>
      </c>
      <c r="U360" s="2" t="inlineStr">
        <is>
          <t>ENGINEERING, CHEMICAL: Q1</t>
        </is>
      </c>
      <c r="V360" s="4" t="inlineStr">
        <is>
          <t>是</t>
        </is>
      </c>
      <c r="W360" s="4" t="inlineStr">
        <is>
          <t>是</t>
        </is>
      </c>
      <c r="X360" s="2" t="inlineStr">
        <is>
          <t>是</t>
        </is>
      </c>
      <c r="Y360" s="2" t="inlineStr">
        <is>
          <t>https://topj.lib.whu.edu.cn/show.asp?cat=zk&amp;id=5139</t>
        </is>
      </c>
      <c r="Z360" s="2" t="inlineStr">
        <is>
          <t>https://api.crossref.org/works/10.1002/cben.70031</t>
        </is>
      </c>
      <c r="AA36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60" s="2" t="inlineStr">
        <is>
          <t>original_files/R11118/fulltext/fulltext__published__0d99d1d7d37f0e90.pdf</t>
        </is>
      </c>
      <c r="AC360" s="2" t="inlineStr">
        <is>
          <t>original_files/R11118/supplementary/supplementary__0e4b0ee068891941.docx</t>
        </is>
      </c>
      <c r="AD360" s="2" t="inlineStr">
        <is>
          <t>https://github.com/Colliam-Vermilion/FirstCodex/blob/results/ad-oxygen-literature-20261006/results/ad-oxygen-literature-20261006/original_files/R11118/fulltext/fulltext__published__0d99d1d7d37f0e90.pdf</t>
        </is>
      </c>
    </row>
    <row r="361" ht="48" customHeight="1">
      <c r="A361" s="3" t="inlineStr">
        <is>
          <t>R11389</t>
        </is>
      </c>
      <c r="B361" s="3" t="inlineStr">
        <is>
          <t>Effect of aeration conditions on hydrolytic activity measurements</t>
        </is>
      </c>
      <c r="C361" s="3" t="inlineStr">
        <is>
          <t>2025</t>
        </is>
      </c>
      <c r="D361" s="3" t="inlineStr">
        <is>
          <t>2025</t>
        </is>
      </c>
      <c r="E361" s="3" t="inlineStr">
        <is>
          <t>10.2166/wpt.2025.120</t>
        </is>
      </c>
      <c r="F361" s="3" t="inlineStr">
        <is>
          <t>期刊文章</t>
        </is>
      </c>
      <c r="G361" s="3" t="inlineStr">
        <is>
          <t>5 排除</t>
        </is>
      </c>
      <c r="H361" s="3" t="inlineStr">
        <is>
          <t>否</t>
        </is>
      </c>
      <c r="I361" s="3" t="inlineStr">
        <is>
          <t>研究类</t>
        </is>
      </c>
      <c r="J361" s="3" t="inlineStr">
        <is>
          <t>否</t>
        </is>
      </c>
      <c r="K361" s="3" t="inlineStr">
        <is>
          <t>Water Practice &amp; Technology</t>
        </is>
      </c>
      <c r="L361" s="3" t="inlineStr">
        <is>
          <t>Water Practice &amp;amp; Technology</t>
        </is>
      </c>
      <c r="M361" s="3" t="inlineStr"/>
      <c r="N361" s="3" t="inlineStr">
        <is>
          <t>1751-231X</t>
        </is>
      </c>
      <c r="O361" s="3" t="inlineStr">
        <is>
          <t>未取得全文</t>
        </is>
      </c>
      <c r="P361" s="3" t="inlineStr">
        <is>
          <t>否</t>
        </is>
      </c>
      <c r="Q361" s="3" t="inlineStr">
        <is>
          <t>当前无补充材料原件；沿用既有缺失/无附件证据，不据此认定无附件</t>
        </is>
      </c>
      <c r="R361" s="3" t="n">
        <v>2024</v>
      </c>
      <c r="S361" s="3" t="inlineStr">
        <is>
          <t>2025发布版（2024指标年）</t>
        </is>
      </c>
      <c r="T361" s="3" t="inlineStr"/>
      <c r="U361" s="3" t="inlineStr"/>
      <c r="V361" s="3" t="inlineStr">
        <is>
          <t>待核实</t>
        </is>
      </c>
      <c r="W361" s="3" t="inlineStr">
        <is>
          <t>待核实</t>
        </is>
      </c>
      <c r="X361" s="3" t="inlineStr">
        <is>
          <t>否</t>
        </is>
      </c>
      <c r="Y361" s="3" t="inlineStr"/>
      <c r="Z361" s="3" t="inlineStr">
        <is>
          <t>https://api.crossref.org/works/10.2166/wpt.2025.120</t>
        </is>
      </c>
      <c r="AA361" s="3" t="inlineStr">
        <is>
          <t>2024指标年JCR分区未核实；空白不能当非Q1。需要2025发布版/2024指标年的JCR全部学科导出。</t>
        </is>
      </c>
      <c r="AB361" s="3" t="inlineStr"/>
      <c r="AC361" s="3" t="inlineStr"/>
      <c r="AD361" s="3" t="inlineStr"/>
    </row>
    <row r="362" ht="48" customHeight="1">
      <c r="A362" s="2" t="inlineStr">
        <is>
          <t>R11421</t>
        </is>
      </c>
      <c r="B362" s="2" t="inlineStr">
        <is>
          <t>Effects of nano-bubble water on anaerobic co-digestion of cabbage waste and cow manure under mesophilic and thermophilic conditions</t>
        </is>
      </c>
      <c r="C362" s="2" t="inlineStr">
        <is>
          <t>2025</t>
        </is>
      </c>
      <c r="D362" s="2" t="inlineStr">
        <is>
          <t>2025</t>
        </is>
      </c>
      <c r="E362" s="2" t="inlineStr">
        <is>
          <t>10.1080/09593330.2024.2405033</t>
        </is>
      </c>
      <c r="F362" s="2" t="inlineStr">
        <is>
          <t>期刊文章</t>
        </is>
      </c>
      <c r="G362" s="2" t="inlineStr">
        <is>
          <t>1 直接向 AD 反应器或内部循环系统供氧</t>
        </is>
      </c>
      <c r="H362" s="2" t="inlineStr">
        <is>
          <t>是</t>
        </is>
      </c>
      <c r="I362" s="2" t="inlineStr">
        <is>
          <t>研究类</t>
        </is>
      </c>
      <c r="J362" s="2" t="inlineStr">
        <is>
          <t>是</t>
        </is>
      </c>
      <c r="K362" s="2" t="inlineStr">
        <is>
          <t>ENVIRONMENTAL TECHNOLOGY</t>
        </is>
      </c>
      <c r="L362" s="2" t="inlineStr">
        <is>
          <t>Environmental Technology</t>
        </is>
      </c>
      <c r="M362" s="2" t="inlineStr">
        <is>
          <t>0959-3330</t>
        </is>
      </c>
      <c r="N362" s="2" t="inlineStr">
        <is>
          <t>1479-487X</t>
        </is>
      </c>
      <c r="O362" s="2" t="inlineStr">
        <is>
          <t>已取得核验全文</t>
        </is>
      </c>
      <c r="P362" s="2" t="inlineStr">
        <is>
          <t>是</t>
        </is>
      </c>
      <c r="Q362" s="2" t="inlineStr">
        <is>
          <t>已取得1件原格式补充材料；其中0件唯一关联待核实；完整性未确认</t>
        </is>
      </c>
      <c r="R362" s="2" t="n">
        <v>2024</v>
      </c>
      <c r="S362" s="2" t="inlineStr">
        <is>
          <t>2025发布版（2024指标年）</t>
        </is>
      </c>
      <c r="T362" s="2" t="inlineStr">
        <is>
          <t>ENVIRONMENTAL SCIENCES</t>
        </is>
      </c>
      <c r="U362" s="2" t="inlineStr">
        <is>
          <t>ENVIRONMENTAL SCIENCES: Q3</t>
        </is>
      </c>
      <c r="V362" s="2" t="inlineStr">
        <is>
          <t>否</t>
        </is>
      </c>
      <c r="W362" s="2" t="inlineStr">
        <is>
          <t>否</t>
        </is>
      </c>
      <c r="X362" s="2" t="inlineStr">
        <is>
          <t>是</t>
        </is>
      </c>
      <c r="Y362" s="2" t="inlineStr">
        <is>
          <t>https://topj.lib.whu.edu.cn/searchxk1.asp?ordertype=desc&amp;page=11&amp;q=&amp;xk=488</t>
        </is>
      </c>
      <c r="Z362" s="2" t="inlineStr">
        <is>
          <t>https://api.crossref.org/works/10.1080/09593330.2024.2405033</t>
        </is>
      </c>
      <c r="AA362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362" s="2" t="inlineStr">
        <is>
          <t>original_files/R11421/fulltext/fulltext__published__1ad310f4f16dacf7.pdf</t>
        </is>
      </c>
      <c r="AC362" s="2" t="inlineStr">
        <is>
          <t>original_files/R11421/supplementary/supplementary__8822527f7141c204.docx</t>
        </is>
      </c>
      <c r="AD362" s="2" t="inlineStr">
        <is>
          <t>https://github.com/Colliam-Vermilion/FirstCodex/blob/results/ad-oxygen-literature-20261006/results/ad-oxygen-literature-20261006/original_files/R11421/fulltext/fulltext__published__1ad310f4f16dacf7.pdf</t>
        </is>
      </c>
    </row>
    <row r="363" ht="48" customHeight="1">
      <c r="A363" s="3" t="inlineStr">
        <is>
          <t>R11477</t>
        </is>
      </c>
      <c r="B363" s="3" t="inlineStr">
        <is>
          <t>Enhanced heavy metal stability of sludge anaerobic digestion by different dosages of air nanobubble water</t>
        </is>
      </c>
      <c r="C363" s="3" t="inlineStr">
        <is>
          <t>2025</t>
        </is>
      </c>
      <c r="D363" s="3" t="inlineStr">
        <is>
          <t>2025</t>
        </is>
      </c>
      <c r="E363" s="3" t="inlineStr">
        <is>
          <t>10.1016/j.jwpe.2025.108560</t>
        </is>
      </c>
      <c r="F363" s="3" t="inlineStr">
        <is>
          <t>期刊文章</t>
        </is>
      </c>
      <c r="G363" s="3" t="inlineStr">
        <is>
          <t>1 直接向 AD 反应器或内部循环系统供氧</t>
        </is>
      </c>
      <c r="H363" s="3" t="inlineStr">
        <is>
          <t>是</t>
        </is>
      </c>
      <c r="I363" s="3" t="inlineStr">
        <is>
          <t>研究类</t>
        </is>
      </c>
      <c r="J363" s="3" t="inlineStr">
        <is>
          <t>是</t>
        </is>
      </c>
      <c r="K363" s="3" t="inlineStr">
        <is>
          <t>Journal of Water Process Engineering</t>
        </is>
      </c>
      <c r="L363" s="3" t="inlineStr">
        <is>
          <t>Journal of Water Process Engineering</t>
        </is>
      </c>
      <c r="M363" s="3" t="inlineStr">
        <is>
          <t>2214-7144</t>
        </is>
      </c>
      <c r="N363" s="3" t="inlineStr"/>
      <c r="O363" s="3" t="inlineStr">
        <is>
          <t>已取得核验全文</t>
        </is>
      </c>
      <c r="P363" s="3" t="inlineStr">
        <is>
          <t>是</t>
        </is>
      </c>
      <c r="Q363" s="3" t="inlineStr">
        <is>
          <t>已取得1件原格式补充材料；其中0件唯一关联待核实；完整性未确认</t>
        </is>
      </c>
      <c r="R363" s="3" t="n">
        <v>2024</v>
      </c>
      <c r="S363" s="3" t="inlineStr">
        <is>
          <t>2025发布版（2024指标年）</t>
        </is>
      </c>
      <c r="T363" s="3" t="inlineStr">
        <is>
          <t>WATER RESOURCES; ENGINEERING, CHEMICAL; ENGINEERING, ENVIRONMENTAL</t>
        </is>
      </c>
      <c r="U363" s="3" t="inlineStr">
        <is>
          <t>WATER RESOURCES: Q1; ENGINEERING, CHEMICAL: Q1; ENGINEERING, ENVIRONMENTAL: Q2</t>
        </is>
      </c>
      <c r="V363" s="4" t="inlineStr">
        <is>
          <t>是</t>
        </is>
      </c>
      <c r="W363" s="3" t="inlineStr">
        <is>
          <t>否</t>
        </is>
      </c>
      <c r="X363" s="3" t="inlineStr">
        <is>
          <t>是</t>
        </is>
      </c>
      <c r="Y363" s="3" t="inlineStr">
        <is>
          <t>https://topj.lib.whu.edu.cn/show.asp?cat=sci&amp;id=6383</t>
        </is>
      </c>
      <c r="Z363" s="3" t="inlineStr">
        <is>
          <t>https://api.crossref.org/works/10.1016/j.jwpe.2025.108560</t>
        </is>
      </c>
      <c r="AA36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63" s="3" t="inlineStr">
        <is>
          <t>original_files/R11477/fulltext/fulltext__published__82d44b08bac57b2b.pdf</t>
        </is>
      </c>
      <c r="AC363" s="3" t="inlineStr">
        <is>
          <t>original_files/R11477/supplementary/supplementary__74f1e74865fbac6c.docx</t>
        </is>
      </c>
      <c r="AD363" s="3" t="inlineStr">
        <is>
          <t>https://github.com/Colliam-Vermilion/FirstCodex/blob/results/ad-oxygen-literature-20261006/results/ad-oxygen-literature-20261006/original_files/R11477/fulltext/fulltext__published__82d44b08bac57b2b.pdf</t>
        </is>
      </c>
    </row>
    <row r="364" ht="48" customHeight="1">
      <c r="A364" s="2" t="inlineStr">
        <is>
          <t>R11519</t>
        </is>
      </c>
      <c r="B364" s="2" t="inlineStr">
        <is>
          <t>Enhancing anaerobic digestion of swine manure using microbial electrolysis cell and microaeration</t>
        </is>
      </c>
      <c r="C364" s="2" t="inlineStr">
        <is>
          <t>2025</t>
        </is>
      </c>
      <c r="D364" s="2" t="inlineStr">
        <is>
          <t>2025</t>
        </is>
      </c>
      <c r="E364" s="2" t="inlineStr">
        <is>
          <t>10.1016/j.cej.2025.163319</t>
        </is>
      </c>
      <c r="F364" s="2" t="inlineStr">
        <is>
          <t>期刊文章</t>
        </is>
      </c>
      <c r="G364" s="2" t="inlineStr">
        <is>
          <t>1 直接向 AD 反应器或内部循环系统供氧</t>
        </is>
      </c>
      <c r="H364" s="2" t="inlineStr">
        <is>
          <t>是</t>
        </is>
      </c>
      <c r="I364" s="2" t="inlineStr">
        <is>
          <t>研究类</t>
        </is>
      </c>
      <c r="J364" s="2" t="inlineStr">
        <is>
          <t>是</t>
        </is>
      </c>
      <c r="K364" s="2" t="inlineStr">
        <is>
          <t>Chemical Engineering Journal</t>
        </is>
      </c>
      <c r="L364" s="2" t="inlineStr">
        <is>
          <t>Chemical Engineering Journal</t>
        </is>
      </c>
      <c r="M364" s="2" t="inlineStr">
        <is>
          <t>1385-8947</t>
        </is>
      </c>
      <c r="N364" s="2" t="inlineStr"/>
      <c r="O364" s="2" t="inlineStr">
        <is>
          <t>已取得核验全文</t>
        </is>
      </c>
      <c r="P364" s="2" t="inlineStr">
        <is>
          <t>是</t>
        </is>
      </c>
      <c r="Q364" s="2" t="inlineStr">
        <is>
          <t>已取得1件原格式补充材料；其中0件唯一关联待核实；完整性未确认</t>
        </is>
      </c>
      <c r="R364" s="2" t="n">
        <v>2024</v>
      </c>
      <c r="S364" s="2" t="inlineStr">
        <is>
          <t>2025发布版（2024指标年）</t>
        </is>
      </c>
      <c r="T364" s="2" t="inlineStr">
        <is>
          <t>ENGINEERING, CHEMICAL; ENGINEERING, ENVIRONMENTAL</t>
        </is>
      </c>
      <c r="U364" s="2" t="inlineStr">
        <is>
          <t>ENGINEERING, CHEMICAL: Q1; ENGINEERING, ENVIRONMENTAL: Q1</t>
        </is>
      </c>
      <c r="V364" s="4" t="inlineStr">
        <is>
          <t>是</t>
        </is>
      </c>
      <c r="W364" s="4" t="inlineStr">
        <is>
          <t>是</t>
        </is>
      </c>
      <c r="X364" s="2" t="inlineStr">
        <is>
          <t>是</t>
        </is>
      </c>
      <c r="Y364" s="2" t="inlineStr">
        <is>
          <t>https://topj.lib.whu.edu.cn/show.asp?cat=zk&amp;id=2740</t>
        </is>
      </c>
      <c r="Z364" s="2" t="inlineStr">
        <is>
          <t>https://api.crossref.org/works/10.1016/j.cej.2025.163319</t>
        </is>
      </c>
      <c r="AA36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64" s="2" t="inlineStr">
        <is>
          <t>original_files/R11519/fulltext/fulltext__published__3f23700018cf483e.pdf</t>
        </is>
      </c>
      <c r="AC364" s="2" t="inlineStr">
        <is>
          <t>original_files/R11519/supplementary/supplementary__60de9553a4994c9a.docx</t>
        </is>
      </c>
      <c r="AD364" s="2" t="inlineStr">
        <is>
          <t>https://github.com/Colliam-Vermilion/FirstCodex/blob/results/ad-oxygen-literature-20261006/results/ad-oxygen-literature-20261006/original_files/R11519/fulltext/fulltext__published__3f23700018cf483e.pdf</t>
        </is>
      </c>
    </row>
    <row r="365" ht="48" customHeight="1">
      <c r="A365" s="3" t="inlineStr">
        <is>
          <t>R11537</t>
        </is>
      </c>
      <c r="B365" s="3" t="inlineStr">
        <is>
          <t>Enhancing methanogenesis efficiency in anaerobic digestion of food waste through incremental salinity and nanobubble utilization to domesticate inoculum: Adaptability and optimal inoculation ratios</t>
        </is>
      </c>
      <c r="C365" s="3" t="inlineStr">
        <is>
          <t>2025</t>
        </is>
      </c>
      <c r="D365" s="3" t="inlineStr">
        <is>
          <t>2025</t>
        </is>
      </c>
      <c r="E365" s="3" t="inlineStr">
        <is>
          <t>10.1016/j.renene.2025.123258</t>
        </is>
      </c>
      <c r="F365" s="3" t="inlineStr">
        <is>
          <t>期刊文章</t>
        </is>
      </c>
      <c r="G365" s="3" t="inlineStr">
        <is>
          <t>3 独立好氧或微好氧预处理</t>
        </is>
      </c>
      <c r="H365" s="3" t="inlineStr">
        <is>
          <t>是</t>
        </is>
      </c>
      <c r="I365" s="3" t="inlineStr">
        <is>
          <t>研究类</t>
        </is>
      </c>
      <c r="J365" s="3" t="inlineStr">
        <is>
          <t>是</t>
        </is>
      </c>
      <c r="K365" s="3" t="inlineStr">
        <is>
          <t>Renewable Energy</t>
        </is>
      </c>
      <c r="L365" s="3" t="inlineStr">
        <is>
          <t>Renewable Energy</t>
        </is>
      </c>
      <c r="M365" s="3" t="inlineStr">
        <is>
          <t>0960-1481</t>
        </is>
      </c>
      <c r="N365" s="3" t="inlineStr"/>
      <c r="O365" s="3" t="inlineStr">
        <is>
          <t>已取得核验全文</t>
        </is>
      </c>
      <c r="P365" s="3" t="inlineStr">
        <is>
          <t>是</t>
        </is>
      </c>
      <c r="Q365" s="3" t="inlineStr">
        <is>
          <t>当前无补充材料原件；沿用既有缺失/无附件证据，不据此认定无附件</t>
        </is>
      </c>
      <c r="R365" s="3" t="n">
        <v>2024</v>
      </c>
      <c r="S365" s="3" t="inlineStr">
        <is>
          <t>2025发布版（2024指标年）</t>
        </is>
      </c>
      <c r="T365" s="3" t="inlineStr">
        <is>
          <t>ENERGY &amp; FUELS; GREEN &amp; SUSTAINABLE SCIENCE &amp; TECHNOLOGY</t>
        </is>
      </c>
      <c r="U365" s="3" t="inlineStr">
        <is>
          <t>ENERGY &amp; FUELS: Q1; GREEN &amp; SUSTAINABLE SCIENCE &amp; TECHNOLOGY: Q1</t>
        </is>
      </c>
      <c r="V365" s="4" t="inlineStr">
        <is>
          <t>是</t>
        </is>
      </c>
      <c r="W365" s="4" t="inlineStr">
        <is>
          <t>是</t>
        </is>
      </c>
      <c r="X365" s="3" t="inlineStr">
        <is>
          <t>是</t>
        </is>
      </c>
      <c r="Y365" s="3" t="inlineStr">
        <is>
          <t>https://topj.lib.whu.edu.cn/show.asp?cat=sci&amp;id=8240</t>
        </is>
      </c>
      <c r="Z365" s="3" t="inlineStr">
        <is>
          <t>https://api.crossref.org/works/10.1016/j.renene.2025.123258</t>
        </is>
      </c>
      <c r="AA36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65" s="3" t="inlineStr">
        <is>
          <t>original_files/R11537/fulltext/fulltext__published__f5f6c181febec1b2.pdf</t>
        </is>
      </c>
      <c r="AC365" s="3" t="inlineStr"/>
      <c r="AD365" s="3" t="inlineStr">
        <is>
          <t>https://github.com/Colliam-Vermilion/FirstCodex/blob/results/ad-oxygen-literature-20261006/results/ad-oxygen-literature-20261006/original_files/R11537/fulltext/fulltext__published__f5f6c181febec1b2.pdf</t>
        </is>
      </c>
    </row>
    <row r="366" ht="48" customHeight="1">
      <c r="A366" s="2" t="inlineStr">
        <is>
          <t>R11606</t>
        </is>
      </c>
      <c r="B366" s="2" t="inlineStr">
        <is>
          <t>Food Waste Anaerobic Digestion Under High Organic Loading Rate: Inhibiting Factors, Mechanisms, and Mitigation Strategies</t>
        </is>
      </c>
      <c r="C366" s="2" t="inlineStr">
        <is>
          <t>2025</t>
        </is>
      </c>
      <c r="D366" s="2" t="inlineStr">
        <is>
          <t>2025</t>
        </is>
      </c>
      <c r="E366" s="2" t="inlineStr">
        <is>
          <t>10.3390/pr13072090</t>
        </is>
      </c>
      <c r="F366" s="2" t="inlineStr">
        <is>
          <t>综述</t>
        </is>
      </c>
      <c r="G366" s="2" t="inlineStr">
        <is>
          <t>4 综述</t>
        </is>
      </c>
      <c r="H366" s="2" t="inlineStr">
        <is>
          <t>是</t>
        </is>
      </c>
      <c r="I366" s="2" t="inlineStr">
        <is>
          <t>综述</t>
        </is>
      </c>
      <c r="J366" s="2" t="inlineStr">
        <is>
          <t>是</t>
        </is>
      </c>
      <c r="K366" s="2" t="inlineStr">
        <is>
          <t>Processes</t>
        </is>
      </c>
      <c r="L366" s="2" t="inlineStr">
        <is>
          <t>Processes</t>
        </is>
      </c>
      <c r="M366" s="2" t="inlineStr"/>
      <c r="N366" s="2" t="inlineStr">
        <is>
          <t>2227-9717</t>
        </is>
      </c>
      <c r="O366" s="2" t="inlineStr">
        <is>
          <t>已取得核验全文</t>
        </is>
      </c>
      <c r="P366" s="2" t="inlineStr">
        <is>
          <t>是</t>
        </is>
      </c>
      <c r="Q366" s="2" t="inlineStr">
        <is>
          <t>当前无补充材料原件；沿用既有缺失/无附件证据，不据此认定无附件</t>
        </is>
      </c>
      <c r="R366" s="2" t="n">
        <v>2024</v>
      </c>
      <c r="S366" s="2" t="inlineStr">
        <is>
          <t>2025发布版（2024指标年）</t>
        </is>
      </c>
      <c r="T366" s="2" t="inlineStr"/>
      <c r="U366" s="2" t="inlineStr"/>
      <c r="V366" s="2" t="inlineStr">
        <is>
          <t>待核实</t>
        </is>
      </c>
      <c r="W366" s="2" t="inlineStr">
        <is>
          <t>待核实</t>
        </is>
      </c>
      <c r="X366" s="2" t="inlineStr">
        <is>
          <t>否</t>
        </is>
      </c>
      <c r="Y366" s="2" t="inlineStr"/>
      <c r="Z366" s="2" t="inlineStr">
        <is>
          <t>https://api.crossref.org/works/10.3390/pr13072090</t>
        </is>
      </c>
      <c r="AA366" s="2" t="inlineStr">
        <is>
          <t>2024指标年JCR分区未核实；空白不能当非Q1。需要2025发布版/2024指标年的JCR全部学科导出。</t>
        </is>
      </c>
      <c r="AB366" s="2" t="inlineStr">
        <is>
          <t>original_files/R11606/fulltext/fulltext__published__db6e9b90ba74622e.pdf</t>
        </is>
      </c>
      <c r="AC366" s="2" t="inlineStr"/>
      <c r="AD366" s="2" t="inlineStr">
        <is>
          <t>https://github.com/Colliam-Vermilion/FirstCodex/blob/results/ad-oxygen-literature-20261006/results/ad-oxygen-literature-20261006/original_files/R11606/fulltext/fulltext__published__db6e9b90ba74622e.pdf</t>
        </is>
      </c>
    </row>
    <row r="367" ht="48" customHeight="1">
      <c r="A367" s="3" t="inlineStr">
        <is>
          <t>R11655</t>
        </is>
      </c>
      <c r="B367" s="3" t="inlineStr">
        <is>
          <t>Hydrolysis and methane yield enhancement of anaerobic co-digestion of kitchen waste and sewage sludge by air/carbon dioxide nanobubble water</t>
        </is>
      </c>
      <c r="C367" s="3" t="inlineStr">
        <is>
          <t>2025</t>
        </is>
      </c>
      <c r="D367" s="3" t="inlineStr">
        <is>
          <t>2025</t>
        </is>
      </c>
      <c r="E367" s="3" t="inlineStr">
        <is>
          <t>10.1016/j.fuel.2024.133456</t>
        </is>
      </c>
      <c r="F367" s="3" t="inlineStr">
        <is>
          <t>期刊文章</t>
        </is>
      </c>
      <c r="G367" s="3" t="inlineStr">
        <is>
          <t>1 直接向 AD 反应器或内部循环系统供氧</t>
        </is>
      </c>
      <c r="H367" s="3" t="inlineStr">
        <is>
          <t>是</t>
        </is>
      </c>
      <c r="I367" s="3" t="inlineStr">
        <is>
          <t>研究类</t>
        </is>
      </c>
      <c r="J367" s="3" t="inlineStr">
        <is>
          <t>是</t>
        </is>
      </c>
      <c r="K367" s="3" t="inlineStr">
        <is>
          <t>Fuel</t>
        </is>
      </c>
      <c r="L367" s="3" t="inlineStr">
        <is>
          <t>Fuel</t>
        </is>
      </c>
      <c r="M367" s="3" t="inlineStr">
        <is>
          <t>0016-2361</t>
        </is>
      </c>
      <c r="N367" s="3" t="inlineStr"/>
      <c r="O367" s="3" t="inlineStr">
        <is>
          <t>已取得核验全文</t>
        </is>
      </c>
      <c r="P367" s="3" t="inlineStr">
        <is>
          <t>是</t>
        </is>
      </c>
      <c r="Q367" s="3" t="inlineStr">
        <is>
          <t>已取得1件原格式补充材料；其中1件唯一关联待核实；完整性未确认</t>
        </is>
      </c>
      <c r="R367" s="3" t="n">
        <v>2024</v>
      </c>
      <c r="S367" s="3" t="inlineStr">
        <is>
          <t>2025发布版（2024指标年）</t>
        </is>
      </c>
      <c r="T367" s="3" t="inlineStr">
        <is>
          <t>ENERGY &amp; FUELS; ENGINEERING, CHEMICAL</t>
        </is>
      </c>
      <c r="U367" s="3" t="inlineStr">
        <is>
          <t>ENERGY &amp; FUELS: Q1; ENGINEERING, CHEMICAL: Q1</t>
        </is>
      </c>
      <c r="V367" s="4" t="inlineStr">
        <is>
          <t>是</t>
        </is>
      </c>
      <c r="W367" s="4" t="inlineStr">
        <is>
          <t>是</t>
        </is>
      </c>
      <c r="X367" s="3" t="inlineStr">
        <is>
          <t>是</t>
        </is>
      </c>
      <c r="Y367" s="3" t="inlineStr">
        <is>
          <t>https://topj.lib.whu.edu.cn/show.asp?cat=sci&amp;id=5597</t>
        </is>
      </c>
      <c r="Z367" s="3" t="inlineStr">
        <is>
          <t>https://api.crossref.org/works/10.1016/j.fuel.2024.133456</t>
        </is>
      </c>
      <c r="AA36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67" s="3" t="inlineStr">
        <is>
          <t>original_files/R11655/fulltext/fulltext__published__fbe29ee21ae82f48.pdf</t>
        </is>
      </c>
      <c r="AC367" s="3" t="inlineStr">
        <is>
          <t>original_files/R11655/supplementary/supplementary__04e1aca79019dac9.docx</t>
        </is>
      </c>
      <c r="AD367" s="3" t="inlineStr">
        <is>
          <t>https://github.com/Colliam-Vermilion/FirstCodex/blob/results/ad-oxygen-literature-20261006/results/ad-oxygen-literature-20261006/original_files/R11655/fulltext/fulltext__published__fbe29ee21ae82f48.pdf</t>
        </is>
      </c>
    </row>
    <row r="368" ht="48" customHeight="1">
      <c r="A368" s="2" t="inlineStr">
        <is>
          <t>R11658</t>
        </is>
      </c>
      <c r="B368" s="2" t="inlineStr">
        <is>
          <t>IMPACT OF MICRO-AERATION ON FUNGAL COMMUNITY FROM ANAEROBIC DIGESTION</t>
        </is>
      </c>
      <c r="C368" s="2" t="inlineStr">
        <is>
          <t>2025</t>
        </is>
      </c>
      <c r="D368" s="2" t="inlineStr">
        <is>
          <t>2025</t>
        </is>
      </c>
      <c r="E368" s="2" t="inlineStr">
        <is>
          <t>10.30546/300045.2024.1.4.019</t>
        </is>
      </c>
      <c r="F368" s="2" t="inlineStr">
        <is>
          <t>期刊文章</t>
        </is>
      </c>
      <c r="G368" s="2" t="inlineStr">
        <is>
          <t>2 向厌氧水解或产酸阶段供氧</t>
        </is>
      </c>
      <c r="H368" s="2" t="inlineStr">
        <is>
          <t>是</t>
        </is>
      </c>
      <c r="I368" s="2" t="inlineStr">
        <is>
          <t>研究类</t>
        </is>
      </c>
      <c r="J368" s="2" t="inlineStr">
        <is>
          <t>是</t>
        </is>
      </c>
      <c r="K368" s="2" t="inlineStr">
        <is>
          <t>BSU- Journal of Life Sciences &amp; Biology</t>
        </is>
      </c>
      <c r="L368" s="2" t="inlineStr">
        <is>
          <t>Baku State University Journal of Life Sciences &amp; Biology</t>
        </is>
      </c>
      <c r="M368" s="2" t="inlineStr"/>
      <c r="N368" s="2" t="inlineStr"/>
      <c r="O368" s="2" t="inlineStr">
        <is>
          <t>已取得核验全文</t>
        </is>
      </c>
      <c r="P368" s="2" t="inlineStr">
        <is>
          <t>是</t>
        </is>
      </c>
      <c r="Q368" s="2" t="inlineStr">
        <is>
          <t>当前无补充材料原件；沿用既有缺失/无附件证据，不据此认定无附件</t>
        </is>
      </c>
      <c r="R368" s="2" t="n">
        <v>2024</v>
      </c>
      <c r="S368" s="2" t="inlineStr">
        <is>
          <t>2025发布版（2024指标年）</t>
        </is>
      </c>
      <c r="T368" s="2" t="inlineStr"/>
      <c r="U368" s="2" t="inlineStr"/>
      <c r="V368" s="2" t="inlineStr">
        <is>
          <t>待核实</t>
        </is>
      </c>
      <c r="W368" s="2" t="inlineStr">
        <is>
          <t>待核实</t>
        </is>
      </c>
      <c r="X368" s="2" t="inlineStr">
        <is>
          <t>否</t>
        </is>
      </c>
      <c r="Y368" s="2" t="inlineStr"/>
      <c r="Z368" s="2" t="inlineStr">
        <is>
          <t>https://api.crossref.org/works/10.30546/300045.2024.1.4.019</t>
        </is>
      </c>
      <c r="AA368" s="2" t="inlineStr">
        <is>
          <t>2024指标年JCR分区未核实；空白不能当非Q1。需要2025发布版/2024指标年的JCR全部学科导出。</t>
        </is>
      </c>
      <c r="AB368" s="2" t="inlineStr">
        <is>
          <t>original_files/R11658/fulltext/fulltext__published__83a514a4b04c73a0.pdf</t>
        </is>
      </c>
      <c r="AC368" s="2" t="inlineStr"/>
      <c r="AD368" s="2" t="inlineStr">
        <is>
          <t>https://github.com/Colliam-Vermilion/FirstCodex/blob/results/ad-oxygen-literature-20261006/results/ad-oxygen-literature-20261006/original_files/R11658/fulltext/fulltext__published__83a514a4b04c73a0.pdf</t>
        </is>
      </c>
    </row>
    <row r="369" ht="48" customHeight="1">
      <c r="A369" s="3" t="inlineStr">
        <is>
          <t>R11679</t>
        </is>
      </c>
      <c r="B369" s="3" t="inlineStr">
        <is>
          <t>Improving high-solids anaerobic digestion of source-separated organics with nanobubble water supplementation: Significance of microbial community dynamics</t>
        </is>
      </c>
      <c r="C369" s="3" t="inlineStr">
        <is>
          <t>2025</t>
        </is>
      </c>
      <c r="D369" s="3" t="inlineStr">
        <is>
          <t>2025</t>
        </is>
      </c>
      <c r="E369" s="3" t="inlineStr">
        <is>
          <t>10.1016/j.biteb.2025.102415</t>
        </is>
      </c>
      <c r="F369" s="3" t="inlineStr">
        <is>
          <t>期刊文章</t>
        </is>
      </c>
      <c r="G369" s="3" t="inlineStr">
        <is>
          <t>5 排除</t>
        </is>
      </c>
      <c r="H369" s="3" t="inlineStr">
        <is>
          <t>否</t>
        </is>
      </c>
      <c r="I369" s="3" t="inlineStr">
        <is>
          <t>研究类</t>
        </is>
      </c>
      <c r="J369" s="3" t="inlineStr">
        <is>
          <t>否</t>
        </is>
      </c>
      <c r="K369" s="3" t="inlineStr">
        <is>
          <t>Bioresource Technology Reports</t>
        </is>
      </c>
      <c r="L369" s="3" t="inlineStr">
        <is>
          <t>Bioresource Technology Reports</t>
        </is>
      </c>
      <c r="M369" s="3" t="inlineStr">
        <is>
          <t>2589-014X</t>
        </is>
      </c>
      <c r="N369" s="3" t="inlineStr"/>
      <c r="O369" s="3" t="inlineStr">
        <is>
          <t>未取得全文</t>
        </is>
      </c>
      <c r="P369" s="3" t="inlineStr">
        <is>
          <t>否</t>
        </is>
      </c>
      <c r="Q369" s="3" t="inlineStr">
        <is>
          <t>当前无补充材料原件；沿用既有缺失/无附件证据，不据此认定无附件</t>
        </is>
      </c>
      <c r="R369" s="3" t="n">
        <v>2024</v>
      </c>
      <c r="S369" s="3" t="inlineStr">
        <is>
          <t>2025发布版（2024指标年）</t>
        </is>
      </c>
      <c r="T369" s="3" t="inlineStr"/>
      <c r="U369" s="3" t="inlineStr"/>
      <c r="V369" s="3" t="inlineStr">
        <is>
          <t>待核实</t>
        </is>
      </c>
      <c r="W369" s="3" t="inlineStr">
        <is>
          <t>待核实</t>
        </is>
      </c>
      <c r="X369" s="3" t="inlineStr">
        <is>
          <t>否</t>
        </is>
      </c>
      <c r="Y369" s="3" t="inlineStr"/>
      <c r="Z369" s="3" t="inlineStr">
        <is>
          <t>https://api.crossref.org/works/10.1016/j.biteb.2025.102415</t>
        </is>
      </c>
      <c r="AA369" s="3" t="inlineStr">
        <is>
          <t>2024指标年JCR分区未核实；空白不能当非Q1。需要2025发布版/2024指标年的JCR全部学科导出。</t>
        </is>
      </c>
      <c r="AB369" s="3" t="inlineStr"/>
      <c r="AC369" s="3" t="inlineStr"/>
      <c r="AD369" s="3" t="inlineStr"/>
    </row>
    <row r="370" ht="48" customHeight="1">
      <c r="A370" s="2" t="inlineStr">
        <is>
          <t>R11680</t>
        </is>
      </c>
      <c r="B370" s="2" t="inlineStr">
        <is>
          <t>Improving methane production and 4-chlorophenol removal in anaerobic digestion of corn straw by adding Phanerochaete chrysosporium and biochar under microaerobic conditions</t>
        </is>
      </c>
      <c r="C370" s="2" t="inlineStr">
        <is>
          <t>2025</t>
        </is>
      </c>
      <c r="D370" s="2" t="inlineStr">
        <is>
          <t>2025</t>
        </is>
      </c>
      <c r="E370" s="2" t="inlineStr">
        <is>
          <t>10.1016/j.watres.2024.122845</t>
        </is>
      </c>
      <c r="F370" s="2" t="inlineStr">
        <is>
          <t>期刊文章</t>
        </is>
      </c>
      <c r="G370" s="2" t="inlineStr">
        <is>
          <t>5 排除</t>
        </is>
      </c>
      <c r="H370" s="2" t="inlineStr">
        <is>
          <t>否</t>
        </is>
      </c>
      <c r="I370" s="2" t="inlineStr">
        <is>
          <t>研究类</t>
        </is>
      </c>
      <c r="J370" s="2" t="inlineStr">
        <is>
          <t>否</t>
        </is>
      </c>
      <c r="K370" s="2" t="inlineStr">
        <is>
          <t>WATER RESEARCH</t>
        </is>
      </c>
      <c r="L370" s="2" t="inlineStr">
        <is>
          <t>Water Research</t>
        </is>
      </c>
      <c r="M370" s="2" t="inlineStr">
        <is>
          <t>0043-1354</t>
        </is>
      </c>
      <c r="N370" s="2" t="inlineStr"/>
      <c r="O370" s="2" t="inlineStr">
        <is>
          <t>未取得全文</t>
        </is>
      </c>
      <c r="P370" s="2" t="inlineStr">
        <is>
          <t>否</t>
        </is>
      </c>
      <c r="Q370" s="2" t="inlineStr">
        <is>
          <t>当前无补充材料原件；沿用既有缺失/无附件证据，不据此认定无附件</t>
        </is>
      </c>
      <c r="R370" s="2" t="n">
        <v>2024</v>
      </c>
      <c r="S370" s="2" t="inlineStr">
        <is>
          <t>2025发布版（2024指标年）</t>
        </is>
      </c>
      <c r="T370" s="2" t="inlineStr">
        <is>
          <t>WATER RESOURCES; ENGINEERING, ENVIRONMENTAL; ENVIRONMENTAL SCIENCES</t>
        </is>
      </c>
      <c r="U370" s="2" t="inlineStr">
        <is>
          <t>WATER RESOURCES: Q1; ENGINEERING, ENVIRONMENTAL: Q1; ENVIRONMENTAL SCIENCES: Q1</t>
        </is>
      </c>
      <c r="V370" s="4" t="inlineStr">
        <is>
          <t>是</t>
        </is>
      </c>
      <c r="W370" s="4" t="inlineStr">
        <is>
          <t>是</t>
        </is>
      </c>
      <c r="X370" s="2" t="inlineStr">
        <is>
          <t>是</t>
        </is>
      </c>
      <c r="Y370" s="2" t="inlineStr">
        <is>
          <t>https://topj.lib.whu.edu.cn/show.asp?cat=zk&amp;id=3962</t>
        </is>
      </c>
      <c r="Z370" s="2" t="inlineStr">
        <is>
          <t>https://api.crossref.org/works/10.1016/j.watres.2024.122845</t>
        </is>
      </c>
      <c r="AA37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70" s="2" t="inlineStr"/>
      <c r="AC370" s="2" t="inlineStr"/>
      <c r="AD370" s="2" t="inlineStr"/>
    </row>
    <row r="371" ht="48" customHeight="1">
      <c r="A371" s="3" t="inlineStr">
        <is>
          <t>R11682</t>
        </is>
      </c>
      <c r="B371" s="3" t="inlineStr">
        <is>
          <t>Improving sludge solubilization and biogas upgrading with eco-friendly garbage enzyme and microaerobic pretreatment: Operational parameters and energy balance</t>
        </is>
      </c>
      <c r="C371" s="3" t="inlineStr">
        <is>
          <t>2025</t>
        </is>
      </c>
      <c r="D371" s="3" t="inlineStr">
        <is>
          <t>2025</t>
        </is>
      </c>
      <c r="E371" s="3" t="inlineStr">
        <is>
          <t>10.1016/j.cej.2025.168425</t>
        </is>
      </c>
      <c r="F371" s="3" t="inlineStr">
        <is>
          <t>期刊文章</t>
        </is>
      </c>
      <c r="G371" s="3" t="inlineStr">
        <is>
          <t>3 独立好氧或微好氧预处理</t>
        </is>
      </c>
      <c r="H371" s="3" t="inlineStr">
        <is>
          <t>是</t>
        </is>
      </c>
      <c r="I371" s="3" t="inlineStr">
        <is>
          <t>研究类</t>
        </is>
      </c>
      <c r="J371" s="3" t="inlineStr">
        <is>
          <t>是</t>
        </is>
      </c>
      <c r="K371" s="3" t="inlineStr">
        <is>
          <t>Chemical Engineering Journal</t>
        </is>
      </c>
      <c r="L371" s="3" t="inlineStr">
        <is>
          <t>Chemical Engineering Journal</t>
        </is>
      </c>
      <c r="M371" s="3" t="inlineStr">
        <is>
          <t>1385-8947</t>
        </is>
      </c>
      <c r="N371" s="3" t="inlineStr"/>
      <c r="O371" s="3" t="inlineStr">
        <is>
          <t>已取得核验全文</t>
        </is>
      </c>
      <c r="P371" s="3" t="inlineStr">
        <is>
          <t>是</t>
        </is>
      </c>
      <c r="Q371" s="3" t="inlineStr">
        <is>
          <t>已取得1件原格式补充材料；其中1件唯一关联待核实；完整性未确认</t>
        </is>
      </c>
      <c r="R371" s="3" t="n">
        <v>2024</v>
      </c>
      <c r="S371" s="3" t="inlineStr">
        <is>
          <t>2025发布版（2024指标年）</t>
        </is>
      </c>
      <c r="T371" s="3" t="inlineStr">
        <is>
          <t>ENGINEERING, CHEMICAL; ENGINEERING, ENVIRONMENTAL</t>
        </is>
      </c>
      <c r="U371" s="3" t="inlineStr">
        <is>
          <t>ENGINEERING, CHEMICAL: Q1; ENGINEERING, ENVIRONMENTAL: Q1</t>
        </is>
      </c>
      <c r="V371" s="4" t="inlineStr">
        <is>
          <t>是</t>
        </is>
      </c>
      <c r="W371" s="4" t="inlineStr">
        <is>
          <t>是</t>
        </is>
      </c>
      <c r="X371" s="3" t="inlineStr">
        <is>
          <t>是</t>
        </is>
      </c>
      <c r="Y371" s="3" t="inlineStr">
        <is>
          <t>https://topj.lib.whu.edu.cn/show.asp?cat=zk&amp;id=2740</t>
        </is>
      </c>
      <c r="Z371" s="3" t="inlineStr">
        <is>
          <t>https://api.crossref.org/works/10.1016/j.cej.2025.168425</t>
        </is>
      </c>
      <c r="AA37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71" s="3" t="inlineStr">
        <is>
          <t>original_files/R11682/fulltext/fulltext__published__2cdd8434def5725e.pdf</t>
        </is>
      </c>
      <c r="AC371" s="3" t="inlineStr">
        <is>
          <t>original_files/R11682/supplementary/supplementary__85675106de1a4833.docx</t>
        </is>
      </c>
      <c r="AD371" s="3" t="inlineStr">
        <is>
          <t>https://github.com/Colliam-Vermilion/FirstCodex/blob/results/ad-oxygen-literature-20261006/results/ad-oxygen-literature-20261006/original_files/R11682/fulltext/fulltext__published__2cdd8434def5725e.pdf</t>
        </is>
      </c>
    </row>
    <row r="372" ht="48" customHeight="1">
      <c r="A372" s="2" t="inlineStr">
        <is>
          <t>R11724</t>
        </is>
      </c>
      <c r="B372" s="2" t="inlineStr">
        <is>
          <t>Insight into the role of intermittent microaeration in enhancing lignocellulose-containing anaerobic digestion and humic substances formation</t>
        </is>
      </c>
      <c r="C372" s="2" t="inlineStr">
        <is>
          <t>2025</t>
        </is>
      </c>
      <c r="D372" s="2" t="inlineStr">
        <is>
          <t>2025</t>
        </is>
      </c>
      <c r="E372" s="2" t="inlineStr">
        <is>
          <t>10.1016/j.cej.2025.166500</t>
        </is>
      </c>
      <c r="F372" s="2" t="inlineStr">
        <is>
          <t>期刊文章</t>
        </is>
      </c>
      <c r="G372" s="2" t="inlineStr">
        <is>
          <t>1 直接向 AD 反应器或内部循环系统供氧</t>
        </is>
      </c>
      <c r="H372" s="2" t="inlineStr">
        <is>
          <t>是</t>
        </is>
      </c>
      <c r="I372" s="2" t="inlineStr">
        <is>
          <t>研究类</t>
        </is>
      </c>
      <c r="J372" s="2" t="inlineStr">
        <is>
          <t>是</t>
        </is>
      </c>
      <c r="K372" s="2" t="inlineStr">
        <is>
          <t>Chemical Engineering Journal</t>
        </is>
      </c>
      <c r="L372" s="2" t="inlineStr">
        <is>
          <t>Chemical Engineering Journal</t>
        </is>
      </c>
      <c r="M372" s="2" t="inlineStr">
        <is>
          <t>1385-8947</t>
        </is>
      </c>
      <c r="N372" s="2" t="inlineStr"/>
      <c r="O372" s="2" t="inlineStr">
        <is>
          <t>已取得核验全文</t>
        </is>
      </c>
      <c r="P372" s="2" t="inlineStr">
        <is>
          <t>是</t>
        </is>
      </c>
      <c r="Q372" s="2" t="inlineStr">
        <is>
          <t>已取得1件原格式补充材料；其中1件唯一关联待核实；完整性未确认</t>
        </is>
      </c>
      <c r="R372" s="2" t="n">
        <v>2024</v>
      </c>
      <c r="S372" s="2" t="inlineStr">
        <is>
          <t>2025发布版（2024指标年）</t>
        </is>
      </c>
      <c r="T372" s="2" t="inlineStr">
        <is>
          <t>ENGINEERING, CHEMICAL; ENGINEERING, ENVIRONMENTAL</t>
        </is>
      </c>
      <c r="U372" s="2" t="inlineStr">
        <is>
          <t>ENGINEERING, CHEMICAL: Q1; ENGINEERING, ENVIRONMENTAL: Q1</t>
        </is>
      </c>
      <c r="V372" s="4" t="inlineStr">
        <is>
          <t>是</t>
        </is>
      </c>
      <c r="W372" s="4" t="inlineStr">
        <is>
          <t>是</t>
        </is>
      </c>
      <c r="X372" s="2" t="inlineStr">
        <is>
          <t>是</t>
        </is>
      </c>
      <c r="Y372" s="2" t="inlineStr">
        <is>
          <t>https://topj.lib.whu.edu.cn/show.asp?cat=zk&amp;id=2740</t>
        </is>
      </c>
      <c r="Z372" s="2" t="inlineStr">
        <is>
          <t>https://api.crossref.org/works/10.1016/j.cej.2025.166500</t>
        </is>
      </c>
      <c r="AA37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72" s="2" t="inlineStr">
        <is>
          <t>original_files/R11724/fulltext/fulltext__published__c46a1305f718264e.pdf</t>
        </is>
      </c>
      <c r="AC372" s="2" t="inlineStr">
        <is>
          <t>original_files/R11724/supplementary/supplementary__3367aba3cbd3f6df.docx</t>
        </is>
      </c>
      <c r="AD372" s="2" t="inlineStr">
        <is>
          <t>https://github.com/Colliam-Vermilion/FirstCodex/blob/results/ad-oxygen-literature-20261006/results/ad-oxygen-literature-20261006/original_files/R11724/fulltext/fulltext__published__c46a1305f718264e.pdf</t>
        </is>
      </c>
    </row>
    <row r="373" ht="48" customHeight="1">
      <c r="A373" s="3" t="inlineStr">
        <is>
          <t>R11773</t>
        </is>
      </c>
      <c r="B373" s="3" t="inlineStr">
        <is>
          <t>Lab to large-scale applications of microaeration in anaerobic digestion: Biowaste digestibility, microbiome nexus, and reactor stability</t>
        </is>
      </c>
      <c r="C373" s="3" t="inlineStr">
        <is>
          <t>2025</t>
        </is>
      </c>
      <c r="D373" s="3" t="inlineStr">
        <is>
          <t>2025</t>
        </is>
      </c>
      <c r="E373" s="3" t="inlineStr">
        <is>
          <t>10.1016/j.jece.2025.117766</t>
        </is>
      </c>
      <c r="F373" s="3" t="inlineStr">
        <is>
          <t>期刊文章</t>
        </is>
      </c>
      <c r="G373" s="3" t="inlineStr">
        <is>
          <t>4 综述</t>
        </is>
      </c>
      <c r="H373" s="3" t="inlineStr">
        <is>
          <t>是</t>
        </is>
      </c>
      <c r="I373" s="3" t="inlineStr">
        <is>
          <t>综述</t>
        </is>
      </c>
      <c r="J373" s="3" t="inlineStr">
        <is>
          <t>是</t>
        </is>
      </c>
      <c r="K373" s="3" t="inlineStr">
        <is>
          <t>Journal of Environmental Chemical Engineering</t>
        </is>
      </c>
      <c r="L373" s="3" t="inlineStr">
        <is>
          <t>Journal of Environmental Chemical Engineering</t>
        </is>
      </c>
      <c r="M373" s="3" t="inlineStr">
        <is>
          <t>2213-3437</t>
        </is>
      </c>
      <c r="N373" s="3" t="inlineStr"/>
      <c r="O373" s="3" t="inlineStr">
        <is>
          <t>已取得核验全文</t>
        </is>
      </c>
      <c r="P373" s="3" t="inlineStr">
        <is>
          <t>是</t>
        </is>
      </c>
      <c r="Q373" s="3" t="inlineStr">
        <is>
          <t>已取得1件原格式补充材料；其中0件唯一关联待核实；完整性未确认</t>
        </is>
      </c>
      <c r="R373" s="3" t="n">
        <v>2024</v>
      </c>
      <c r="S373" s="3" t="inlineStr">
        <is>
          <t>2025发布版（2024指标年）</t>
        </is>
      </c>
      <c r="T373" s="3" t="inlineStr">
        <is>
          <t>ENGINEERING, CHEMICAL; ENGINEERING, ENVIRONMENTAL</t>
        </is>
      </c>
      <c r="U373" s="3" t="inlineStr">
        <is>
          <t>ENGINEERING, CHEMICAL: Q1; ENGINEERING, ENVIRONMENTAL: Q1</t>
        </is>
      </c>
      <c r="V373" s="4" t="inlineStr">
        <is>
          <t>是</t>
        </is>
      </c>
      <c r="W373" s="4" t="inlineStr">
        <is>
          <t>是</t>
        </is>
      </c>
      <c r="X373" s="3" t="inlineStr">
        <is>
          <t>是</t>
        </is>
      </c>
      <c r="Y373" s="3" t="inlineStr">
        <is>
          <t>https://topj.lib.whu.edu.cn/show.asp?cat=zk&amp;id=5142</t>
        </is>
      </c>
      <c r="Z373" s="3" t="inlineStr">
        <is>
          <t>https://api.crossref.org/works/10.1016/j.jece.2025.117766</t>
        </is>
      </c>
      <c r="AA37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73" s="3" t="inlineStr">
        <is>
          <t>original_files/R11773/fulltext/fulltext__published__af2a9bfa3b5aca1a.pdf</t>
        </is>
      </c>
      <c r="AC373" s="3" t="inlineStr">
        <is>
          <t>original_files/R11773/supplementary/supplementary__baf8ea362538cfce.docx</t>
        </is>
      </c>
      <c r="AD373" s="3" t="inlineStr">
        <is>
          <t>https://github.com/Colliam-Vermilion/FirstCodex/blob/results/ad-oxygen-literature-20261006/results/ad-oxygen-literature-20261006/original_files/R11773/fulltext/fulltext__published__af2a9bfa3b5aca1a.pdf</t>
        </is>
      </c>
    </row>
    <row r="374" ht="48" customHeight="1">
      <c r="A374" s="2" t="inlineStr">
        <is>
          <t>R11845</t>
        </is>
      </c>
      <c r="B374" s="2" t="inlineStr">
        <is>
          <t>Micro-aeration to improve anaerobic digestion of cattle slurry</t>
        </is>
      </c>
      <c r="C374" s="2" t="inlineStr">
        <is>
          <t>2025</t>
        </is>
      </c>
      <c r="D374" s="2" t="inlineStr">
        <is>
          <t>2025</t>
        </is>
      </c>
      <c r="E374" s="2" t="inlineStr"/>
      <c r="F374" s="2" t="inlineStr">
        <is>
          <t>会议摘要（非论文全文）</t>
        </is>
      </c>
      <c r="G374" s="2" t="inlineStr">
        <is>
          <t>1 直接向 AD 反应器或内部循环系统供氧</t>
        </is>
      </c>
      <c r="H374" s="2" t="inlineStr">
        <is>
          <t>是</t>
        </is>
      </c>
      <c r="I374" s="2" t="inlineStr">
        <is>
          <t>会议/非期刊</t>
        </is>
      </c>
      <c r="J374" s="2" t="inlineStr">
        <is>
          <t>否</t>
        </is>
      </c>
      <c r="K374" s="2" t="inlineStr">
        <is>
          <t>7th International Conference WASTES: Solutions, Treatments and Opportunities</t>
        </is>
      </c>
      <c r="L374" s="2" t="inlineStr">
        <is>
          <t>7th International Conference WASTES: Solutions, Treatments and Opportunities</t>
        </is>
      </c>
      <c r="M374" s="2" t="inlineStr"/>
      <c r="N374" s="2" t="inlineStr"/>
      <c r="O374" s="2" t="inlineStr">
        <is>
          <t>仅摘要，未取得全文</t>
        </is>
      </c>
      <c r="P374" s="2" t="inlineStr">
        <is>
          <t>否</t>
        </is>
      </c>
      <c r="Q374" s="2" t="inlineStr">
        <is>
          <t>当前无补充材料原件；沿用既有缺失/无附件证据，不据此认定无附件</t>
        </is>
      </c>
      <c r="R374" s="2" t="inlineStr"/>
      <c r="S374" s="2" t="inlineStr"/>
      <c r="T374" s="2" t="inlineStr"/>
      <c r="U374" s="2" t="inlineStr"/>
      <c r="V374" s="2" t="inlineStr">
        <is>
          <t>不适用</t>
        </is>
      </c>
      <c r="W374" s="2" t="inlineStr">
        <is>
          <t>不适用</t>
        </is>
      </c>
      <c r="X374" s="2" t="inlineStr">
        <is>
          <t>不适用</t>
        </is>
      </c>
      <c r="Y374" s="2" t="inlineStr"/>
      <c r="Z374" s="2" t="inlineStr"/>
      <c r="AA374" s="2" t="inlineStr">
        <is>
          <t>非目标期刊论文或类型待核实，不进入JCR分母</t>
        </is>
      </c>
      <c r="AB374" s="2" t="inlineStr"/>
      <c r="AC374" s="2" t="inlineStr"/>
      <c r="AD374" s="2" t="inlineStr"/>
    </row>
    <row r="375" ht="48" customHeight="1">
      <c r="A375" s="3" t="inlineStr">
        <is>
          <t>R11853</t>
        </is>
      </c>
      <c r="B375" s="3" t="inlineStr">
        <is>
          <t>Microaerobic biodegradation of aromatic hydrocarbon mixtures: strategies for efficient nitrate and oxygen dosage</t>
        </is>
      </c>
      <c r="C375" s="3" t="inlineStr">
        <is>
          <t>2025</t>
        </is>
      </c>
      <c r="D375" s="3" t="inlineStr">
        <is>
          <t>2025</t>
        </is>
      </c>
      <c r="E375" s="3" t="inlineStr">
        <is>
          <t>10.1007/s00253-024-13388-9</t>
        </is>
      </c>
      <c r="F375" s="3" t="inlineStr">
        <is>
          <t>期刊文章</t>
        </is>
      </c>
      <c r="G375" s="3" t="inlineStr">
        <is>
          <t>5 排除</t>
        </is>
      </c>
      <c r="H375" s="3" t="inlineStr">
        <is>
          <t>否</t>
        </is>
      </c>
      <c r="I375" s="3" t="inlineStr">
        <is>
          <t>研究类</t>
        </is>
      </c>
      <c r="J375" s="3" t="inlineStr">
        <is>
          <t>否</t>
        </is>
      </c>
      <c r="K375" s="3" t="inlineStr">
        <is>
          <t>APPLIED MICROBIOLOGY AND BIOTECHNOLOGY</t>
        </is>
      </c>
      <c r="L375" s="3" t="inlineStr">
        <is>
          <t>Applied Microbiology and Biotechnology</t>
        </is>
      </c>
      <c r="M375" s="3" t="inlineStr"/>
      <c r="N375" s="3" t="inlineStr">
        <is>
          <t>1432-0614</t>
        </is>
      </c>
      <c r="O375" s="3" t="inlineStr">
        <is>
          <t>未取得全文</t>
        </is>
      </c>
      <c r="P375" s="3" t="inlineStr">
        <is>
          <t>否</t>
        </is>
      </c>
      <c r="Q375" s="3" t="inlineStr">
        <is>
          <t>当前无补充材料原件；沿用既有缺失/无附件证据，不据此认定无附件</t>
        </is>
      </c>
      <c r="R375" s="3" t="n">
        <v>2024</v>
      </c>
      <c r="S375" s="3" t="inlineStr">
        <is>
          <t>2025发布版（2024指标年）</t>
        </is>
      </c>
      <c r="T375" s="3" t="inlineStr">
        <is>
          <t>BIOTECHNOLOGY &amp; APPLIED MICROBIOLOGY</t>
        </is>
      </c>
      <c r="U375" s="3" t="inlineStr">
        <is>
          <t>BIOTECHNOLOGY &amp; APPLIED MICROBIOLOGY: Q1</t>
        </is>
      </c>
      <c r="V375" s="4" t="inlineStr">
        <is>
          <t>是</t>
        </is>
      </c>
      <c r="W375" s="4" t="inlineStr">
        <is>
          <t>是</t>
        </is>
      </c>
      <c r="X375" s="3" t="inlineStr">
        <is>
          <t>是</t>
        </is>
      </c>
      <c r="Y375" s="3" t="inlineStr">
        <is>
          <t>https://topj.lib.whu.edu.cn/searchxk1.asp?ordertype=asc&amp;page=6&amp;q=&amp;xk=291</t>
        </is>
      </c>
      <c r="Z375" s="3" t="inlineStr">
        <is>
          <t>https://api.crossref.org/works/10.1007/s00253-024-13388-9</t>
        </is>
      </c>
      <c r="AA375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375" s="3" t="inlineStr"/>
      <c r="AC375" s="3" t="inlineStr"/>
      <c r="AD375" s="3" t="inlineStr"/>
    </row>
    <row r="376" ht="48" customHeight="1">
      <c r="A376" s="2" t="inlineStr">
        <is>
          <t>R11993</t>
        </is>
      </c>
      <c r="B376" s="2" t="inlineStr">
        <is>
          <t>Optimization of Biogas Production and In-Situ Upgrading via Hydrogenotrophic Methanogenesis in a Lab-Scale UASB Reactor</t>
        </is>
      </c>
      <c r="C376" s="2" t="inlineStr">
        <is>
          <t>2025</t>
        </is>
      </c>
      <c r="D376" s="2" t="inlineStr">
        <is>
          <t>2025</t>
        </is>
      </c>
      <c r="E376" s="2" t="inlineStr">
        <is>
          <t>10.30955/gnc2025.00175</t>
        </is>
      </c>
      <c r="F376" s="2" t="inlineStr">
        <is>
          <t>会议研究论文（非期刊文章）</t>
        </is>
      </c>
      <c r="G376" s="2" t="inlineStr">
        <is>
          <t>5 排除</t>
        </is>
      </c>
      <c r="H376" s="2" t="inlineStr">
        <is>
          <t>否</t>
        </is>
      </c>
      <c r="I376" s="2" t="inlineStr">
        <is>
          <t>会议/非期刊</t>
        </is>
      </c>
      <c r="J376" s="2" t="inlineStr">
        <is>
          <t>否</t>
        </is>
      </c>
      <c r="K376" s="2" t="inlineStr">
        <is>
          <t>Global NEST International Conference on Environmental Science &amp; Technology</t>
        </is>
      </c>
      <c r="L376" s="2" t="inlineStr">
        <is>
          <t>Global NEST International Conference on Environmental Science &amp;amp; Technology</t>
        </is>
      </c>
      <c r="M376" s="2" t="inlineStr">
        <is>
          <t>2944-9820</t>
        </is>
      </c>
      <c r="N376" s="2" t="inlineStr"/>
      <c r="O376" s="2" t="inlineStr">
        <is>
          <t>未取得全文</t>
        </is>
      </c>
      <c r="P376" s="2" t="inlineStr">
        <is>
          <t>否</t>
        </is>
      </c>
      <c r="Q376" s="2" t="inlineStr">
        <is>
          <t>当前无补充材料原件；沿用既有缺失/无附件证据，不据此认定无附件</t>
        </is>
      </c>
      <c r="R376" s="2" t="inlineStr"/>
      <c r="S376" s="2" t="inlineStr"/>
      <c r="T376" s="2" t="inlineStr"/>
      <c r="U376" s="2" t="inlineStr"/>
      <c r="V376" s="2" t="inlineStr">
        <is>
          <t>不适用</t>
        </is>
      </c>
      <c r="W376" s="2" t="inlineStr">
        <is>
          <t>不适用</t>
        </is>
      </c>
      <c r="X376" s="2" t="inlineStr">
        <is>
          <t>不适用</t>
        </is>
      </c>
      <c r="Y376" s="2" t="inlineStr"/>
      <c r="Z376" s="2" t="inlineStr">
        <is>
          <t>https://api.crossref.org/works/10.30955/gnc2025.00175</t>
        </is>
      </c>
      <c r="AA376" s="2" t="inlineStr">
        <is>
          <t>非目标期刊论文或类型待核实，不进入JCR分母</t>
        </is>
      </c>
      <c r="AB376" s="2" t="inlineStr"/>
      <c r="AC376" s="2" t="inlineStr"/>
      <c r="AD376" s="2" t="inlineStr"/>
    </row>
    <row r="377" ht="48" customHeight="1">
      <c r="A377" s="3" t="inlineStr">
        <is>
          <t>R12127</t>
        </is>
      </c>
      <c r="B377" s="3" t="inlineStr">
        <is>
          <t>Reactive oxygen species generation induced by coupling Phanerochaete chrysosporium with intermittent micro-aeration to enhance methane production</t>
        </is>
      </c>
      <c r="C377" s="3" t="inlineStr">
        <is>
          <t>2025</t>
        </is>
      </c>
      <c r="D377" s="3" t="inlineStr">
        <is>
          <t>2025</t>
        </is>
      </c>
      <c r="E377" s="3" t="inlineStr">
        <is>
          <t>10.1016/j.cej.2025.166351</t>
        </is>
      </c>
      <c r="F377" s="3" t="inlineStr">
        <is>
          <t>期刊文章</t>
        </is>
      </c>
      <c r="G377" s="3" t="inlineStr">
        <is>
          <t>1 直接向 AD 反应器或内部循环系统供氧</t>
        </is>
      </c>
      <c r="H377" s="3" t="inlineStr">
        <is>
          <t>是</t>
        </is>
      </c>
      <c r="I377" s="3" t="inlineStr">
        <is>
          <t>研究类</t>
        </is>
      </c>
      <c r="J377" s="3" t="inlineStr">
        <is>
          <t>是</t>
        </is>
      </c>
      <c r="K377" s="3" t="inlineStr">
        <is>
          <t>Chemical Engineering Journal</t>
        </is>
      </c>
      <c r="L377" s="3" t="inlineStr">
        <is>
          <t>Chemical Engineering Journal</t>
        </is>
      </c>
      <c r="M377" s="3" t="inlineStr">
        <is>
          <t>1385-8947</t>
        </is>
      </c>
      <c r="N377" s="3" t="inlineStr"/>
      <c r="O377" s="3" t="inlineStr">
        <is>
          <t>已取得核验全文</t>
        </is>
      </c>
      <c r="P377" s="3" t="inlineStr">
        <is>
          <t>是</t>
        </is>
      </c>
      <c r="Q377" s="3" t="inlineStr">
        <is>
          <t>已取得1件原格式补充材料；其中0件唯一关联待核实；完整性未确认</t>
        </is>
      </c>
      <c r="R377" s="3" t="n">
        <v>2024</v>
      </c>
      <c r="S377" s="3" t="inlineStr">
        <is>
          <t>2025发布版（2024指标年）</t>
        </is>
      </c>
      <c r="T377" s="3" t="inlineStr">
        <is>
          <t>ENGINEERING, CHEMICAL; ENGINEERING, ENVIRONMENTAL</t>
        </is>
      </c>
      <c r="U377" s="3" t="inlineStr">
        <is>
          <t>ENGINEERING, CHEMICAL: Q1; ENGINEERING, ENVIRONMENTAL: Q1</t>
        </is>
      </c>
      <c r="V377" s="4" t="inlineStr">
        <is>
          <t>是</t>
        </is>
      </c>
      <c r="W377" s="4" t="inlineStr">
        <is>
          <t>是</t>
        </is>
      </c>
      <c r="X377" s="3" t="inlineStr">
        <is>
          <t>是</t>
        </is>
      </c>
      <c r="Y377" s="3" t="inlineStr">
        <is>
          <t>https://topj.lib.whu.edu.cn/show.asp?cat=zk&amp;id=2740</t>
        </is>
      </c>
      <c r="Z377" s="3" t="inlineStr">
        <is>
          <t>https://api.crossref.org/works/10.1016/j.cej.2025.166351</t>
        </is>
      </c>
      <c r="AA37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77" s="3" t="inlineStr">
        <is>
          <t>original_files/R12127/fulltext/fulltext__published__14faeda50fcb9432.pdf</t>
        </is>
      </c>
      <c r="AC377" s="3" t="inlineStr">
        <is>
          <t>original_files/R12127/supplementary/supplementary__16a131ec6fbe2bb8.docx</t>
        </is>
      </c>
      <c r="AD377" s="3" t="inlineStr">
        <is>
          <t>https://github.com/Colliam-Vermilion/FirstCodex/blob/results/ad-oxygen-literature-20261006/results/ad-oxygen-literature-20261006/original_files/R12127/fulltext/fulltext__published__14faeda50fcb9432.pdf</t>
        </is>
      </c>
    </row>
    <row r="378" ht="48" customHeight="1">
      <c r="A378" s="2" t="inlineStr">
        <is>
          <t>R12129</t>
        </is>
      </c>
      <c r="B378" s="2" t="inlineStr">
        <is>
          <t>Recent Advances in Applying Nanobubbles for Enhanced Anaerobic Digestion: Fundamentals, Challenges, and Future Prospects</t>
        </is>
      </c>
      <c r="C378" s="2" t="inlineStr">
        <is>
          <t>2025</t>
        </is>
      </c>
      <c r="D378" s="2" t="inlineStr">
        <is>
          <t>2025</t>
        </is>
      </c>
      <c r="E378" s="2" t="inlineStr">
        <is>
          <t>10.1007/s12155-025-10889-x</t>
        </is>
      </c>
      <c r="F378" s="2" t="inlineStr">
        <is>
          <t>综述</t>
        </is>
      </c>
      <c r="G378" s="2" t="inlineStr">
        <is>
          <t>4 综述</t>
        </is>
      </c>
      <c r="H378" s="2" t="inlineStr">
        <is>
          <t>是</t>
        </is>
      </c>
      <c r="I378" s="2" t="inlineStr">
        <is>
          <t>综述</t>
        </is>
      </c>
      <c r="J378" s="2" t="inlineStr">
        <is>
          <t>是</t>
        </is>
      </c>
      <c r="K378" s="2" t="inlineStr">
        <is>
          <t>BIOENERGY RESEARCH</t>
        </is>
      </c>
      <c r="L378" s="2" t="inlineStr">
        <is>
          <t>BioEnergy Research</t>
        </is>
      </c>
      <c r="M378" s="2" t="inlineStr"/>
      <c r="N378" s="2" t="inlineStr">
        <is>
          <t>1939-1242</t>
        </is>
      </c>
      <c r="O378" s="2" t="inlineStr">
        <is>
          <t>已取得核验全文</t>
        </is>
      </c>
      <c r="P378" s="2" t="inlineStr">
        <is>
          <t>是</t>
        </is>
      </c>
      <c r="Q378" s="2" t="inlineStr">
        <is>
          <t>当前无补充材料原件；沿用既有缺失/无附件证据，不据此认定无附件</t>
        </is>
      </c>
      <c r="R378" s="2" t="n">
        <v>2024</v>
      </c>
      <c r="S378" s="2" t="inlineStr">
        <is>
          <t>2025发布版（2024指标年）</t>
        </is>
      </c>
      <c r="T378" s="2" t="inlineStr">
        <is>
          <t>ENERGY &amp; FUELS; ENVIRONMENTAL SCIENCES</t>
        </is>
      </c>
      <c r="U378" s="2" t="inlineStr">
        <is>
          <t>ENERGY &amp; FUELS: Q3; ENVIRONMENTAL SCIENCES: Q3</t>
        </is>
      </c>
      <c r="V378" s="2" t="inlineStr">
        <is>
          <t>否</t>
        </is>
      </c>
      <c r="W378" s="2" t="inlineStr">
        <is>
          <t>否</t>
        </is>
      </c>
      <c r="X378" s="2" t="inlineStr">
        <is>
          <t>是</t>
        </is>
      </c>
      <c r="Y378" s="2" t="inlineStr">
        <is>
          <t>https://topj.lib.whu.edu.cn/search.asp?cat=esi&amp;ordertype=desc&amp;page=7&amp;q=&amp;xk=19</t>
        </is>
      </c>
      <c r="Z378" s="2" t="inlineStr">
        <is>
          <t>https://api.crossref.org/works/10.1007/s12155-025-10889-x</t>
        </is>
      </c>
      <c r="AA378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378" s="2" t="inlineStr">
        <is>
          <t>original_files/R12129/fulltext/fulltext__published__ba2e2116fbbed586.pdf</t>
        </is>
      </c>
      <c r="AC378" s="2" t="inlineStr"/>
      <c r="AD378" s="2" t="inlineStr">
        <is>
          <t>https://github.com/Colliam-Vermilion/FirstCodex/blob/results/ad-oxygen-literature-20261006/results/ad-oxygen-literature-20261006/original_files/R12129/fulltext/fulltext__published__ba2e2116fbbed586.pdf</t>
        </is>
      </c>
    </row>
    <row r="379" ht="48" customHeight="1">
      <c r="A379" s="3" t="inlineStr">
        <is>
          <t>R12251</t>
        </is>
      </c>
      <c r="B379" s="3" t="inlineStr">
        <is>
          <t>Study of Prototypes for Biofuel Production Extraction from Biodegradation in Oxygen-Free Environments Processing Wastewater</t>
        </is>
      </c>
      <c r="C379" s="3" t="inlineStr">
        <is>
          <t>2025</t>
        </is>
      </c>
      <c r="D379" s="3" t="inlineStr">
        <is>
          <t>2025</t>
        </is>
      </c>
      <c r="E379" s="3" t="inlineStr">
        <is>
          <t>10.51646/jsesd.v14i1.418</t>
        </is>
      </c>
      <c r="F379" s="3" t="inlineStr">
        <is>
          <t>期刊文章</t>
        </is>
      </c>
      <c r="G379" s="3" t="inlineStr">
        <is>
          <t>5 排除</t>
        </is>
      </c>
      <c r="H379" s="3" t="inlineStr">
        <is>
          <t>否</t>
        </is>
      </c>
      <c r="I379" s="3" t="inlineStr">
        <is>
          <t>研究类</t>
        </is>
      </c>
      <c r="J379" s="3" t="inlineStr">
        <is>
          <t>否</t>
        </is>
      </c>
      <c r="K379" s="3" t="inlineStr">
        <is>
          <t>Solar Energy and Sustainable Development Journal</t>
        </is>
      </c>
      <c r="L379" s="3" t="inlineStr">
        <is>
          <t>Solar Energy and Sustainable Development Journal</t>
        </is>
      </c>
      <c r="M379" s="3" t="inlineStr">
        <is>
          <t>2411-9636</t>
        </is>
      </c>
      <c r="N379" s="3" t="inlineStr">
        <is>
          <t>2414-6013</t>
        </is>
      </c>
      <c r="O379" s="3" t="inlineStr">
        <is>
          <t>未取得全文</t>
        </is>
      </c>
      <c r="P379" s="3" t="inlineStr">
        <is>
          <t>否</t>
        </is>
      </c>
      <c r="Q379" s="3" t="inlineStr">
        <is>
          <t>当前无补充材料原件；沿用既有缺失/无附件证据，不据此认定无附件</t>
        </is>
      </c>
      <c r="R379" s="3" t="n">
        <v>2024</v>
      </c>
      <c r="S379" s="3" t="inlineStr">
        <is>
          <t>2025发布版（2024指标年）</t>
        </is>
      </c>
      <c r="T379" s="3" t="inlineStr"/>
      <c r="U379" s="3" t="inlineStr"/>
      <c r="V379" s="3" t="inlineStr">
        <is>
          <t>待核实</t>
        </is>
      </c>
      <c r="W379" s="3" t="inlineStr">
        <is>
          <t>待核实</t>
        </is>
      </c>
      <c r="X379" s="3" t="inlineStr">
        <is>
          <t>否</t>
        </is>
      </c>
      <c r="Y379" s="3" t="inlineStr"/>
      <c r="Z379" s="3" t="inlineStr">
        <is>
          <t>https://api.crossref.org/works/10.51646/jsesd.v14i1.418</t>
        </is>
      </c>
      <c r="AA379" s="3" t="inlineStr">
        <is>
          <t>2024指标年JCR分区未核实；空白不能当非Q1。需要2025发布版/2024指标年的JCR全部学科导出。</t>
        </is>
      </c>
      <c r="AB379" s="3" t="inlineStr"/>
      <c r="AC379" s="3" t="inlineStr"/>
      <c r="AD379" s="3" t="inlineStr"/>
    </row>
    <row r="380" ht="48" customHeight="1">
      <c r="A380" s="2" t="inlineStr">
        <is>
          <t>R12259</t>
        </is>
      </c>
      <c r="B380" s="2" t="inlineStr">
        <is>
          <t>Study on the growth and decline patterns and environmental drivers of pathogens during the stabilization process of simulated landfilling municipal solid waste</t>
        </is>
      </c>
      <c r="C380" s="2" t="inlineStr">
        <is>
          <t>2025</t>
        </is>
      </c>
      <c r="D380" s="2" t="inlineStr">
        <is>
          <t>2025</t>
        </is>
      </c>
      <c r="E380" s="2" t="inlineStr">
        <is>
          <t>10.1016/j.wasman.2025.114791</t>
        </is>
      </c>
      <c r="F380" s="2" t="inlineStr">
        <is>
          <t>期刊文章</t>
        </is>
      </c>
      <c r="G380" s="2" t="inlineStr">
        <is>
          <t>5 排除</t>
        </is>
      </c>
      <c r="H380" s="2" t="inlineStr">
        <is>
          <t>否</t>
        </is>
      </c>
      <c r="I380" s="2" t="inlineStr">
        <is>
          <t>研究类</t>
        </is>
      </c>
      <c r="J380" s="2" t="inlineStr">
        <is>
          <t>否</t>
        </is>
      </c>
      <c r="K380" s="2" t="inlineStr">
        <is>
          <t>Waste Management</t>
        </is>
      </c>
      <c r="L380" s="2" t="inlineStr">
        <is>
          <t>Waste Management</t>
        </is>
      </c>
      <c r="M380" s="2" t="inlineStr">
        <is>
          <t>0956-053X</t>
        </is>
      </c>
      <c r="N380" s="2" t="inlineStr"/>
      <c r="O380" s="2" t="inlineStr">
        <is>
          <t>未取得全文</t>
        </is>
      </c>
      <c r="P380" s="2" t="inlineStr">
        <is>
          <t>否</t>
        </is>
      </c>
      <c r="Q380" s="2" t="inlineStr">
        <is>
          <t>当前无补充材料原件；沿用既有缺失/无附件证据，不据此认定无附件</t>
        </is>
      </c>
      <c r="R380" s="2" t="n">
        <v>2024</v>
      </c>
      <c r="S380" s="2" t="inlineStr">
        <is>
          <t>2025发布版（2024指标年）</t>
        </is>
      </c>
      <c r="T380" s="2" t="inlineStr">
        <is>
          <t>ENGINEERING, ENVIRONMENTAL; ENVIRONMENTAL SCIENCES</t>
        </is>
      </c>
      <c r="U380" s="2" t="inlineStr">
        <is>
          <t>ENGINEERING, ENVIRONMENTAL: Q1; ENVIRONMENTAL SCIENCES: Q1</t>
        </is>
      </c>
      <c r="V380" s="4" t="inlineStr">
        <is>
          <t>是</t>
        </is>
      </c>
      <c r="W380" s="4" t="inlineStr">
        <is>
          <t>是</t>
        </is>
      </c>
      <c r="X380" s="2" t="inlineStr">
        <is>
          <t>是</t>
        </is>
      </c>
      <c r="Y380" s="2" t="inlineStr">
        <is>
          <t>https://topj.lib.whu.edu.cn/show.asp?cat=zk&amp;id=4000</t>
        </is>
      </c>
      <c r="Z380" s="2" t="inlineStr">
        <is>
          <t>https://api.crossref.org/works/10.1016/j.wasman.2025.114791</t>
        </is>
      </c>
      <c r="AA38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80" s="2" t="inlineStr"/>
      <c r="AC380" s="2" t="inlineStr"/>
      <c r="AD380" s="2" t="inlineStr"/>
    </row>
    <row r="381" ht="48" customHeight="1">
      <c r="A381" s="3" t="inlineStr">
        <is>
          <t>R12316</t>
        </is>
      </c>
      <c r="B381" s="3" t="inlineStr">
        <is>
          <t>Techno-economic viability of an electrolyzer-oxygen storage system for continuous biogas desulfurization in Power-to-Gas applications</t>
        </is>
      </c>
      <c r="C381" s="3" t="inlineStr">
        <is>
          <t>2025</t>
        </is>
      </c>
      <c r="D381" s="3" t="inlineStr">
        <is>
          <t>2025</t>
        </is>
      </c>
      <c r="E381" s="3" t="inlineStr">
        <is>
          <t>10.1016/j.jclepro.2025.146510</t>
        </is>
      </c>
      <c r="F381" s="3" t="inlineStr">
        <is>
          <t>期刊文章</t>
        </is>
      </c>
      <c r="G381" s="3" t="inlineStr">
        <is>
          <t>5 排除</t>
        </is>
      </c>
      <c r="H381" s="3" t="inlineStr">
        <is>
          <t>否</t>
        </is>
      </c>
      <c r="I381" s="3" t="inlineStr">
        <is>
          <t>研究类</t>
        </is>
      </c>
      <c r="J381" s="3" t="inlineStr">
        <is>
          <t>否</t>
        </is>
      </c>
      <c r="K381" s="3" t="inlineStr">
        <is>
          <t>JOURNAL OF CLEANER PRODUCTION</t>
        </is>
      </c>
      <c r="L381" s="3" t="inlineStr">
        <is>
          <t>Journal of Cleaner Production</t>
        </is>
      </c>
      <c r="M381" s="3" t="inlineStr">
        <is>
          <t>0959-6526</t>
        </is>
      </c>
      <c r="N381" s="3" t="inlineStr"/>
      <c r="O381" s="3" t="inlineStr">
        <is>
          <t>未取得全文</t>
        </is>
      </c>
      <c r="P381" s="3" t="inlineStr">
        <is>
          <t>否</t>
        </is>
      </c>
      <c r="Q381" s="3" t="inlineStr">
        <is>
          <t>当前无补充材料原件；沿用既有缺失/无附件证据，不据此认定无附件</t>
        </is>
      </c>
      <c r="R381" s="3" t="n">
        <v>2024</v>
      </c>
      <c r="S381" s="3" t="inlineStr">
        <is>
          <t>2025发布版（2024指标年）</t>
        </is>
      </c>
      <c r="T381" s="3" t="inlineStr">
        <is>
          <t>ENGINEERING, ENVIRONMENTAL; ENVIRONMENTAL SCIENCES; GREEN &amp; SUSTAINABLE SCIENCE &amp; TECHNOLOGY</t>
        </is>
      </c>
      <c r="U381" s="3" t="inlineStr">
        <is>
          <t>ENGINEERING, ENVIRONMENTAL: Q1; ENVIRONMENTAL SCIENCES: Q1; GREEN &amp; SUSTAINABLE SCIENCE &amp; TECHNOLOGY: Q1</t>
        </is>
      </c>
      <c r="V381" s="4" t="inlineStr">
        <is>
          <t>是</t>
        </is>
      </c>
      <c r="W381" s="4" t="inlineStr">
        <is>
          <t>是</t>
        </is>
      </c>
      <c r="X381" s="3" t="inlineStr">
        <is>
          <t>是</t>
        </is>
      </c>
      <c r="Y381" s="3" t="inlineStr">
        <is>
          <t>https://topj.lib.whu.edu.cn/show.asp?cat=esi&amp;id=6394</t>
        </is>
      </c>
      <c r="Z381" s="3" t="inlineStr">
        <is>
          <t>https://api.crossref.org/works/10.1016/j.jclepro.2025.146510</t>
        </is>
      </c>
      <c r="AA38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81" s="3" t="inlineStr"/>
      <c r="AC381" s="3" t="inlineStr"/>
      <c r="AD381" s="3" t="inlineStr"/>
    </row>
    <row r="382" ht="48" customHeight="1">
      <c r="A382" s="2" t="inlineStr">
        <is>
          <t>R12483</t>
        </is>
      </c>
      <c r="B382" s="2" t="inlineStr">
        <is>
          <t>การปรับสภาพชีวมวลลิกโนเซลลูโลสด้วยวัสดุเพาะเห็ดเหลือทิ้ง: แนวทางการเพิ่มมูลค่าวัสดุเหลือทิ้งทางการเกษตรเพื่อการผลิตแก๊สชีวภาพอย่างยั่งยืน</t>
        </is>
      </c>
      <c r="C382" s="2" t="inlineStr">
        <is>
          <t>2025</t>
        </is>
      </c>
      <c r="D382" s="2" t="inlineStr">
        <is>
          <t>2025</t>
        </is>
      </c>
      <c r="E382" s="2" t="inlineStr"/>
      <c r="F382" s="2" t="inlineStr">
        <is>
          <t>期刊文章</t>
        </is>
      </c>
      <c r="G382" s="2" t="inlineStr">
        <is>
          <t>3 独立好氧或微好氧预处理</t>
        </is>
      </c>
      <c r="H382" s="2" t="inlineStr">
        <is>
          <t>是</t>
        </is>
      </c>
      <c r="I382" s="2" t="inlineStr">
        <is>
          <t>研究类</t>
        </is>
      </c>
      <c r="J382" s="2" t="inlineStr">
        <is>
          <t>是</t>
        </is>
      </c>
      <c r="K382" s="2" t="inlineStr">
        <is>
          <t>Thai Society of Agricultural Engineering Journal</t>
        </is>
      </c>
      <c r="L382" s="2" t="inlineStr">
        <is>
          <t>Thai Society of Agricultural Engineering Journal</t>
        </is>
      </c>
      <c r="M382" s="2" t="inlineStr"/>
      <c r="N382" s="2" t="inlineStr"/>
      <c r="O382" s="2" t="inlineStr">
        <is>
          <t>已取得核验全文</t>
        </is>
      </c>
      <c r="P382" s="2" t="inlineStr">
        <is>
          <t>是</t>
        </is>
      </c>
      <c r="Q382" s="2" t="inlineStr">
        <is>
          <t>当前无补充材料原件；沿用既有缺失/无附件证据，不据此认定无附件</t>
        </is>
      </c>
      <c r="R382" s="2" t="n">
        <v>2024</v>
      </c>
      <c r="S382" s="2" t="inlineStr">
        <is>
          <t>2025发布版（2024指标年）</t>
        </is>
      </c>
      <c r="T382" s="2" t="inlineStr"/>
      <c r="U382" s="2" t="inlineStr"/>
      <c r="V382" s="2" t="inlineStr">
        <is>
          <t>待核实</t>
        </is>
      </c>
      <c r="W382" s="2" t="inlineStr">
        <is>
          <t>待核实</t>
        </is>
      </c>
      <c r="X382" s="2" t="inlineStr">
        <is>
          <t>否</t>
        </is>
      </c>
      <c r="Y382" s="2" t="inlineStr"/>
      <c r="Z382" s="2" t="inlineStr"/>
      <c r="AA382" s="2" t="inlineStr">
        <is>
          <t>2024指标年JCR分区未核实；空白不能当非Q1。需要2025发布版/2024指标年的JCR全部学科导出。</t>
        </is>
      </c>
      <c r="AB382" s="2" t="inlineStr">
        <is>
          <t>original_files/R12483/fulltext/fulltext__published__b51428ca89e5bf95.pdf</t>
        </is>
      </c>
      <c r="AC382" s="2" t="inlineStr"/>
      <c r="AD382" s="2" t="inlineStr">
        <is>
          <t>https://github.com/Colliam-Vermilion/FirstCodex/blob/results/ad-oxygen-literature-20261006/results/ad-oxygen-literature-20261006/original_files/R12483/fulltext/fulltext__published__b51428ca89e5bf95.pdf</t>
        </is>
      </c>
    </row>
    <row r="383" ht="48" customHeight="1">
      <c r="A383" s="3" t="inlineStr">
        <is>
          <t>R12509</t>
        </is>
      </c>
      <c r="B383" s="3" t="inlineStr">
        <is>
          <t>A mechanism-guided, low-input Lactiplantibacillus plantarum strategy for attenuating antibiotic resistomes under oxygen re-entry during anaerobic fermentation</t>
        </is>
      </c>
      <c r="C383" s="3" t="inlineStr">
        <is>
          <t>2026</t>
        </is>
      </c>
      <c r="D383" s="3" t="inlineStr">
        <is>
          <t>2026</t>
        </is>
      </c>
      <c r="E383" s="3" t="inlineStr">
        <is>
          <t>10.1016/j.cej.2026.178822</t>
        </is>
      </c>
      <c r="F383" s="3" t="inlineStr">
        <is>
          <t>期刊文章</t>
        </is>
      </c>
      <c r="G383" s="3" t="inlineStr">
        <is>
          <t>1 直接向 AD 反应器或内部循环系统供氧</t>
        </is>
      </c>
      <c r="H383" s="3" t="inlineStr">
        <is>
          <t>是</t>
        </is>
      </c>
      <c r="I383" s="3" t="inlineStr">
        <is>
          <t>研究类</t>
        </is>
      </c>
      <c r="J383" s="3" t="inlineStr">
        <is>
          <t>是</t>
        </is>
      </c>
      <c r="K383" s="3" t="inlineStr">
        <is>
          <t>Chemical Engineering Journal</t>
        </is>
      </c>
      <c r="L383" s="3" t="inlineStr">
        <is>
          <t>Chemical Engineering Journal</t>
        </is>
      </c>
      <c r="M383" s="3" t="inlineStr">
        <is>
          <t>1385-8947</t>
        </is>
      </c>
      <c r="N383" s="3" t="inlineStr"/>
      <c r="O383" s="3" t="inlineStr">
        <is>
          <t>已取得核验全文</t>
        </is>
      </c>
      <c r="P383" s="3" t="inlineStr">
        <is>
          <t>是</t>
        </is>
      </c>
      <c r="Q383" s="3" t="inlineStr">
        <is>
          <t>已取得1件原格式补充材料；其中1件唯一关联待核实；完整性未确认</t>
        </is>
      </c>
      <c r="R383" s="3" t="n">
        <v>2024</v>
      </c>
      <c r="S383" s="3" t="inlineStr">
        <is>
          <t>2025发布版（2024指标年）</t>
        </is>
      </c>
      <c r="T383" s="3" t="inlineStr">
        <is>
          <t>ENGINEERING, CHEMICAL; ENGINEERING, ENVIRONMENTAL</t>
        </is>
      </c>
      <c r="U383" s="3" t="inlineStr">
        <is>
          <t>ENGINEERING, CHEMICAL: Q1; ENGINEERING, ENVIRONMENTAL: Q1</t>
        </is>
      </c>
      <c r="V383" s="4" t="inlineStr">
        <is>
          <t>是</t>
        </is>
      </c>
      <c r="W383" s="4" t="inlineStr">
        <is>
          <t>是</t>
        </is>
      </c>
      <c r="X383" s="3" t="inlineStr">
        <is>
          <t>是</t>
        </is>
      </c>
      <c r="Y383" s="3" t="inlineStr">
        <is>
          <t>https://topj.lib.whu.edu.cn/show.asp?cat=zk&amp;id=2740</t>
        </is>
      </c>
      <c r="Z383" s="3" t="inlineStr">
        <is>
          <t>https://api.crossref.org/works/10.1016/j.cej.2026.178822</t>
        </is>
      </c>
      <c r="AA38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83" s="3" t="inlineStr">
        <is>
          <t>original_files/R12509/fulltext/fulltext__published__8c04deeda2dde15d.pdf</t>
        </is>
      </c>
      <c r="AC383" s="3" t="inlineStr">
        <is>
          <t>original_files/R12509/supplementary/supplementary__adb008ded6f96dd4.docx</t>
        </is>
      </c>
      <c r="AD383" s="3" t="inlineStr">
        <is>
          <t>https://github.com/Colliam-Vermilion/FirstCodex/blob/results/ad-oxygen-literature-20261006/results/ad-oxygen-literature-20261006/original_files/R12509/fulltext/fulltext__published__8c04deeda2dde15d.pdf</t>
        </is>
      </c>
    </row>
    <row r="384" ht="48" customHeight="1">
      <c r="A384" s="2" t="inlineStr">
        <is>
          <t>R12556</t>
        </is>
      </c>
      <c r="B384" s="2" t="inlineStr">
        <is>
          <t>Advancing microbial electrochemical technologies for the circular economy, energy resilience, and environmental sustainability</t>
        </is>
      </c>
      <c r="C384" s="2" t="inlineStr">
        <is>
          <t>2026</t>
        </is>
      </c>
      <c r="D384" s="2" t="inlineStr">
        <is>
          <t>2026</t>
        </is>
      </c>
      <c r="E384" s="2" t="inlineStr">
        <is>
          <t>10.3389/fsci.2026.1808328</t>
        </is>
      </c>
      <c r="F384" s="2" t="inlineStr">
        <is>
          <t>期刊文章</t>
        </is>
      </c>
      <c r="G384" s="2" t="inlineStr">
        <is>
          <t>5 排除</t>
        </is>
      </c>
      <c r="H384" s="2" t="inlineStr">
        <is>
          <t>否</t>
        </is>
      </c>
      <c r="I384" s="2" t="inlineStr">
        <is>
          <t>研究类</t>
        </is>
      </c>
      <c r="J384" s="2" t="inlineStr">
        <is>
          <t>否</t>
        </is>
      </c>
      <c r="K384" s="2" t="inlineStr">
        <is>
          <t>Frontiers in Science</t>
        </is>
      </c>
      <c r="L384" s="2" t="inlineStr">
        <is>
          <t>Frontiers in Science</t>
        </is>
      </c>
      <c r="M384" s="2" t="inlineStr"/>
      <c r="N384" s="2" t="inlineStr">
        <is>
          <t>2813-6330</t>
        </is>
      </c>
      <c r="O384" s="2" t="inlineStr">
        <is>
          <t>未取得全文</t>
        </is>
      </c>
      <c r="P384" s="2" t="inlineStr">
        <is>
          <t>否</t>
        </is>
      </c>
      <c r="Q384" s="2" t="inlineStr">
        <is>
          <t>当前无补充材料原件；沿用既有缺失/无附件证据，不据此认定无附件</t>
        </is>
      </c>
      <c r="R384" s="2" t="n">
        <v>2024</v>
      </c>
      <c r="S384" s="2" t="inlineStr">
        <is>
          <t>2025发布版（2024指标年）</t>
        </is>
      </c>
      <c r="T384" s="2" t="inlineStr"/>
      <c r="U384" s="2" t="inlineStr"/>
      <c r="V384" s="2" t="inlineStr">
        <is>
          <t>待核实</t>
        </is>
      </c>
      <c r="W384" s="2" t="inlineStr">
        <is>
          <t>待核实</t>
        </is>
      </c>
      <c r="X384" s="2" t="inlineStr">
        <is>
          <t>否</t>
        </is>
      </c>
      <c r="Y384" s="2" t="inlineStr"/>
      <c r="Z384" s="2" t="inlineStr">
        <is>
          <t>https://api.crossref.org/works/10.3389/fsci.2026.1808328</t>
        </is>
      </c>
      <c r="AA384" s="2" t="inlineStr">
        <is>
          <t>2024指标年JCR分区未核实；空白不能当非Q1。需要2025发布版/2024指标年的JCR全部学科导出。</t>
        </is>
      </c>
      <c r="AB384" s="2" t="inlineStr"/>
      <c r="AC384" s="2" t="inlineStr"/>
      <c r="AD384" s="2" t="inlineStr"/>
    </row>
    <row r="385" ht="48" customHeight="1">
      <c r="A385" s="3" t="inlineStr">
        <is>
          <t>R12754</t>
        </is>
      </c>
      <c r="B385" s="3" t="inlineStr">
        <is>
          <t>Concurrent Methane and Struvite Recovery in Anaerobic Digestion Using Nanobubble Water: Insights into Dual-Enhancement Mechanisms</t>
        </is>
      </c>
      <c r="C385" s="3" t="inlineStr">
        <is>
          <t>2026</t>
        </is>
      </c>
      <c r="D385" s="3" t="inlineStr">
        <is>
          <t>2026</t>
        </is>
      </c>
      <c r="E385" s="3" t="inlineStr">
        <is>
          <t>10.1021/acssuschemeng.6c03086</t>
        </is>
      </c>
      <c r="F385" s="3" t="inlineStr">
        <is>
          <t>期刊文章</t>
        </is>
      </c>
      <c r="G385" s="3" t="inlineStr">
        <is>
          <t>5 排除</t>
        </is>
      </c>
      <c r="H385" s="3" t="inlineStr">
        <is>
          <t>否</t>
        </is>
      </c>
      <c r="I385" s="3" t="inlineStr">
        <is>
          <t>研究类</t>
        </is>
      </c>
      <c r="J385" s="3" t="inlineStr">
        <is>
          <t>否</t>
        </is>
      </c>
      <c r="K385" s="3" t="inlineStr">
        <is>
          <t>ACS Sustainable Chemistry
&amp; Engineering</t>
        </is>
      </c>
      <c r="L385" s="3" t="inlineStr">
        <is>
          <t>ACS Sustainable Chemistry
&amp;amp; Engineering</t>
        </is>
      </c>
      <c r="M385" s="3" t="inlineStr"/>
      <c r="N385" s="3" t="inlineStr">
        <is>
          <t>2168-0485</t>
        </is>
      </c>
      <c r="O385" s="3" t="inlineStr">
        <is>
          <t>未取得全文</t>
        </is>
      </c>
      <c r="P385" s="3" t="inlineStr">
        <is>
          <t>否</t>
        </is>
      </c>
      <c r="Q385" s="3" t="inlineStr">
        <is>
          <t>当前无补充材料原件；沿用既有缺失/无附件证据，不据此认定无附件</t>
        </is>
      </c>
      <c r="R385" s="3" t="n">
        <v>2024</v>
      </c>
      <c r="S385" s="3" t="inlineStr">
        <is>
          <t>2025发布版（2024指标年）</t>
        </is>
      </c>
      <c r="T385" s="3" t="inlineStr"/>
      <c r="U385" s="3" t="inlineStr"/>
      <c r="V385" s="3" t="inlineStr">
        <is>
          <t>待核实</t>
        </is>
      </c>
      <c r="W385" s="3" t="inlineStr">
        <is>
          <t>待核实</t>
        </is>
      </c>
      <c r="X385" s="3" t="inlineStr">
        <is>
          <t>否</t>
        </is>
      </c>
      <c r="Y385" s="3" t="inlineStr"/>
      <c r="Z385" s="3" t="inlineStr">
        <is>
          <t>https://api.crossref.org/works/10.1021/acssuschemeng.6c03086</t>
        </is>
      </c>
      <c r="AA385" s="3" t="inlineStr">
        <is>
          <t>2024指标年JCR分区未核实；空白不能当非Q1。需要2025发布版/2024指标年的JCR全部学科导出。</t>
        </is>
      </c>
      <c r="AB385" s="3" t="inlineStr"/>
      <c r="AC385" s="3" t="inlineStr"/>
      <c r="AD385" s="3" t="inlineStr"/>
    </row>
    <row r="386" ht="48" customHeight="1">
      <c r="A386" s="2" t="inlineStr">
        <is>
          <t>R12837</t>
        </is>
      </c>
      <c r="B386" s="2" t="inlineStr">
        <is>
          <t>Diversity and functional potential of indigenous sulfur-oxidizing bacteria in anaerobic digesters and a Thiopaq bioreactor</t>
        </is>
      </c>
      <c r="C386" s="2" t="inlineStr">
        <is>
          <t>2026</t>
        </is>
      </c>
      <c r="D386" s="2" t="inlineStr">
        <is>
          <t>2026</t>
        </is>
      </c>
      <c r="E386" s="2" t="inlineStr">
        <is>
          <t>10.1007/s11274-026-05119-1</t>
        </is>
      </c>
      <c r="F386" s="2" t="inlineStr">
        <is>
          <t>期刊文章</t>
        </is>
      </c>
      <c r="G386" s="2" t="inlineStr">
        <is>
          <t>5 排除</t>
        </is>
      </c>
      <c r="H386" s="2" t="inlineStr">
        <is>
          <t>否</t>
        </is>
      </c>
      <c r="I386" s="2" t="inlineStr">
        <is>
          <t>研究类</t>
        </is>
      </c>
      <c r="J386" s="2" t="inlineStr">
        <is>
          <t>否</t>
        </is>
      </c>
      <c r="K386" s="2" t="inlineStr">
        <is>
          <t>WORLD JOURNAL OF MICROBIOLOGY &amp; BIOTECHNOLOGY</t>
        </is>
      </c>
      <c r="L386" s="2" t="inlineStr">
        <is>
          <t>World Journal of Microbiology and Biotechnology</t>
        </is>
      </c>
      <c r="M386" s="2" t="inlineStr"/>
      <c r="N386" s="2" t="inlineStr">
        <is>
          <t>1573-0972</t>
        </is>
      </c>
      <c r="O386" s="2" t="inlineStr">
        <is>
          <t>未取得全文</t>
        </is>
      </c>
      <c r="P386" s="2" t="inlineStr">
        <is>
          <t>否</t>
        </is>
      </c>
      <c r="Q386" s="2" t="inlineStr">
        <is>
          <t>当前无补充材料原件；沿用既有缺失/无附件证据，不据此认定无附件</t>
        </is>
      </c>
      <c r="R386" s="2" t="n">
        <v>2024</v>
      </c>
      <c r="S386" s="2" t="inlineStr">
        <is>
          <t>2025发布版（2024指标年）</t>
        </is>
      </c>
      <c r="T386" s="2" t="inlineStr">
        <is>
          <t>BIOTECHNOLOGY &amp; APPLIED MICROBIOLOGY</t>
        </is>
      </c>
      <c r="U386" s="2" t="inlineStr">
        <is>
          <t>BIOTECHNOLOGY &amp; APPLIED MICROBIOLOGY: Q2</t>
        </is>
      </c>
      <c r="V386" s="2" t="inlineStr">
        <is>
          <t>否</t>
        </is>
      </c>
      <c r="W386" s="2" t="inlineStr">
        <is>
          <t>否</t>
        </is>
      </c>
      <c r="X386" s="2" t="inlineStr">
        <is>
          <t>是</t>
        </is>
      </c>
      <c r="Y386" s="2" t="inlineStr">
        <is>
          <t>https://topj.lib.whu.edu.cn/searchxk1.asp?ordertype=asc&amp;page=6&amp;q=&amp;xk=291</t>
        </is>
      </c>
      <c r="Z386" s="2" t="inlineStr">
        <is>
          <t>https://api.crossref.org/works/10.1007/s11274-026-05119-1</t>
        </is>
      </c>
      <c r="AA386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386" s="2" t="inlineStr"/>
      <c r="AC386" s="2" t="inlineStr"/>
      <c r="AD386" s="2" t="inlineStr"/>
    </row>
    <row r="387" ht="48" customHeight="1">
      <c r="A387" s="3" t="inlineStr">
        <is>
          <t>R12839</t>
        </is>
      </c>
      <c r="B387" s="3" t="inlineStr">
        <is>
          <t>Dose-dependent effects of micro-aeration on methane production and lignocellulose degradation during continuous anaerobic digestion of food waste</t>
        </is>
      </c>
      <c r="C387" s="3" t="inlineStr">
        <is>
          <t>2026</t>
        </is>
      </c>
      <c r="D387" s="3" t="inlineStr">
        <is>
          <t>2026</t>
        </is>
      </c>
      <c r="E387" s="3" t="inlineStr">
        <is>
          <t>10.1016/j.jece.2026.125159</t>
        </is>
      </c>
      <c r="F387" s="3" t="inlineStr">
        <is>
          <t>期刊文章</t>
        </is>
      </c>
      <c r="G387" s="3" t="inlineStr">
        <is>
          <t>1 直接向 AD 反应器或内部循环系统供氧</t>
        </is>
      </c>
      <c r="H387" s="3" t="inlineStr">
        <is>
          <t>是</t>
        </is>
      </c>
      <c r="I387" s="3" t="inlineStr">
        <is>
          <t>研究类</t>
        </is>
      </c>
      <c r="J387" s="3" t="inlineStr">
        <is>
          <t>是</t>
        </is>
      </c>
      <c r="K387" s="3" t="inlineStr">
        <is>
          <t>Journal of Environmental Chemical Engineering</t>
        </is>
      </c>
      <c r="L387" s="3" t="inlineStr">
        <is>
          <t>Journal of Environmental Chemical Engineering</t>
        </is>
      </c>
      <c r="M387" s="3" t="inlineStr">
        <is>
          <t>2213-3437</t>
        </is>
      </c>
      <c r="N387" s="3" t="inlineStr"/>
      <c r="O387" s="3" t="inlineStr">
        <is>
          <t>已取得核验全文</t>
        </is>
      </c>
      <c r="P387" s="3" t="inlineStr">
        <is>
          <t>是</t>
        </is>
      </c>
      <c r="Q387" s="3" t="inlineStr">
        <is>
          <t>当前无补充材料原件；沿用既有缺失/无附件证据，不据此认定无附件</t>
        </is>
      </c>
      <c r="R387" s="3" t="n">
        <v>2024</v>
      </c>
      <c r="S387" s="3" t="inlineStr">
        <is>
          <t>2025发布版（2024指标年）</t>
        </is>
      </c>
      <c r="T387" s="3" t="inlineStr">
        <is>
          <t>ENGINEERING, CHEMICAL; ENGINEERING, ENVIRONMENTAL</t>
        </is>
      </c>
      <c r="U387" s="3" t="inlineStr">
        <is>
          <t>ENGINEERING, CHEMICAL: Q1; ENGINEERING, ENVIRONMENTAL: Q1</t>
        </is>
      </c>
      <c r="V387" s="4" t="inlineStr">
        <is>
          <t>是</t>
        </is>
      </c>
      <c r="W387" s="4" t="inlineStr">
        <is>
          <t>是</t>
        </is>
      </c>
      <c r="X387" s="3" t="inlineStr">
        <is>
          <t>是</t>
        </is>
      </c>
      <c r="Y387" s="3" t="inlineStr">
        <is>
          <t>https://topj.lib.whu.edu.cn/show.asp?cat=zk&amp;id=5142</t>
        </is>
      </c>
      <c r="Z387" s="3" t="inlineStr">
        <is>
          <t>https://api.crossref.org/works/10.1016/j.jece.2026.125159</t>
        </is>
      </c>
      <c r="AA38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87" s="3" t="inlineStr">
        <is>
          <t>original_files/R12839/fulltext/fulltext__published__18781366720e0604.pdf</t>
        </is>
      </c>
      <c r="AC387" s="3" t="inlineStr"/>
      <c r="AD387" s="3" t="inlineStr">
        <is>
          <t>https://github.com/Colliam-Vermilion/FirstCodex/blob/results/ad-oxygen-literature-20261006/results/ad-oxygen-literature-20261006/original_files/R12839/fulltext/fulltext__published__18781366720e0604.pdf</t>
        </is>
      </c>
    </row>
    <row r="388" ht="48" customHeight="1">
      <c r="A388" s="2" t="inlineStr">
        <is>
          <t>R12923</t>
        </is>
      </c>
      <c r="B388" s="2" t="inlineStr">
        <is>
          <t>Enhanced anaerobic digestion of rice straw by using microbial pretreatment augmented with micro-nano bubble water</t>
        </is>
      </c>
      <c r="C388" s="2" t="inlineStr">
        <is>
          <t>2026</t>
        </is>
      </c>
      <c r="D388" s="2" t="inlineStr">
        <is>
          <t>2026</t>
        </is>
      </c>
      <c r="E388" s="2" t="inlineStr">
        <is>
          <t>10.1016/j.biteb.2025.102484</t>
        </is>
      </c>
      <c r="F388" s="2" t="inlineStr">
        <is>
          <t>期刊文章</t>
        </is>
      </c>
      <c r="G388" s="2" t="inlineStr">
        <is>
          <t>3 独立好氧或微好氧预处理</t>
        </is>
      </c>
      <c r="H388" s="2" t="inlineStr">
        <is>
          <t>是</t>
        </is>
      </c>
      <c r="I388" s="2" t="inlineStr">
        <is>
          <t>研究类</t>
        </is>
      </c>
      <c r="J388" s="2" t="inlineStr">
        <is>
          <t>是</t>
        </is>
      </c>
      <c r="K388" s="2" t="inlineStr">
        <is>
          <t>Bioresource Technology Reports</t>
        </is>
      </c>
      <c r="L388" s="2" t="inlineStr">
        <is>
          <t>Bioresource Technology Reports</t>
        </is>
      </c>
      <c r="M388" s="2" t="inlineStr">
        <is>
          <t>2589-014X</t>
        </is>
      </c>
      <c r="N388" s="2" t="inlineStr"/>
      <c r="O388" s="2" t="inlineStr">
        <is>
          <t>已取得核验全文</t>
        </is>
      </c>
      <c r="P388" s="2" t="inlineStr">
        <is>
          <t>是</t>
        </is>
      </c>
      <c r="Q388" s="2" t="inlineStr">
        <is>
          <t>已取得1件原格式补充材料；其中1件唯一关联待核实；完整性未确认</t>
        </is>
      </c>
      <c r="R388" s="2" t="n">
        <v>2024</v>
      </c>
      <c r="S388" s="2" t="inlineStr">
        <is>
          <t>2025发布版（2024指标年）</t>
        </is>
      </c>
      <c r="T388" s="2" t="inlineStr"/>
      <c r="U388" s="2" t="inlineStr"/>
      <c r="V388" s="2" t="inlineStr">
        <is>
          <t>待核实</t>
        </is>
      </c>
      <c r="W388" s="2" t="inlineStr">
        <is>
          <t>待核实</t>
        </is>
      </c>
      <c r="X388" s="2" t="inlineStr">
        <is>
          <t>否</t>
        </is>
      </c>
      <c r="Y388" s="2" t="inlineStr"/>
      <c r="Z388" s="2" t="inlineStr">
        <is>
          <t>https://api.crossref.org/works/10.1016/j.biteb.2025.102484</t>
        </is>
      </c>
      <c r="AA388" s="2" t="inlineStr">
        <is>
          <t>2024指标年JCR分区未核实；空白不能当非Q1。需要2025发布版/2024指标年的JCR全部学科导出。</t>
        </is>
      </c>
      <c r="AB388" s="2" t="inlineStr">
        <is>
          <t>original_files/R12923/fulltext/fulltext__published__c5fa38e81cb6810f.pdf</t>
        </is>
      </c>
      <c r="AC388" s="2" t="inlineStr">
        <is>
          <t>original_files/R12923/supplementary/supplementary__d07750b920619855.docx</t>
        </is>
      </c>
      <c r="AD388" s="2" t="inlineStr">
        <is>
          <t>https://github.com/Colliam-Vermilion/FirstCodex/blob/results/ad-oxygen-literature-20261006/results/ad-oxygen-literature-20261006/original_files/R12923/fulltext/fulltext__published__c5fa38e81cb6810f.pdf</t>
        </is>
      </c>
    </row>
    <row r="389" ht="48" customHeight="1">
      <c r="A389" s="3" t="inlineStr">
        <is>
          <t>R12951</t>
        </is>
      </c>
      <c r="B389" s="3" t="inlineStr">
        <is>
          <t>Enhancing anaerobic co-digestion of poultry litter and wheat straw via integrated microaeration, biochar, and nanoparticle strategies: Kinetic, microbial, and economic insights</t>
        </is>
      </c>
      <c r="C389" s="3" t="inlineStr">
        <is>
          <t>2026</t>
        </is>
      </c>
      <c r="D389" s="3" t="inlineStr">
        <is>
          <t>2026</t>
        </is>
      </c>
      <c r="E389" s="3" t="inlineStr">
        <is>
          <t>10.1016/j.jece.2026.123307</t>
        </is>
      </c>
      <c r="F389" s="3" t="inlineStr">
        <is>
          <t>期刊文章</t>
        </is>
      </c>
      <c r="G389" s="3" t="inlineStr">
        <is>
          <t>1 直接向 AD 反应器或内部循环系统供氧</t>
        </is>
      </c>
      <c r="H389" s="3" t="inlineStr">
        <is>
          <t>是</t>
        </is>
      </c>
      <c r="I389" s="3" t="inlineStr">
        <is>
          <t>研究类</t>
        </is>
      </c>
      <c r="J389" s="3" t="inlineStr">
        <is>
          <t>是</t>
        </is>
      </c>
      <c r="K389" s="3" t="inlineStr">
        <is>
          <t>Journal of Environmental Chemical Engineering</t>
        </is>
      </c>
      <c r="L389" s="3" t="inlineStr">
        <is>
          <t>Journal of Environmental Chemical Engineering</t>
        </is>
      </c>
      <c r="M389" s="3" t="inlineStr">
        <is>
          <t>2213-3437</t>
        </is>
      </c>
      <c r="N389" s="3" t="inlineStr"/>
      <c r="O389" s="3" t="inlineStr">
        <is>
          <t>已取得核验全文</t>
        </is>
      </c>
      <c r="P389" s="3" t="inlineStr">
        <is>
          <t>是</t>
        </is>
      </c>
      <c r="Q389" s="3" t="inlineStr">
        <is>
          <t>已取得1件原格式补充材料；其中0件唯一关联待核实；完整性未确认</t>
        </is>
      </c>
      <c r="R389" s="3" t="n">
        <v>2024</v>
      </c>
      <c r="S389" s="3" t="inlineStr">
        <is>
          <t>2025发布版（2024指标年）</t>
        </is>
      </c>
      <c r="T389" s="3" t="inlineStr">
        <is>
          <t>ENGINEERING, CHEMICAL; ENGINEERING, ENVIRONMENTAL</t>
        </is>
      </c>
      <c r="U389" s="3" t="inlineStr">
        <is>
          <t>ENGINEERING, CHEMICAL: Q1; ENGINEERING, ENVIRONMENTAL: Q1</t>
        </is>
      </c>
      <c r="V389" s="4" t="inlineStr">
        <is>
          <t>是</t>
        </is>
      </c>
      <c r="W389" s="4" t="inlineStr">
        <is>
          <t>是</t>
        </is>
      </c>
      <c r="X389" s="3" t="inlineStr">
        <is>
          <t>是</t>
        </is>
      </c>
      <c r="Y389" s="3" t="inlineStr">
        <is>
          <t>https://topj.lib.whu.edu.cn/show.asp?cat=zk&amp;id=5142</t>
        </is>
      </c>
      <c r="Z389" s="3" t="inlineStr">
        <is>
          <t>https://api.crossref.org/works/10.1016/j.jece.2026.123307</t>
        </is>
      </c>
      <c r="AA38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89" s="3" t="inlineStr">
        <is>
          <t>original_files/R12951/fulltext/fulltext__published__a7015b3a125f5c6a.pdf</t>
        </is>
      </c>
      <c r="AC389" s="3" t="inlineStr">
        <is>
          <t>original_files/R12951/supplementary/supplementary__373110b5daf66529.docx</t>
        </is>
      </c>
      <c r="AD389" s="3" t="inlineStr">
        <is>
          <t>https://github.com/Colliam-Vermilion/FirstCodex/blob/results/ad-oxygen-literature-20261006/results/ad-oxygen-literature-20261006/original_files/R12951/fulltext/fulltext__published__a7015b3a125f5c6a.pdf</t>
        </is>
      </c>
    </row>
    <row r="390" ht="48" customHeight="1">
      <c r="A390" s="2" t="inlineStr">
        <is>
          <t>R12953</t>
        </is>
      </c>
      <c r="B390" s="2" t="inlineStr">
        <is>
          <t>Enhancing anaerobic digestion of sulfate-containing organic wastewater through an innovative integration of nitrate addition and microaeration</t>
        </is>
      </c>
      <c r="C390" s="2" t="inlineStr">
        <is>
          <t>2026</t>
        </is>
      </c>
      <c r="D390" s="2" t="inlineStr">
        <is>
          <t>2026</t>
        </is>
      </c>
      <c r="E390" s="2" t="inlineStr">
        <is>
          <t>10.1016/j.jclepro.2026.147650</t>
        </is>
      </c>
      <c r="F390" s="2" t="inlineStr">
        <is>
          <t>期刊文章</t>
        </is>
      </c>
      <c r="G390" s="2" t="inlineStr">
        <is>
          <t>1 直接向 AD 反应器或内部循环系统供氧</t>
        </is>
      </c>
      <c r="H390" s="2" t="inlineStr">
        <is>
          <t>是</t>
        </is>
      </c>
      <c r="I390" s="2" t="inlineStr">
        <is>
          <t>研究类</t>
        </is>
      </c>
      <c r="J390" s="2" t="inlineStr">
        <is>
          <t>是</t>
        </is>
      </c>
      <c r="K390" s="2" t="inlineStr">
        <is>
          <t>JOURNAL OF CLEANER PRODUCTION</t>
        </is>
      </c>
      <c r="L390" s="2" t="inlineStr">
        <is>
          <t>Journal of Cleaner Production</t>
        </is>
      </c>
      <c r="M390" s="2" t="inlineStr">
        <is>
          <t>0959-6526</t>
        </is>
      </c>
      <c r="N390" s="2" t="inlineStr"/>
      <c r="O390" s="2" t="inlineStr">
        <is>
          <t>已取得核验全文</t>
        </is>
      </c>
      <c r="P390" s="2" t="inlineStr">
        <is>
          <t>是</t>
        </is>
      </c>
      <c r="Q390" s="2" t="inlineStr">
        <is>
          <t>已取得1件原格式补充材料；其中1件唯一关联待核实；完整性未确认</t>
        </is>
      </c>
      <c r="R390" s="2" t="n">
        <v>2024</v>
      </c>
      <c r="S390" s="2" t="inlineStr">
        <is>
          <t>2025发布版（2024指标年）</t>
        </is>
      </c>
      <c r="T390" s="2" t="inlineStr">
        <is>
          <t>ENGINEERING, ENVIRONMENTAL; ENVIRONMENTAL SCIENCES; GREEN &amp; SUSTAINABLE SCIENCE &amp; TECHNOLOGY</t>
        </is>
      </c>
      <c r="U390" s="2" t="inlineStr">
        <is>
          <t>ENGINEERING, ENVIRONMENTAL: Q1; ENVIRONMENTAL SCIENCES: Q1; GREEN &amp; SUSTAINABLE SCIENCE &amp; TECHNOLOGY: Q1</t>
        </is>
      </c>
      <c r="V390" s="4" t="inlineStr">
        <is>
          <t>是</t>
        </is>
      </c>
      <c r="W390" s="4" t="inlineStr">
        <is>
          <t>是</t>
        </is>
      </c>
      <c r="X390" s="2" t="inlineStr">
        <is>
          <t>是</t>
        </is>
      </c>
      <c r="Y390" s="2" t="inlineStr">
        <is>
          <t>https://topj.lib.whu.edu.cn/show.asp?cat=esi&amp;id=6394</t>
        </is>
      </c>
      <c r="Z390" s="2" t="inlineStr">
        <is>
          <t>https://api.crossref.org/works/10.1016/j.jclepro.2026.147650</t>
        </is>
      </c>
      <c r="AA39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90" s="2" t="inlineStr">
        <is>
          <t>original_files/R12953/fulltext/fulltext__published__6d5e2d1da4bc5061.pdf</t>
        </is>
      </c>
      <c r="AC390" s="2" t="inlineStr">
        <is>
          <t>original_files/R12953/supplementary/supplementary__805c1220c91fcff9.docx</t>
        </is>
      </c>
      <c r="AD390" s="2" t="inlineStr">
        <is>
          <t>https://github.com/Colliam-Vermilion/FirstCodex/blob/results/ad-oxygen-literature-20261006/results/ad-oxygen-literature-20261006/original_files/R12953/fulltext/fulltext__published__6d5e2d1da4bc5061.pdf</t>
        </is>
      </c>
    </row>
    <row r="391" ht="48" customHeight="1">
      <c r="A391" s="3" t="inlineStr">
        <is>
          <t>R12957</t>
        </is>
      </c>
      <c r="B391" s="3" t="inlineStr">
        <is>
          <t>Enhancing high-solid anaerobic digestion of cattle manure using air nanobubble water: Performance improvements and microbial mechanisms under thermophilic and mesophilic conditions</t>
        </is>
      </c>
      <c r="C391" s="3" t="inlineStr">
        <is>
          <t>2026</t>
        </is>
      </c>
      <c r="D391" s="3" t="inlineStr">
        <is>
          <t>2026</t>
        </is>
      </c>
      <c r="E391" s="3" t="inlineStr">
        <is>
          <t>10.1016/j.jwpe.2026.110326</t>
        </is>
      </c>
      <c r="F391" s="3" t="inlineStr">
        <is>
          <t>期刊文章</t>
        </is>
      </c>
      <c r="G391" s="3" t="inlineStr">
        <is>
          <t>1 直接向 AD 反应器或内部循环系统供氧</t>
        </is>
      </c>
      <c r="H391" s="3" t="inlineStr">
        <is>
          <t>是</t>
        </is>
      </c>
      <c r="I391" s="3" t="inlineStr">
        <is>
          <t>研究类</t>
        </is>
      </c>
      <c r="J391" s="3" t="inlineStr">
        <is>
          <t>是</t>
        </is>
      </c>
      <c r="K391" s="3" t="inlineStr">
        <is>
          <t>Journal of Water Process Engineering</t>
        </is>
      </c>
      <c r="L391" s="3" t="inlineStr">
        <is>
          <t>Journal of Water Process Engineering</t>
        </is>
      </c>
      <c r="M391" s="3" t="inlineStr">
        <is>
          <t>2214-7144</t>
        </is>
      </c>
      <c r="N391" s="3" t="inlineStr"/>
      <c r="O391" s="3" t="inlineStr">
        <is>
          <t>已取得核验全文</t>
        </is>
      </c>
      <c r="P391" s="3" t="inlineStr">
        <is>
          <t>是</t>
        </is>
      </c>
      <c r="Q391" s="3" t="inlineStr">
        <is>
          <t>当前无补充材料原件；沿用既有缺失/无附件证据，不据此认定无附件</t>
        </is>
      </c>
      <c r="R391" s="3" t="n">
        <v>2024</v>
      </c>
      <c r="S391" s="3" t="inlineStr">
        <is>
          <t>2025发布版（2024指标年）</t>
        </is>
      </c>
      <c r="T391" s="3" t="inlineStr">
        <is>
          <t>WATER RESOURCES; ENGINEERING, CHEMICAL; ENGINEERING, ENVIRONMENTAL</t>
        </is>
      </c>
      <c r="U391" s="3" t="inlineStr">
        <is>
          <t>WATER RESOURCES: Q1; ENGINEERING, CHEMICAL: Q1; ENGINEERING, ENVIRONMENTAL: Q2</t>
        </is>
      </c>
      <c r="V391" s="4" t="inlineStr">
        <is>
          <t>是</t>
        </is>
      </c>
      <c r="W391" s="3" t="inlineStr">
        <is>
          <t>否</t>
        </is>
      </c>
      <c r="X391" s="3" t="inlineStr">
        <is>
          <t>是</t>
        </is>
      </c>
      <c r="Y391" s="3" t="inlineStr">
        <is>
          <t>https://topj.lib.whu.edu.cn/show.asp?cat=sci&amp;id=6383</t>
        </is>
      </c>
      <c r="Z391" s="3" t="inlineStr">
        <is>
          <t>https://api.crossref.org/works/10.1016/j.jwpe.2026.110326</t>
        </is>
      </c>
      <c r="AA39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91" s="3" t="inlineStr">
        <is>
          <t>original_files/R12957/fulltext/fulltext__published__150a03f1466bd3e9.pdf</t>
        </is>
      </c>
      <c r="AC391" s="3" t="inlineStr"/>
      <c r="AD391" s="3" t="inlineStr">
        <is>
          <t>https://github.com/Colliam-Vermilion/FirstCodex/blob/results/ad-oxygen-literature-20261006/results/ad-oxygen-literature-20261006/original_files/R12957/fulltext/fulltext__published__150a03f1466bd3e9.pdf</t>
        </is>
      </c>
    </row>
    <row r="392" ht="48" customHeight="1">
      <c r="A392" s="2" t="inlineStr">
        <is>
          <t>R12964</t>
        </is>
      </c>
      <c r="B392" s="2" t="inlineStr">
        <is>
          <t>Enhancing semi-continuous anaerobic digestion efficiency with nanobubble water: thermophysical properties optimization and microbial regulation</t>
        </is>
      </c>
      <c r="C392" s="2" t="inlineStr">
        <is>
          <t>2026</t>
        </is>
      </c>
      <c r="D392" s="2" t="inlineStr">
        <is>
          <t>2026</t>
        </is>
      </c>
      <c r="E392" s="2" t="inlineStr">
        <is>
          <t>10.1016/j.renene.2025.124921</t>
        </is>
      </c>
      <c r="F392" s="2" t="inlineStr">
        <is>
          <t>期刊文章</t>
        </is>
      </c>
      <c r="G392" s="2" t="inlineStr">
        <is>
          <t>1 直接向 AD 反应器或内部循环系统供氧</t>
        </is>
      </c>
      <c r="H392" s="2" t="inlineStr">
        <is>
          <t>是</t>
        </is>
      </c>
      <c r="I392" s="2" t="inlineStr">
        <is>
          <t>研究类</t>
        </is>
      </c>
      <c r="J392" s="2" t="inlineStr">
        <is>
          <t>是</t>
        </is>
      </c>
      <c r="K392" s="2" t="inlineStr">
        <is>
          <t>Renewable Energy</t>
        </is>
      </c>
      <c r="L392" s="2" t="inlineStr">
        <is>
          <t>Renewable Energy</t>
        </is>
      </c>
      <c r="M392" s="2" t="inlineStr">
        <is>
          <t>0960-1481</t>
        </is>
      </c>
      <c r="N392" s="2" t="inlineStr"/>
      <c r="O392" s="2" t="inlineStr">
        <is>
          <t>已取得核验全文</t>
        </is>
      </c>
      <c r="P392" s="2" t="inlineStr">
        <is>
          <t>是</t>
        </is>
      </c>
      <c r="Q392" s="2" t="inlineStr">
        <is>
          <t>已取得1件原格式补充材料；其中0件唯一关联待核实；完整性未确认</t>
        </is>
      </c>
      <c r="R392" s="2" t="n">
        <v>2024</v>
      </c>
      <c r="S392" s="2" t="inlineStr">
        <is>
          <t>2025发布版（2024指标年）</t>
        </is>
      </c>
      <c r="T392" s="2" t="inlineStr">
        <is>
          <t>ENERGY &amp; FUELS; GREEN &amp; SUSTAINABLE SCIENCE &amp; TECHNOLOGY</t>
        </is>
      </c>
      <c r="U392" s="2" t="inlineStr">
        <is>
          <t>ENERGY &amp; FUELS: Q1; GREEN &amp; SUSTAINABLE SCIENCE &amp; TECHNOLOGY: Q1</t>
        </is>
      </c>
      <c r="V392" s="4" t="inlineStr">
        <is>
          <t>是</t>
        </is>
      </c>
      <c r="W392" s="4" t="inlineStr">
        <is>
          <t>是</t>
        </is>
      </c>
      <c r="X392" s="2" t="inlineStr">
        <is>
          <t>是</t>
        </is>
      </c>
      <c r="Y392" s="2" t="inlineStr">
        <is>
          <t>https://topj.lib.whu.edu.cn/show.asp?cat=sci&amp;id=8240</t>
        </is>
      </c>
      <c r="Z392" s="2" t="inlineStr"/>
      <c r="AA392" s="2" t="inlineStr">
        <is>
          <t>既有DOI未由Crossref返回可用元数据（可能为DataCite/JaLC等）；不据此否认记录身份 | 机构JCR栏：搜索索引可核验；原页面直连未成功；非Clarivate账户导出 | 全部Q1仅指本表全部已核实学科；无官方完整学科导出，不承诺没有未显示学科</t>
        </is>
      </c>
      <c r="AB392" s="2" t="inlineStr">
        <is>
          <t>original_files/R12964/fulltext/fulltext__published__ff468fb292fcbb31.pdf</t>
        </is>
      </c>
      <c r="AC392" s="2" t="inlineStr">
        <is>
          <t>original_files/R12964/supplementary/supplementary__aba50833aba891e5.docx</t>
        </is>
      </c>
      <c r="AD392" s="2" t="inlineStr">
        <is>
          <t>https://github.com/Colliam-Vermilion/FirstCodex/blob/results/ad-oxygen-literature-20261006/results/ad-oxygen-literature-20261006/original_files/R12964/fulltext/fulltext__published__ff468fb292fcbb31.pdf</t>
        </is>
      </c>
    </row>
    <row r="393" ht="48" customHeight="1">
      <c r="A393" s="3" t="inlineStr">
        <is>
          <t>R13145</t>
        </is>
      </c>
      <c r="B393" s="3" t="inlineStr">
        <is>
          <t>Integrated biogas desulfurization and membrane extraction for ammonium sulfate recovery</t>
        </is>
      </c>
      <c r="C393" s="3" t="inlineStr">
        <is>
          <t>2026</t>
        </is>
      </c>
      <c r="D393" s="3" t="inlineStr">
        <is>
          <t>2026</t>
        </is>
      </c>
      <c r="E393" s="3" t="inlineStr">
        <is>
          <t>10.2166/wst.2026.241</t>
        </is>
      </c>
      <c r="F393" s="3" t="inlineStr">
        <is>
          <t>期刊文章</t>
        </is>
      </c>
      <c r="G393" s="3" t="inlineStr">
        <is>
          <t>5 排除</t>
        </is>
      </c>
      <c r="H393" s="3" t="inlineStr">
        <is>
          <t>否</t>
        </is>
      </c>
      <c r="I393" s="3" t="inlineStr">
        <is>
          <t>研究类</t>
        </is>
      </c>
      <c r="J393" s="3" t="inlineStr">
        <is>
          <t>否</t>
        </is>
      </c>
      <c r="K393" s="3" t="inlineStr">
        <is>
          <t>WATER SCIENCE AND TECHNOLOGY</t>
        </is>
      </c>
      <c r="L393" s="3" t="inlineStr">
        <is>
          <t>Water Science &amp;amp; Technology</t>
        </is>
      </c>
      <c r="M393" s="3" t="inlineStr">
        <is>
          <t>0273-1223</t>
        </is>
      </c>
      <c r="N393" s="3" t="inlineStr">
        <is>
          <t>1996-9732</t>
        </is>
      </c>
      <c r="O393" s="3" t="inlineStr">
        <is>
          <t>未取得全文</t>
        </is>
      </c>
      <c r="P393" s="3" t="inlineStr">
        <is>
          <t>否</t>
        </is>
      </c>
      <c r="Q393" s="3" t="inlineStr">
        <is>
          <t>当前无补充材料原件；沿用既有缺失/无附件证据，不据此认定无附件</t>
        </is>
      </c>
      <c r="R393" s="3" t="n">
        <v>2024</v>
      </c>
      <c r="S393" s="3" t="inlineStr">
        <is>
          <t>2025发布版（2024指标年）</t>
        </is>
      </c>
      <c r="T393" s="3" t="inlineStr">
        <is>
          <t>WATER RESOURCES; ENGINEERING, ENVIRONMENTAL; ENVIRONMENTAL SCIENCES</t>
        </is>
      </c>
      <c r="U393" s="3" t="inlineStr">
        <is>
          <t>WATER RESOURCES: Q2; ENGINEERING, ENVIRONMENTAL: Q3; ENVIRONMENTAL SCIENCES: Q3</t>
        </is>
      </c>
      <c r="V393" s="3" t="inlineStr">
        <is>
          <t>否</t>
        </is>
      </c>
      <c r="W393" s="3" t="inlineStr">
        <is>
          <t>否</t>
        </is>
      </c>
      <c r="X393" s="3" t="inlineStr">
        <is>
          <t>是</t>
        </is>
      </c>
      <c r="Y393" s="3" t="inlineStr">
        <is>
          <t>https://topj.lib.whu.edu.cn/search2.asp?ordertype=&amp;page=2&amp;q=&amp;sea=w&amp;searchtype=esi</t>
        </is>
      </c>
      <c r="Z393" s="3" t="inlineStr">
        <is>
          <t>https://api.crossref.org/works/10.2166/wst.2026.241</t>
        </is>
      </c>
      <c r="AA39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393" s="3" t="inlineStr"/>
      <c r="AC393" s="3" t="inlineStr"/>
      <c r="AD393" s="3" t="inlineStr"/>
    </row>
    <row r="394" ht="48" customHeight="1">
      <c r="A394" s="2" t="inlineStr">
        <is>
          <t>R13236</t>
        </is>
      </c>
      <c r="B394" s="2" t="inlineStr">
        <is>
          <t>Mechanism of anaerobic digestion of cattle manure enhanced by oxygen and hydrogen nano-bubble water</t>
        </is>
      </c>
      <c r="C394" s="2" t="inlineStr">
        <is>
          <t>2026</t>
        </is>
      </c>
      <c r="D394" s="2" t="inlineStr">
        <is>
          <t>2026</t>
        </is>
      </c>
      <c r="E394" s="2" t="inlineStr">
        <is>
          <t>10.1016/j.cej.2025.171515</t>
        </is>
      </c>
      <c r="F394" s="2" t="inlineStr">
        <is>
          <t>期刊文章</t>
        </is>
      </c>
      <c r="G394" s="2" t="inlineStr">
        <is>
          <t>1 直接向 AD 反应器或内部循环系统供氧</t>
        </is>
      </c>
      <c r="H394" s="2" t="inlineStr">
        <is>
          <t>是</t>
        </is>
      </c>
      <c r="I394" s="2" t="inlineStr">
        <is>
          <t>研究类</t>
        </is>
      </c>
      <c r="J394" s="2" t="inlineStr">
        <is>
          <t>是</t>
        </is>
      </c>
      <c r="K394" s="2" t="inlineStr">
        <is>
          <t>Chemical Engineering Journal</t>
        </is>
      </c>
      <c r="L394" s="2" t="inlineStr">
        <is>
          <t>Chemical Engineering Journal</t>
        </is>
      </c>
      <c r="M394" s="2" t="inlineStr">
        <is>
          <t>1385-8947</t>
        </is>
      </c>
      <c r="N394" s="2" t="inlineStr"/>
      <c r="O394" s="2" t="inlineStr">
        <is>
          <t>已取得核验全文</t>
        </is>
      </c>
      <c r="P394" s="2" t="inlineStr">
        <is>
          <t>是</t>
        </is>
      </c>
      <c r="Q394" s="2" t="inlineStr">
        <is>
          <t>已取得1件原格式补充材料；其中0件唯一关联待核实；完整性未确认</t>
        </is>
      </c>
      <c r="R394" s="2" t="n">
        <v>2024</v>
      </c>
      <c r="S394" s="2" t="inlineStr">
        <is>
          <t>2025发布版（2024指标年）</t>
        </is>
      </c>
      <c r="T394" s="2" t="inlineStr">
        <is>
          <t>ENGINEERING, CHEMICAL; ENGINEERING, ENVIRONMENTAL</t>
        </is>
      </c>
      <c r="U394" s="2" t="inlineStr">
        <is>
          <t>ENGINEERING, CHEMICAL: Q1; ENGINEERING, ENVIRONMENTAL: Q1</t>
        </is>
      </c>
      <c r="V394" s="4" t="inlineStr">
        <is>
          <t>是</t>
        </is>
      </c>
      <c r="W394" s="4" t="inlineStr">
        <is>
          <t>是</t>
        </is>
      </c>
      <c r="X394" s="2" t="inlineStr">
        <is>
          <t>是</t>
        </is>
      </c>
      <c r="Y394" s="2" t="inlineStr">
        <is>
          <t>https://topj.lib.whu.edu.cn/show.asp?cat=zk&amp;id=2740</t>
        </is>
      </c>
      <c r="Z394" s="2" t="inlineStr">
        <is>
          <t>https://api.crossref.org/works/10.1016/j.cej.2025.171515</t>
        </is>
      </c>
      <c r="AA39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94" s="2" t="inlineStr">
        <is>
          <t>original_files/R13236/fulltext/fulltext__published__5f6e6d7b9f8bb713.pdf</t>
        </is>
      </c>
      <c r="AC394" s="2" t="inlineStr">
        <is>
          <t>original_files/R13236/supplementary/supplementary__2b3b61f915ed917b.docx</t>
        </is>
      </c>
      <c r="AD394" s="2" t="inlineStr">
        <is>
          <t>https://github.com/Colliam-Vermilion/FirstCodex/blob/results/ad-oxygen-literature-20261006/results/ad-oxygen-literature-20261006/original_files/R13236/fulltext/fulltext__published__5f6e6d7b9f8bb713.pdf</t>
        </is>
      </c>
    </row>
    <row r="395" ht="48" customHeight="1">
      <c r="A395" s="3" t="inlineStr">
        <is>
          <t>R13256</t>
        </is>
      </c>
      <c r="B395" s="3" t="inlineStr">
        <is>
          <t>Metagenomics elucidates how biogenic methanogenesis may increase in CO 2 -injected petroleum wells</t>
        </is>
      </c>
      <c r="C395" s="3" t="inlineStr">
        <is>
          <t>2026</t>
        </is>
      </c>
      <c r="D395" s="3" t="inlineStr">
        <is>
          <t>2026</t>
        </is>
      </c>
      <c r="E395" s="3" t="inlineStr">
        <is>
          <t>10.1180/gbi.2025.10005</t>
        </is>
      </c>
      <c r="F395" s="3" t="inlineStr">
        <is>
          <t>期刊文章</t>
        </is>
      </c>
      <c r="G395" s="3" t="inlineStr">
        <is>
          <t>5 排除</t>
        </is>
      </c>
      <c r="H395" s="3" t="inlineStr">
        <is>
          <t>否</t>
        </is>
      </c>
      <c r="I395" s="3" t="inlineStr">
        <is>
          <t>研究类</t>
        </is>
      </c>
      <c r="J395" s="3" t="inlineStr">
        <is>
          <t>否</t>
        </is>
      </c>
      <c r="K395" s="3" t="inlineStr">
        <is>
          <t>Geo-Bio Interfaces</t>
        </is>
      </c>
      <c r="L395" s="3" t="inlineStr">
        <is>
          <t>Geo-Bio Interfaces</t>
        </is>
      </c>
      <c r="M395" s="3" t="inlineStr"/>
      <c r="N395" s="3" t="inlineStr">
        <is>
          <t>2755-385X</t>
        </is>
      </c>
      <c r="O395" s="3" t="inlineStr">
        <is>
          <t>未取得全文</t>
        </is>
      </c>
      <c r="P395" s="3" t="inlineStr">
        <is>
          <t>否</t>
        </is>
      </c>
      <c r="Q395" s="3" t="inlineStr">
        <is>
          <t>当前无补充材料原件；沿用既有缺失/无附件证据，不据此认定无附件</t>
        </is>
      </c>
      <c r="R395" s="3" t="n">
        <v>2024</v>
      </c>
      <c r="S395" s="3" t="inlineStr">
        <is>
          <t>2025发布版（2024指标年）</t>
        </is>
      </c>
      <c r="T395" s="3" t="inlineStr"/>
      <c r="U395" s="3" t="inlineStr"/>
      <c r="V395" s="3" t="inlineStr">
        <is>
          <t>待核实</t>
        </is>
      </c>
      <c r="W395" s="3" t="inlineStr">
        <is>
          <t>待核实</t>
        </is>
      </c>
      <c r="X395" s="3" t="inlineStr">
        <is>
          <t>否</t>
        </is>
      </c>
      <c r="Y395" s="3" t="inlineStr"/>
      <c r="Z395" s="3" t="inlineStr">
        <is>
          <t>https://api.crossref.org/works/10.1180/gbi.2025.10005</t>
        </is>
      </c>
      <c r="AA395" s="3" t="inlineStr">
        <is>
          <t>2024指标年JCR分区未核实；空白不能当非Q1。需要2025发布版/2024指标年的JCR全部学科导出。</t>
        </is>
      </c>
      <c r="AB395" s="3" t="inlineStr"/>
      <c r="AC395" s="3" t="inlineStr"/>
      <c r="AD395" s="3" t="inlineStr"/>
    </row>
    <row r="396" ht="48" customHeight="1">
      <c r="A396" s="2" t="inlineStr">
        <is>
          <t>R13458</t>
        </is>
      </c>
      <c r="B396" s="2" t="inlineStr">
        <is>
          <t>Optimizing straw anaerobic digestion via nanobubble technology: Insights into hydrolysis, acidogenesis, and methanogenesis processes</t>
        </is>
      </c>
      <c r="C396" s="2" t="inlineStr">
        <is>
          <t>2026</t>
        </is>
      </c>
      <c r="D396" s="2" t="inlineStr">
        <is>
          <t>2026</t>
        </is>
      </c>
      <c r="E396" s="2" t="inlineStr">
        <is>
          <t>10.1016/j.renene.2025.124351</t>
        </is>
      </c>
      <c r="F396" s="2" t="inlineStr">
        <is>
          <t>期刊文章</t>
        </is>
      </c>
      <c r="G396" s="2" t="inlineStr">
        <is>
          <t>1 直接向 AD 反应器或内部循环系统供氧</t>
        </is>
      </c>
      <c r="H396" s="2" t="inlineStr">
        <is>
          <t>是</t>
        </is>
      </c>
      <c r="I396" s="2" t="inlineStr">
        <is>
          <t>研究类</t>
        </is>
      </c>
      <c r="J396" s="2" t="inlineStr">
        <is>
          <t>是</t>
        </is>
      </c>
      <c r="K396" s="2" t="inlineStr">
        <is>
          <t>Renewable Energy</t>
        </is>
      </c>
      <c r="L396" s="2" t="inlineStr">
        <is>
          <t>Renewable Energy</t>
        </is>
      </c>
      <c r="M396" s="2" t="inlineStr">
        <is>
          <t>0960-1481</t>
        </is>
      </c>
      <c r="N396" s="2" t="inlineStr"/>
      <c r="O396" s="2" t="inlineStr">
        <is>
          <t>已取得核验全文</t>
        </is>
      </c>
      <c r="P396" s="2" t="inlineStr">
        <is>
          <t>是</t>
        </is>
      </c>
      <c r="Q396" s="2" t="inlineStr">
        <is>
          <t>当前无补充材料原件；沿用既有缺失/无附件证据，不据此认定无附件</t>
        </is>
      </c>
      <c r="R396" s="2" t="n">
        <v>2024</v>
      </c>
      <c r="S396" s="2" t="inlineStr">
        <is>
          <t>2025发布版（2024指标年）</t>
        </is>
      </c>
      <c r="T396" s="2" t="inlineStr">
        <is>
          <t>ENERGY &amp; FUELS; GREEN &amp; SUSTAINABLE SCIENCE &amp; TECHNOLOGY</t>
        </is>
      </c>
      <c r="U396" s="2" t="inlineStr">
        <is>
          <t>ENERGY &amp; FUELS: Q1; GREEN &amp; SUSTAINABLE SCIENCE &amp; TECHNOLOGY: Q1</t>
        </is>
      </c>
      <c r="V396" s="4" t="inlineStr">
        <is>
          <t>是</t>
        </is>
      </c>
      <c r="W396" s="4" t="inlineStr">
        <is>
          <t>是</t>
        </is>
      </c>
      <c r="X396" s="2" t="inlineStr">
        <is>
          <t>是</t>
        </is>
      </c>
      <c r="Y396" s="2" t="inlineStr">
        <is>
          <t>https://topj.lib.whu.edu.cn/show.asp?cat=sci&amp;id=8240</t>
        </is>
      </c>
      <c r="Z396" s="2" t="inlineStr">
        <is>
          <t>https://api.crossref.org/works/10.1016/j.renene.2025.124351</t>
        </is>
      </c>
      <c r="AA39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96" s="2" t="inlineStr">
        <is>
          <t>original_files/R13458/fulltext/fulltext__published__7d4f74a74e6c0aa2.pdf</t>
        </is>
      </c>
      <c r="AC396" s="2" t="inlineStr"/>
      <c r="AD396" s="2" t="inlineStr">
        <is>
          <t>https://github.com/Colliam-Vermilion/FirstCodex/blob/results/ad-oxygen-literature-20261006/results/ad-oxygen-literature-20261006/original_files/R13458/fulltext/fulltext__published__7d4f74a74e6c0aa2.pdf</t>
        </is>
      </c>
    </row>
    <row r="397" ht="48" customHeight="1">
      <c r="A397" s="3" t="inlineStr">
        <is>
          <t>R13623</t>
        </is>
      </c>
      <c r="B397" s="3" t="inlineStr">
        <is>
          <t>Single-stage C-N-P removal and ultra-low net sludge production driven by cyclic oxygen exposure and side-stream acidogenesis in an intermittent-aeration IFAS-OSA system</t>
        </is>
      </c>
      <c r="C397" s="3" t="inlineStr">
        <is>
          <t>2026</t>
        </is>
      </c>
      <c r="D397" s="3" t="inlineStr">
        <is>
          <t>2026</t>
        </is>
      </c>
      <c r="E397" s="3" t="inlineStr">
        <is>
          <t>10.1016/j.biortech.2026.134766</t>
        </is>
      </c>
      <c r="F397" s="3" t="inlineStr">
        <is>
          <t>期刊文章</t>
        </is>
      </c>
      <c r="G397" s="3" t="inlineStr">
        <is>
          <t>5 排除</t>
        </is>
      </c>
      <c r="H397" s="3" t="inlineStr">
        <is>
          <t>否</t>
        </is>
      </c>
      <c r="I397" s="3" t="inlineStr">
        <is>
          <t>研究类</t>
        </is>
      </c>
      <c r="J397" s="3" t="inlineStr">
        <is>
          <t>否</t>
        </is>
      </c>
      <c r="K397" s="3" t="inlineStr">
        <is>
          <t>BIORESOURCE TECHNOLOGY</t>
        </is>
      </c>
      <c r="L397" s="3" t="inlineStr">
        <is>
          <t>Bioresource Technology</t>
        </is>
      </c>
      <c r="M397" s="3" t="inlineStr">
        <is>
          <t>0960-8524</t>
        </is>
      </c>
      <c r="N397" s="3" t="inlineStr"/>
      <c r="O397" s="3" t="inlineStr">
        <is>
          <t>未取得全文</t>
        </is>
      </c>
      <c r="P397" s="3" t="inlineStr">
        <is>
          <t>否</t>
        </is>
      </c>
      <c r="Q397" s="3" t="inlineStr">
        <is>
          <t>当前无补充材料原件；沿用既有缺失/无附件证据，不据此认定无附件</t>
        </is>
      </c>
      <c r="R397" s="3" t="n">
        <v>2024</v>
      </c>
      <c r="S397" s="3" t="inlineStr">
        <is>
          <t>2025发布版（2024指标年）</t>
        </is>
      </c>
      <c r="T397" s="3" t="inlineStr">
        <is>
          <t>AGRICULTURAL ENGINEERING; BIOTECHNOLOGY &amp; APPLIED MICROBIOLOGY; ENERGY &amp; FUELS</t>
        </is>
      </c>
      <c r="U397" s="3" t="inlineStr">
        <is>
          <t>AGRICULTURAL ENGINEERING: Q1; BIOTECHNOLOGY &amp; APPLIED MICROBIOLOGY: Q1; ENERGY &amp; FUELS: Q1</t>
        </is>
      </c>
      <c r="V397" s="4" t="inlineStr">
        <is>
          <t>是</t>
        </is>
      </c>
      <c r="W397" s="4" t="inlineStr">
        <is>
          <t>是</t>
        </is>
      </c>
      <c r="X397" s="3" t="inlineStr">
        <is>
          <t>是</t>
        </is>
      </c>
      <c r="Y397" s="3" t="inlineStr">
        <is>
          <t>https://topj.lib.whu.edu.cn/show.asp?cat=zk&amp;id=3976</t>
        </is>
      </c>
      <c r="Z397" s="3" t="inlineStr">
        <is>
          <t>https://api.crossref.org/works/10.1016/j.biortech.2026.134766</t>
        </is>
      </c>
      <c r="AA39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97" s="3" t="inlineStr"/>
      <c r="AC397" s="3" t="inlineStr"/>
      <c r="AD397" s="3" t="inlineStr"/>
    </row>
    <row r="398" ht="48" customHeight="1">
      <c r="A398" s="2" t="inlineStr">
        <is>
          <t>R13683</t>
        </is>
      </c>
      <c r="B398" s="2" t="inlineStr">
        <is>
          <t>Synergistic enhancement of methane yield and odor control in pig manure anaerobic digestion via micro-aeration pretreatment</t>
        </is>
      </c>
      <c r="C398" s="2" t="inlineStr">
        <is>
          <t>2026</t>
        </is>
      </c>
      <c r="D398" s="2" t="inlineStr">
        <is>
          <t>2026</t>
        </is>
      </c>
      <c r="E398" s="2" t="inlineStr">
        <is>
          <t>10.1016/j.renene.2026.126304</t>
        </is>
      </c>
      <c r="F398" s="2" t="inlineStr">
        <is>
          <t>期刊文章</t>
        </is>
      </c>
      <c r="G398" s="2" t="inlineStr">
        <is>
          <t>3 独立好氧或微好氧预处理</t>
        </is>
      </c>
      <c r="H398" s="2" t="inlineStr">
        <is>
          <t>是</t>
        </is>
      </c>
      <c r="I398" s="2" t="inlineStr">
        <is>
          <t>研究类</t>
        </is>
      </c>
      <c r="J398" s="2" t="inlineStr">
        <is>
          <t>是</t>
        </is>
      </c>
      <c r="K398" s="2" t="inlineStr">
        <is>
          <t>Renewable Energy</t>
        </is>
      </c>
      <c r="L398" s="2" t="inlineStr">
        <is>
          <t>Renewable Energy</t>
        </is>
      </c>
      <c r="M398" s="2" t="inlineStr">
        <is>
          <t>0960-1481</t>
        </is>
      </c>
      <c r="N398" s="2" t="inlineStr"/>
      <c r="O398" s="2" t="inlineStr">
        <is>
          <t>已取得核验全文</t>
        </is>
      </c>
      <c r="P398" s="2" t="inlineStr">
        <is>
          <t>是</t>
        </is>
      </c>
      <c r="Q398" s="2" t="inlineStr">
        <is>
          <t>已取得2件原格式补充材料；其中1件唯一关联待核实；完整性未确认</t>
        </is>
      </c>
      <c r="R398" s="2" t="n">
        <v>2024</v>
      </c>
      <c r="S398" s="2" t="inlineStr">
        <is>
          <t>2025发布版（2024指标年）</t>
        </is>
      </c>
      <c r="T398" s="2" t="inlineStr">
        <is>
          <t>ENERGY &amp; FUELS; GREEN &amp; SUSTAINABLE SCIENCE &amp; TECHNOLOGY</t>
        </is>
      </c>
      <c r="U398" s="2" t="inlineStr">
        <is>
          <t>ENERGY &amp; FUELS: Q1; GREEN &amp; SUSTAINABLE SCIENCE &amp; TECHNOLOGY: Q1</t>
        </is>
      </c>
      <c r="V398" s="4" t="inlineStr">
        <is>
          <t>是</t>
        </is>
      </c>
      <c r="W398" s="4" t="inlineStr">
        <is>
          <t>是</t>
        </is>
      </c>
      <c r="X398" s="2" t="inlineStr">
        <is>
          <t>是</t>
        </is>
      </c>
      <c r="Y398" s="2" t="inlineStr">
        <is>
          <t>https://topj.lib.whu.edu.cn/show.asp?cat=sci&amp;id=8240</t>
        </is>
      </c>
      <c r="Z398" s="2" t="inlineStr">
        <is>
          <t>https://api.crossref.org/works/10.1016/j.renene.2026.126304</t>
        </is>
      </c>
      <c r="AA39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98" s="2" t="inlineStr">
        <is>
          <t>original_files/R13683/fulltext/fulltext__published__b1108047de626436.pdf</t>
        </is>
      </c>
      <c r="AC398" s="2" t="inlineStr">
        <is>
          <t>original_files/R13683/supplementary/supplementary__5fdf454660591b7e.docx; original_files/R13683/supplementary/supplementary__a877e9851f8d0a82.docx</t>
        </is>
      </c>
      <c r="AD398" s="2" t="inlineStr">
        <is>
          <t>https://github.com/Colliam-Vermilion/FirstCodex/blob/results/ad-oxygen-literature-20261006/results/ad-oxygen-literature-20261006/original_files/R13683/fulltext/fulltext__published__b1108047de626436.pdf</t>
        </is>
      </c>
    </row>
    <row r="399" ht="48" customHeight="1">
      <c r="A399" s="3" t="inlineStr">
        <is>
          <t>R13691</t>
        </is>
      </c>
      <c r="B399" s="3" t="inlineStr">
        <is>
          <t>Synergistic promotion of straw anaerobic digestion by a composite microbial consortium and micro-aeration: Enhancing lignocellulose decomposition and methanogenesis</t>
        </is>
      </c>
      <c r="C399" s="3" t="inlineStr">
        <is>
          <t>2026</t>
        </is>
      </c>
      <c r="D399" s="3" t="inlineStr">
        <is>
          <t>2026</t>
        </is>
      </c>
      <c r="E399" s="3" t="inlineStr">
        <is>
          <t>10.1016/j.cej.2025.172265</t>
        </is>
      </c>
      <c r="F399" s="3" t="inlineStr">
        <is>
          <t>期刊文章</t>
        </is>
      </c>
      <c r="G399" s="3" t="inlineStr">
        <is>
          <t>1 直接向 AD 反应器或内部循环系统供氧</t>
        </is>
      </c>
      <c r="H399" s="3" t="inlineStr">
        <is>
          <t>是</t>
        </is>
      </c>
      <c r="I399" s="3" t="inlineStr">
        <is>
          <t>研究类</t>
        </is>
      </c>
      <c r="J399" s="3" t="inlineStr">
        <is>
          <t>是</t>
        </is>
      </c>
      <c r="K399" s="3" t="inlineStr">
        <is>
          <t>Chemical Engineering Journal</t>
        </is>
      </c>
      <c r="L399" s="3" t="inlineStr">
        <is>
          <t>Chemical Engineering Journal</t>
        </is>
      </c>
      <c r="M399" s="3" t="inlineStr">
        <is>
          <t>1385-8947</t>
        </is>
      </c>
      <c r="N399" s="3" t="inlineStr"/>
      <c r="O399" s="3" t="inlineStr">
        <is>
          <t>已取得核验全文</t>
        </is>
      </c>
      <c r="P399" s="3" t="inlineStr">
        <is>
          <t>是</t>
        </is>
      </c>
      <c r="Q399" s="3" t="inlineStr">
        <is>
          <t>已取得1件原格式补充材料；其中0件唯一关联待核实；完整性未确认</t>
        </is>
      </c>
      <c r="R399" s="3" t="n">
        <v>2024</v>
      </c>
      <c r="S399" s="3" t="inlineStr">
        <is>
          <t>2025发布版（2024指标年）</t>
        </is>
      </c>
      <c r="T399" s="3" t="inlineStr">
        <is>
          <t>ENGINEERING, CHEMICAL; ENGINEERING, ENVIRONMENTAL</t>
        </is>
      </c>
      <c r="U399" s="3" t="inlineStr">
        <is>
          <t>ENGINEERING, CHEMICAL: Q1; ENGINEERING, ENVIRONMENTAL: Q1</t>
        </is>
      </c>
      <c r="V399" s="4" t="inlineStr">
        <is>
          <t>是</t>
        </is>
      </c>
      <c r="W399" s="4" t="inlineStr">
        <is>
          <t>是</t>
        </is>
      </c>
      <c r="X399" s="3" t="inlineStr">
        <is>
          <t>是</t>
        </is>
      </c>
      <c r="Y399" s="3" t="inlineStr">
        <is>
          <t>https://topj.lib.whu.edu.cn/show.asp?cat=zk&amp;id=2740</t>
        </is>
      </c>
      <c r="Z399" s="3" t="inlineStr">
        <is>
          <t>https://api.crossref.org/works/10.1016/j.cej.2025.172265</t>
        </is>
      </c>
      <c r="AA39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399" s="3" t="inlineStr">
        <is>
          <t>original_files/R13691/fulltext/fulltext__published__0d0f2f553fdab708.pdf</t>
        </is>
      </c>
      <c r="AC399" s="3" t="inlineStr">
        <is>
          <t>original_files/R13691/supplementary/supplementary__d629b8eb96ca8565.docx</t>
        </is>
      </c>
      <c r="AD399" s="3" t="inlineStr">
        <is>
          <t>https://github.com/Colliam-Vermilion/FirstCodex/blob/results/ad-oxygen-literature-20261006/results/ad-oxygen-literature-20261006/original_files/R13691/fulltext/fulltext__published__0d0f2f553fdab708.pdf</t>
        </is>
      </c>
    </row>
    <row r="400" ht="48" customHeight="1">
      <c r="A400" s="2" t="inlineStr">
        <is>
          <t>R13737</t>
        </is>
      </c>
      <c r="B400" s="2" t="inlineStr">
        <is>
          <t>Three-stage integrated co-digestion of pig manure and rice straw combined with biogas slurry reflux: Performance and application evaluation</t>
        </is>
      </c>
      <c r="C400" s="2" t="inlineStr">
        <is>
          <t>2026</t>
        </is>
      </c>
      <c r="D400" s="2" t="inlineStr">
        <is>
          <t>2026</t>
        </is>
      </c>
      <c r="E400" s="2" t="inlineStr">
        <is>
          <t>10.1016/j.biortech.2026.135455</t>
        </is>
      </c>
      <c r="F400" s="2" t="inlineStr">
        <is>
          <t>期刊文章</t>
        </is>
      </c>
      <c r="G400" s="2" t="inlineStr">
        <is>
          <t>2 向厌氧水解或产酸阶段供氧</t>
        </is>
      </c>
      <c r="H400" s="2" t="inlineStr">
        <is>
          <t>是</t>
        </is>
      </c>
      <c r="I400" s="2" t="inlineStr">
        <is>
          <t>研究类</t>
        </is>
      </c>
      <c r="J400" s="2" t="inlineStr">
        <is>
          <t>是</t>
        </is>
      </c>
      <c r="K400" s="2" t="inlineStr">
        <is>
          <t>BIORESOURCE TECHNOLOGY</t>
        </is>
      </c>
      <c r="L400" s="2" t="inlineStr">
        <is>
          <t>Bioresource Technology</t>
        </is>
      </c>
      <c r="M400" s="2" t="inlineStr">
        <is>
          <t>0960-8524</t>
        </is>
      </c>
      <c r="N400" s="2" t="inlineStr"/>
      <c r="O400" s="2" t="inlineStr">
        <is>
          <t>已取得核验全文</t>
        </is>
      </c>
      <c r="P400" s="2" t="inlineStr">
        <is>
          <t>是</t>
        </is>
      </c>
      <c r="Q400" s="2" t="inlineStr">
        <is>
          <t>已取得1件原格式补充材料；其中0件唯一关联待核实；完整性未确认</t>
        </is>
      </c>
      <c r="R400" s="2" t="n">
        <v>2024</v>
      </c>
      <c r="S400" s="2" t="inlineStr">
        <is>
          <t>2025发布版（2024指标年）</t>
        </is>
      </c>
      <c r="T400" s="2" t="inlineStr">
        <is>
          <t>AGRICULTURAL ENGINEERING; BIOTECHNOLOGY &amp; APPLIED MICROBIOLOGY; ENERGY &amp; FUELS</t>
        </is>
      </c>
      <c r="U400" s="2" t="inlineStr">
        <is>
          <t>AGRICULTURAL ENGINEERING: Q1; BIOTECHNOLOGY &amp; APPLIED MICROBIOLOGY: Q1; ENERGY &amp; FUELS: Q1</t>
        </is>
      </c>
      <c r="V400" s="4" t="inlineStr">
        <is>
          <t>是</t>
        </is>
      </c>
      <c r="W400" s="4" t="inlineStr">
        <is>
          <t>是</t>
        </is>
      </c>
      <c r="X400" s="2" t="inlineStr">
        <is>
          <t>是</t>
        </is>
      </c>
      <c r="Y400" s="2" t="inlineStr">
        <is>
          <t>https://topj.lib.whu.edu.cn/show.asp?cat=zk&amp;id=3976</t>
        </is>
      </c>
      <c r="Z400" s="2" t="inlineStr">
        <is>
          <t>https://api.crossref.org/works/10.1016/j.biortech.2026.135455</t>
        </is>
      </c>
      <c r="AA40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00" s="2" t="inlineStr">
        <is>
          <t>original_files/R13737/fulltext/fulltext__published__b0edda1229f5ee5a.pdf</t>
        </is>
      </c>
      <c r="AC400" s="2" t="inlineStr">
        <is>
          <t>original_files/R13737/supplementary/supplementary__daaa5785fce4f181.docx</t>
        </is>
      </c>
      <c r="AD400" s="2" t="inlineStr">
        <is>
          <t>https://github.com/Colliam-Vermilion/FirstCodex/blob/results/ad-oxygen-literature-20261006/results/ad-oxygen-literature-20261006/original_files/R13737/fulltext/fulltext__published__b0edda1229f5ee5a.pdf</t>
        </is>
      </c>
    </row>
    <row r="401" ht="48" customHeight="1">
      <c r="A401" s="3" t="inlineStr">
        <is>
          <t>R13796</t>
        </is>
      </c>
      <c r="B401" s="3" t="inlineStr">
        <is>
          <t>Valorization of organic solid waste through HTC-AD coupling: revisiting the applicability of hydrochar in AD</t>
        </is>
      </c>
      <c r="C401" s="3" t="inlineStr">
        <is>
          <t>2026</t>
        </is>
      </c>
      <c r="D401" s="3" t="inlineStr">
        <is>
          <t>2026</t>
        </is>
      </c>
      <c r="E401" s="3" t="inlineStr">
        <is>
          <t>10.1016/j.biortech.2026.135453</t>
        </is>
      </c>
      <c r="F401" s="3" t="inlineStr">
        <is>
          <t>期刊文章</t>
        </is>
      </c>
      <c r="G401" s="3" t="inlineStr">
        <is>
          <t>5 排除</t>
        </is>
      </c>
      <c r="H401" s="3" t="inlineStr">
        <is>
          <t>否</t>
        </is>
      </c>
      <c r="I401" s="3" t="inlineStr">
        <is>
          <t>研究类</t>
        </is>
      </c>
      <c r="J401" s="3" t="inlineStr">
        <is>
          <t>否</t>
        </is>
      </c>
      <c r="K401" s="3" t="inlineStr">
        <is>
          <t>BIORESOURCE TECHNOLOGY</t>
        </is>
      </c>
      <c r="L401" s="3" t="inlineStr">
        <is>
          <t>Bioresource Technology</t>
        </is>
      </c>
      <c r="M401" s="3" t="inlineStr">
        <is>
          <t>0960-8524</t>
        </is>
      </c>
      <c r="N401" s="3" t="inlineStr"/>
      <c r="O401" s="3" t="inlineStr">
        <is>
          <t>未取得全文</t>
        </is>
      </c>
      <c r="P401" s="3" t="inlineStr">
        <is>
          <t>否</t>
        </is>
      </c>
      <c r="Q401" s="3" t="inlineStr">
        <is>
          <t>当前无补充材料原件；沿用既有缺失/无附件证据，不据此认定无附件</t>
        </is>
      </c>
      <c r="R401" s="3" t="n">
        <v>2024</v>
      </c>
      <c r="S401" s="3" t="inlineStr">
        <is>
          <t>2025发布版（2024指标年）</t>
        </is>
      </c>
      <c r="T401" s="3" t="inlineStr">
        <is>
          <t>AGRICULTURAL ENGINEERING; BIOTECHNOLOGY &amp; APPLIED MICROBIOLOGY; ENERGY &amp; FUELS</t>
        </is>
      </c>
      <c r="U401" s="3" t="inlineStr">
        <is>
          <t>AGRICULTURAL ENGINEERING: Q1; BIOTECHNOLOGY &amp; APPLIED MICROBIOLOGY: Q1; ENERGY &amp; FUELS: Q1</t>
        </is>
      </c>
      <c r="V401" s="4" t="inlineStr">
        <is>
          <t>是</t>
        </is>
      </c>
      <c r="W401" s="4" t="inlineStr">
        <is>
          <t>是</t>
        </is>
      </c>
      <c r="X401" s="3" t="inlineStr">
        <is>
          <t>是</t>
        </is>
      </c>
      <c r="Y401" s="3" t="inlineStr">
        <is>
          <t>https://topj.lib.whu.edu.cn/show.asp?cat=zk&amp;id=3976</t>
        </is>
      </c>
      <c r="Z401" s="3" t="inlineStr">
        <is>
          <t>https://api.crossref.org/works/10.1016/j.biortech.2026.135453</t>
        </is>
      </c>
      <c r="AA40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01" s="3" t="inlineStr"/>
      <c r="AC401" s="3" t="inlineStr"/>
      <c r="AD401" s="3" t="inlineStr"/>
    </row>
    <row r="402" ht="48" customHeight="1">
      <c r="A402" s="2" t="inlineStr">
        <is>
          <t>R13818</t>
        </is>
      </c>
      <c r="B402" s="2" t="inlineStr">
        <is>
          <t>Influence of raw sludge quality on the efficiency of microaerobic sulfide removal during anaerobic digestion of sewage sludge</t>
        </is>
      </c>
      <c r="C402" s="2" t="n">
        <v>2013</v>
      </c>
      <c r="D402" s="2" t="inlineStr">
        <is>
          <t>2013</t>
        </is>
      </c>
      <c r="E402" s="2" t="inlineStr"/>
      <c r="F402" s="2" t="inlineStr">
        <is>
          <t>期刊文章</t>
        </is>
      </c>
      <c r="G402" s="2" t="inlineStr">
        <is>
          <t>1 直接向 AD 反应器或内部循环系统供氧</t>
        </is>
      </c>
      <c r="H402" s="2" t="inlineStr">
        <is>
          <t>是</t>
        </is>
      </c>
      <c r="I402" s="2" t="inlineStr">
        <is>
          <t>研究类</t>
        </is>
      </c>
      <c r="J402" s="2" t="inlineStr">
        <is>
          <t>是</t>
        </is>
      </c>
      <c r="K402" s="2" t="inlineStr">
        <is>
          <t>Journal of Residuals Science &amp; Technology</t>
        </is>
      </c>
      <c r="L402" s="2" t="inlineStr">
        <is>
          <t>Journal of Residuals Science &amp; Technology</t>
        </is>
      </c>
      <c r="M402" s="2" t="inlineStr">
        <is>
          <t>1544-8053</t>
        </is>
      </c>
      <c r="N402" s="2" t="inlineStr"/>
      <c r="O402" s="2" t="inlineStr">
        <is>
          <t>已取得核验全文</t>
        </is>
      </c>
      <c r="P402" s="2" t="inlineStr">
        <is>
          <t>是</t>
        </is>
      </c>
      <c r="Q402" s="2" t="inlineStr">
        <is>
          <t>当前无补充材料原件；沿用既有缺失/无附件证据，不据此认定无附件</t>
        </is>
      </c>
      <c r="R402" s="2" t="n">
        <v>2024</v>
      </c>
      <c r="S402" s="2" t="inlineStr">
        <is>
          <t>2025发布版（2024指标年）</t>
        </is>
      </c>
      <c r="T402" s="2" t="inlineStr"/>
      <c r="U402" s="2" t="inlineStr"/>
      <c r="V402" s="2" t="inlineStr">
        <is>
          <t>待核实</t>
        </is>
      </c>
      <c r="W402" s="2" t="inlineStr">
        <is>
          <t>待核实</t>
        </is>
      </c>
      <c r="X402" s="2" t="inlineStr">
        <is>
          <t>否</t>
        </is>
      </c>
      <c r="Y402" s="2" t="inlineStr"/>
      <c r="Z402" s="2" t="inlineStr">
        <is>
          <t>原件内容核验：original_files/R13818/fulltext/fulltext__published__ea9ad5deb641605b.pdf</t>
        </is>
      </c>
      <c r="AA402" s="2" t="inlineStr">
        <is>
          <t>PDF p.1期刊页脚：Vol.10, No.1 January 2013 | 2024指标年JCR分区未核实；空白不能当非Q1。需要2025发布版/2024指标年的JCR全部学科导出。</t>
        </is>
      </c>
      <c r="AB402" s="2" t="inlineStr">
        <is>
          <t>original_files/R13818/fulltext/fulltext__published__ea9ad5deb641605b.pdf</t>
        </is>
      </c>
      <c r="AC402" s="2" t="inlineStr"/>
      <c r="AD402" s="2" t="inlineStr">
        <is>
          <t>https://github.com/Colliam-Vermilion/FirstCodex/blob/results/ad-oxygen-literature-20261006/results/ad-oxygen-literature-20261006/original_files/R13818/fulltext/fulltext__published__ea9ad5deb641605b.pdf</t>
        </is>
      </c>
    </row>
    <row r="403" ht="48" customHeight="1">
      <c r="A403" s="3" t="inlineStr">
        <is>
          <t>R13819</t>
        </is>
      </c>
      <c r="B403" s="3" t="inlineStr">
        <is>
          <t>Bioaugmentation of overloaded anaerobic digesters restores function and archaeal community</t>
        </is>
      </c>
      <c r="C403" s="3" t="inlineStr">
        <is>
          <t>2015</t>
        </is>
      </c>
      <c r="D403" s="3" t="inlineStr">
        <is>
          <t>2015</t>
        </is>
      </c>
      <c r="E403" s="3" t="inlineStr">
        <is>
          <t>10.1016/j.watres.2014.11.037</t>
        </is>
      </c>
      <c r="F403" s="3" t="inlineStr">
        <is>
          <t>期刊文章</t>
        </is>
      </c>
      <c r="G403" s="3" t="inlineStr">
        <is>
          <t>3 独立好氧或微好氧预处理</t>
        </is>
      </c>
      <c r="H403" s="3" t="inlineStr">
        <is>
          <t>是</t>
        </is>
      </c>
      <c r="I403" s="3" t="inlineStr">
        <is>
          <t>研究类</t>
        </is>
      </c>
      <c r="J403" s="3" t="inlineStr">
        <is>
          <t>是</t>
        </is>
      </c>
      <c r="K403" s="3" t="inlineStr">
        <is>
          <t>WATER RESEARCH</t>
        </is>
      </c>
      <c r="L403" s="3" t="inlineStr">
        <is>
          <t>Water Research</t>
        </is>
      </c>
      <c r="M403" s="3" t="inlineStr">
        <is>
          <t>0043-1354</t>
        </is>
      </c>
      <c r="N403" s="3" t="inlineStr"/>
      <c r="O403" s="3" t="inlineStr">
        <is>
          <t>已取得核验全文</t>
        </is>
      </c>
      <c r="P403" s="3" t="inlineStr">
        <is>
          <t>是</t>
        </is>
      </c>
      <c r="Q403" s="3" t="inlineStr">
        <is>
          <t>当前无补充材料原件；沿用既有缺失/无附件证据，不据此认定无附件</t>
        </is>
      </c>
      <c r="R403" s="3" t="n">
        <v>2024</v>
      </c>
      <c r="S403" s="3" t="inlineStr">
        <is>
          <t>2025发布版（2024指标年）</t>
        </is>
      </c>
      <c r="T403" s="3" t="inlineStr">
        <is>
          <t>WATER RESOURCES; ENGINEERING, ENVIRONMENTAL; ENVIRONMENTAL SCIENCES</t>
        </is>
      </c>
      <c r="U403" s="3" t="inlineStr">
        <is>
          <t>WATER RESOURCES: Q1; ENGINEERING, ENVIRONMENTAL: Q1; ENVIRONMENTAL SCIENCES: Q1</t>
        </is>
      </c>
      <c r="V403" s="4" t="inlineStr">
        <is>
          <t>是</t>
        </is>
      </c>
      <c r="W403" s="4" t="inlineStr">
        <is>
          <t>是</t>
        </is>
      </c>
      <c r="X403" s="3" t="inlineStr">
        <is>
          <t>是</t>
        </is>
      </c>
      <c r="Y403" s="3" t="inlineStr">
        <is>
          <t>https://topj.lib.whu.edu.cn/show.asp?cat=zk&amp;id=3962</t>
        </is>
      </c>
      <c r="Z403" s="3" t="inlineStr">
        <is>
          <t>https://api.crossref.org/works/10.1016/j.watres.2014.11.037</t>
        </is>
      </c>
      <c r="AA40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03" s="3" t="inlineStr">
        <is>
          <t>original_files/R13819/fulltext/fulltext__accepted__431f5e76781d3cef.pdf</t>
        </is>
      </c>
      <c r="AC403" s="3" t="inlineStr"/>
      <c r="AD403" s="3" t="inlineStr">
        <is>
          <t>https://github.com/Colliam-Vermilion/FirstCodex/blob/results/ad-oxygen-literature-20261006/results/ad-oxygen-literature-20261006/original_files/R13819/fulltext/fulltext__accepted__431f5e76781d3cef.pdf</t>
        </is>
      </c>
    </row>
    <row r="404" ht="48" customHeight="1">
      <c r="A404" s="2" t="inlineStr">
        <is>
          <t>R13820</t>
        </is>
      </c>
      <c r="B404" s="2" t="inlineStr">
        <is>
          <t>Oxygen-limited aeration for relieving the impact of phenolic compounds in anaerobic treatment of coal gasification wastewater</t>
        </is>
      </c>
      <c r="C404" s="2" t="inlineStr">
        <is>
          <t>2014</t>
        </is>
      </c>
      <c r="D404" s="2" t="inlineStr">
        <is>
          <t>2014</t>
        </is>
      </c>
      <c r="E404" s="2" t="inlineStr">
        <is>
          <t>10.1016/j.ibiod.2014.06.009</t>
        </is>
      </c>
      <c r="F404" s="2" t="inlineStr">
        <is>
          <t>期刊文章</t>
        </is>
      </c>
      <c r="G404" s="2" t="inlineStr">
        <is>
          <t>1 直接向 AD 反应器或内部循环系统供氧</t>
        </is>
      </c>
      <c r="H404" s="2" t="inlineStr">
        <is>
          <t>是</t>
        </is>
      </c>
      <c r="I404" s="2" t="inlineStr">
        <is>
          <t>研究类</t>
        </is>
      </c>
      <c r="J404" s="2" t="inlineStr">
        <is>
          <t>是</t>
        </is>
      </c>
      <c r="K404" s="2" t="inlineStr">
        <is>
          <t>INTERNATIONAL BIODETERIORATION &amp; BIODEGRADATION</t>
        </is>
      </c>
      <c r="L404" s="2" t="inlineStr">
        <is>
          <t>International Biodeterioration &amp;amp; Biodegradation</t>
        </is>
      </c>
      <c r="M404" s="2" t="inlineStr">
        <is>
          <t>0964-8305</t>
        </is>
      </c>
      <c r="N404" s="2" t="inlineStr"/>
      <c r="O404" s="2" t="inlineStr">
        <is>
          <t>已取得核验全文</t>
        </is>
      </c>
      <c r="P404" s="2" t="inlineStr">
        <is>
          <t>是</t>
        </is>
      </c>
      <c r="Q404" s="2" t="inlineStr">
        <is>
          <t>当前无补充材料原件；沿用既有缺失/无附件证据，不据此认定无附件</t>
        </is>
      </c>
      <c r="R404" s="2" t="n">
        <v>2024</v>
      </c>
      <c r="S404" s="2" t="inlineStr">
        <is>
          <t>2025发布版（2024指标年）</t>
        </is>
      </c>
      <c r="T404" s="2" t="inlineStr">
        <is>
          <t>BIOTECHNOLOGY &amp; APPLIED MICROBIOLOGY; ENVIRONMENTAL SCIENCES</t>
        </is>
      </c>
      <c r="U404" s="2" t="inlineStr">
        <is>
          <t>BIOTECHNOLOGY &amp; APPLIED MICROBIOLOGY: Q2; ENVIRONMENTAL SCIENCES: Q2</t>
        </is>
      </c>
      <c r="V404" s="2" t="inlineStr">
        <is>
          <t>否</t>
        </is>
      </c>
      <c r="W404" s="2" t="inlineStr">
        <is>
          <t>否</t>
        </is>
      </c>
      <c r="X404" s="2" t="inlineStr">
        <is>
          <t>是</t>
        </is>
      </c>
      <c r="Y404" s="2" t="inlineStr">
        <is>
          <t>https://topj.lib.whu.edu.cn/show.asp?cat=sci&amp;id=7031</t>
        </is>
      </c>
      <c r="Z404" s="2" t="inlineStr">
        <is>
          <t>https://api.crossref.org/works/10.1016/j.ibiod.2014.06.009</t>
        </is>
      </c>
      <c r="AA40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04" s="2" t="inlineStr">
        <is>
          <t>original_files/R13820/fulltext/fulltext__published__21ab0f9c0e59298c.pdf</t>
        </is>
      </c>
      <c r="AC404" s="2" t="inlineStr"/>
      <c r="AD404" s="2" t="inlineStr">
        <is>
          <t>https://github.com/Colliam-Vermilion/FirstCodex/blob/results/ad-oxygen-literature-20261006/results/ad-oxygen-literature-20261006/original_files/R13820/fulltext/fulltext__published__21ab0f9c0e59298c.pdf</t>
        </is>
      </c>
    </row>
    <row r="405" ht="48" customHeight="1">
      <c r="A405" s="3" t="inlineStr">
        <is>
          <t>R13821</t>
        </is>
      </c>
      <c r="B405" s="3" t="inlineStr">
        <is>
          <t>Improvement of methane generation capacity by aerobic pre-treatment of organic waste with a cellulolytic Trichoderma viride culture</t>
        </is>
      </c>
      <c r="C405" s="3" t="inlineStr">
        <is>
          <t>2013</t>
        </is>
      </c>
      <c r="D405" s="3" t="inlineStr">
        <is>
          <t>2013</t>
        </is>
      </c>
      <c r="E405" s="3" t="inlineStr">
        <is>
          <t>10.1016/j.jenvman.2013.07.030</t>
        </is>
      </c>
      <c r="F405" s="3" t="inlineStr">
        <is>
          <t>期刊文章</t>
        </is>
      </c>
      <c r="G405" s="3" t="inlineStr">
        <is>
          <t>3 独立好氧或微好氧预处理</t>
        </is>
      </c>
      <c r="H405" s="3" t="inlineStr">
        <is>
          <t>是</t>
        </is>
      </c>
      <c r="I405" s="3" t="inlineStr">
        <is>
          <t>研究类</t>
        </is>
      </c>
      <c r="J405" s="3" t="inlineStr">
        <is>
          <t>是</t>
        </is>
      </c>
      <c r="K405" s="3" t="inlineStr">
        <is>
          <t>Journal of Environmental Management</t>
        </is>
      </c>
      <c r="L405" s="3" t="inlineStr">
        <is>
          <t>Journal of Environmental Management</t>
        </is>
      </c>
      <c r="M405" s="3" t="inlineStr">
        <is>
          <t>0301-4797</t>
        </is>
      </c>
      <c r="N405" s="3" t="inlineStr"/>
      <c r="O405" s="3" t="inlineStr">
        <is>
          <t>已取得核验全文</t>
        </is>
      </c>
      <c r="P405" s="3" t="inlineStr">
        <is>
          <t>是</t>
        </is>
      </c>
      <c r="Q405" s="3" t="inlineStr">
        <is>
          <t>当前无补充材料原件；沿用既有缺失/无附件证据，不据此认定无附件</t>
        </is>
      </c>
      <c r="R405" s="3" t="n">
        <v>2024</v>
      </c>
      <c r="S405" s="3" t="inlineStr">
        <is>
          <t>2025发布版（2024指标年）</t>
        </is>
      </c>
      <c r="T405" s="3" t="inlineStr">
        <is>
          <t>ENVIRONMENTAL SCIENCES</t>
        </is>
      </c>
      <c r="U405" s="3" t="inlineStr">
        <is>
          <t>ENVIRONMENTAL SCIENCES: Q1</t>
        </is>
      </c>
      <c r="V405" s="4" t="inlineStr">
        <is>
          <t>是</t>
        </is>
      </c>
      <c r="W405" s="4" t="inlineStr">
        <is>
          <t>是</t>
        </is>
      </c>
      <c r="X405" s="3" t="inlineStr">
        <is>
          <t>是</t>
        </is>
      </c>
      <c r="Y405" s="3" t="inlineStr">
        <is>
          <t>https://topj.lib.whu.edu.cn/show.asp?cat=sci&amp;id=6965</t>
        </is>
      </c>
      <c r="Z405" s="3" t="inlineStr">
        <is>
          <t>https://api.crossref.org/works/10.1016/j.jenvman.2013.07.030</t>
        </is>
      </c>
      <c r="AA40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05" s="3" t="inlineStr">
        <is>
          <t>original_files/R13821/fulltext/fulltext__published__fcad403cdcabd790.pdf</t>
        </is>
      </c>
      <c r="AC405" s="3" t="inlineStr"/>
      <c r="AD405" s="3" t="inlineStr">
        <is>
          <t>https://github.com/Colliam-Vermilion/FirstCodex/blob/results/ad-oxygen-literature-20261006/results/ad-oxygen-literature-20261006/original_files/R13821/fulltext/fulltext__published__fcad403cdcabd790.pdf</t>
        </is>
      </c>
    </row>
    <row r="406" ht="48" customHeight="1">
      <c r="A406" s="2" t="inlineStr">
        <is>
          <t>R13822</t>
        </is>
      </c>
      <c r="B406" s="2" t="inlineStr">
        <is>
          <t>Enhancement of acidogenic fermentation for volatile fatty acid production from food waste: Effect of redox potential and inoculum</t>
        </is>
      </c>
      <c r="C406" s="2" t="inlineStr">
        <is>
          <t>2016</t>
        </is>
      </c>
      <c r="D406" s="2" t="inlineStr">
        <is>
          <t>2016</t>
        </is>
      </c>
      <c r="E406" s="2" t="inlineStr">
        <is>
          <t>10.1016/j.biortech.2016.06.053</t>
        </is>
      </c>
      <c r="F406" s="2" t="inlineStr">
        <is>
          <t>期刊文章</t>
        </is>
      </c>
      <c r="G406" s="2" t="inlineStr">
        <is>
          <t>2 向厌氧水解或产酸阶段供氧</t>
        </is>
      </c>
      <c r="H406" s="2" t="inlineStr">
        <is>
          <t>是</t>
        </is>
      </c>
      <c r="I406" s="2" t="inlineStr">
        <is>
          <t>研究类</t>
        </is>
      </c>
      <c r="J406" s="2" t="inlineStr">
        <is>
          <t>是</t>
        </is>
      </c>
      <c r="K406" s="2" t="inlineStr">
        <is>
          <t>BIORESOURCE TECHNOLOGY</t>
        </is>
      </c>
      <c r="L406" s="2" t="inlineStr">
        <is>
          <t>Bioresource Technology</t>
        </is>
      </c>
      <c r="M406" s="2" t="inlineStr">
        <is>
          <t>0960-8524</t>
        </is>
      </c>
      <c r="N406" s="2" t="inlineStr"/>
      <c r="O406" s="2" t="inlineStr">
        <is>
          <t>已取得核验全文</t>
        </is>
      </c>
      <c r="P406" s="2" t="inlineStr">
        <is>
          <t>是</t>
        </is>
      </c>
      <c r="Q406" s="2" t="inlineStr">
        <is>
          <t>当前无补充材料原件；沿用既有缺失/无附件证据，不据此认定无附件</t>
        </is>
      </c>
      <c r="R406" s="2" t="n">
        <v>2024</v>
      </c>
      <c r="S406" s="2" t="inlineStr">
        <is>
          <t>2025发布版（2024指标年）</t>
        </is>
      </c>
      <c r="T406" s="2" t="inlineStr">
        <is>
          <t>AGRICULTURAL ENGINEERING; BIOTECHNOLOGY &amp; APPLIED MICROBIOLOGY; ENERGY &amp; FUELS</t>
        </is>
      </c>
      <c r="U406" s="2" t="inlineStr">
        <is>
          <t>AGRICULTURAL ENGINEERING: Q1; BIOTECHNOLOGY &amp; APPLIED MICROBIOLOGY: Q1; ENERGY &amp; FUELS: Q1</t>
        </is>
      </c>
      <c r="V406" s="4" t="inlineStr">
        <is>
          <t>是</t>
        </is>
      </c>
      <c r="W406" s="4" t="inlineStr">
        <is>
          <t>是</t>
        </is>
      </c>
      <c r="X406" s="2" t="inlineStr">
        <is>
          <t>是</t>
        </is>
      </c>
      <c r="Y406" s="2" t="inlineStr">
        <is>
          <t>https://topj.lib.whu.edu.cn/show.asp?cat=zk&amp;id=3976</t>
        </is>
      </c>
      <c r="Z406" s="2" t="inlineStr">
        <is>
          <t>https://api.crossref.org/works/10.1016/j.biortech.2016.06.053</t>
        </is>
      </c>
      <c r="AA40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06" s="2" t="inlineStr">
        <is>
          <t>original_files/R13822/fulltext/fulltext__published__4c3d611b2b8a6c59.pdf</t>
        </is>
      </c>
      <c r="AC406" s="2" t="inlineStr"/>
      <c r="AD406" s="2" t="inlineStr">
        <is>
          <t>https://github.com/Colliam-Vermilion/FirstCodex/blob/results/ad-oxygen-literature-20261006/results/ad-oxygen-literature-20261006/original_files/R13822/fulltext/fulltext__published__4c3d611b2b8a6c59.pdf</t>
        </is>
      </c>
    </row>
    <row r="407" ht="48" customHeight="1">
      <c r="A407" s="3" t="inlineStr">
        <is>
          <t>R13823</t>
        </is>
      </c>
      <c r="B407" s="3" t="inlineStr">
        <is>
          <t>Evaluation of aeration pretreatment to prepare an inoculum for the two-stage hydrogen and methane production process</t>
        </is>
      </c>
      <c r="C407" s="3" t="inlineStr">
        <is>
          <t>2014</t>
        </is>
      </c>
      <c r="D407" s="3" t="inlineStr">
        <is>
          <t>2014</t>
        </is>
      </c>
      <c r="E407" s="3" t="inlineStr">
        <is>
          <t>10.1016/j.biortech.2014.05.019</t>
        </is>
      </c>
      <c r="F407" s="3" t="inlineStr">
        <is>
          <t>期刊文章</t>
        </is>
      </c>
      <c r="G407" s="3" t="inlineStr">
        <is>
          <t>3 独立好氧或微好氧预处理</t>
        </is>
      </c>
      <c r="H407" s="3" t="inlineStr">
        <is>
          <t>是</t>
        </is>
      </c>
      <c r="I407" s="3" t="inlineStr">
        <is>
          <t>研究类</t>
        </is>
      </c>
      <c r="J407" s="3" t="inlineStr">
        <is>
          <t>是</t>
        </is>
      </c>
      <c r="K407" s="3" t="inlineStr">
        <is>
          <t>BIORESOURCE TECHNOLOGY</t>
        </is>
      </c>
      <c r="L407" s="3" t="inlineStr">
        <is>
          <t>Bioresource Technology</t>
        </is>
      </c>
      <c r="M407" s="3" t="inlineStr">
        <is>
          <t>0960-8524</t>
        </is>
      </c>
      <c r="N407" s="3" t="inlineStr"/>
      <c r="O407" s="3" t="inlineStr">
        <is>
          <t>已取得核验全文</t>
        </is>
      </c>
      <c r="P407" s="3" t="inlineStr">
        <is>
          <t>是</t>
        </is>
      </c>
      <c r="Q407" s="3" t="inlineStr">
        <is>
          <t>当前无补充材料原件；沿用既有缺失/无附件证据，不据此认定无附件</t>
        </is>
      </c>
      <c r="R407" s="3" t="n">
        <v>2024</v>
      </c>
      <c r="S407" s="3" t="inlineStr">
        <is>
          <t>2025发布版（2024指标年）</t>
        </is>
      </c>
      <c r="T407" s="3" t="inlineStr">
        <is>
          <t>AGRICULTURAL ENGINEERING; BIOTECHNOLOGY &amp; APPLIED MICROBIOLOGY; ENERGY &amp; FUELS</t>
        </is>
      </c>
      <c r="U407" s="3" t="inlineStr">
        <is>
          <t>AGRICULTURAL ENGINEERING: Q1; BIOTECHNOLOGY &amp; APPLIED MICROBIOLOGY: Q1; ENERGY &amp; FUELS: Q1</t>
        </is>
      </c>
      <c r="V407" s="4" t="inlineStr">
        <is>
          <t>是</t>
        </is>
      </c>
      <c r="W407" s="4" t="inlineStr">
        <is>
          <t>是</t>
        </is>
      </c>
      <c r="X407" s="3" t="inlineStr">
        <is>
          <t>是</t>
        </is>
      </c>
      <c r="Y407" s="3" t="inlineStr">
        <is>
          <t>https://topj.lib.whu.edu.cn/show.asp?cat=zk&amp;id=3976</t>
        </is>
      </c>
      <c r="Z407" s="3" t="inlineStr">
        <is>
          <t>https://api.crossref.org/works/10.1016/j.biortech.2014.05.019</t>
        </is>
      </c>
      <c r="AA40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07" s="3" t="inlineStr">
        <is>
          <t>original_files/R13823/fulltext/fulltext__published__c481d09e7a4563e7.pdf</t>
        </is>
      </c>
      <c r="AC407" s="3" t="inlineStr"/>
      <c r="AD407" s="3" t="inlineStr">
        <is>
          <t>https://github.com/Colliam-Vermilion/FirstCodex/blob/results/ad-oxygen-literature-20261006/results/ad-oxygen-literature-20261006/original_files/R13823/fulltext/fulltext__published__c481d09e7a4563e7.pdf</t>
        </is>
      </c>
    </row>
    <row r="408" ht="48" customHeight="1">
      <c r="A408" s="2" t="inlineStr">
        <is>
          <t>R13824</t>
        </is>
      </c>
      <c r="B408" s="2" t="inlineStr">
        <is>
          <t>Effect of aerobic pretreatment on anaerobic digestion of olive mill wastewater (OMWW): An ecoefficient treatment</t>
        </is>
      </c>
      <c r="C408" s="2" t="inlineStr">
        <is>
          <t>2015</t>
        </is>
      </c>
      <c r="D408" s="2" t="inlineStr">
        <is>
          <t>2015</t>
        </is>
      </c>
      <c r="E408" s="2" t="inlineStr">
        <is>
          <t>10.1016/j.fbp.2014.10.005</t>
        </is>
      </c>
      <c r="F408" s="2" t="inlineStr">
        <is>
          <t>期刊文章</t>
        </is>
      </c>
      <c r="G408" s="2" t="inlineStr">
        <is>
          <t>3 独立好氧或微好氧预处理</t>
        </is>
      </c>
      <c r="H408" s="2" t="inlineStr">
        <is>
          <t>是</t>
        </is>
      </c>
      <c r="I408" s="2" t="inlineStr">
        <is>
          <t>研究类</t>
        </is>
      </c>
      <c r="J408" s="2" t="inlineStr">
        <is>
          <t>是</t>
        </is>
      </c>
      <c r="K408" s="2" t="inlineStr">
        <is>
          <t>FOOD AND BIOPRODUCTS PROCESSING</t>
        </is>
      </c>
      <c r="L408" s="2" t="inlineStr">
        <is>
          <t>Food and Bioproducts Processing</t>
        </is>
      </c>
      <c r="M408" s="2" t="inlineStr">
        <is>
          <t>0960-3085</t>
        </is>
      </c>
      <c r="N408" s="2" t="inlineStr"/>
      <c r="O408" s="2" t="inlineStr">
        <is>
          <t>已取得核验全文</t>
        </is>
      </c>
      <c r="P408" s="2" t="inlineStr">
        <is>
          <t>是</t>
        </is>
      </c>
      <c r="Q408" s="2" t="inlineStr">
        <is>
          <t>当前无补充材料原件；沿用既有缺失/无附件证据，不据此认定无附件</t>
        </is>
      </c>
      <c r="R408" s="2" t="n">
        <v>2024</v>
      </c>
      <c r="S408" s="2" t="inlineStr">
        <is>
          <t>2025发布版（2024指标年）</t>
        </is>
      </c>
      <c r="T408" s="2" t="inlineStr">
        <is>
          <t>BIOTECHNOLOGY &amp; APPLIED MICROBIOLOGY; ENGINEERING, CHEMICAL; FOOD SCIENCE &amp; TECHNOLOGY</t>
        </is>
      </c>
      <c r="U408" s="2" t="inlineStr">
        <is>
          <t>BIOTECHNOLOGY &amp; APPLIED MICROBIOLOGY: Q2; ENGINEERING, CHEMICAL: Q2; FOOD SCIENCE &amp; TECHNOLOGY: Q2</t>
        </is>
      </c>
      <c r="V408" s="2" t="inlineStr">
        <is>
          <t>否</t>
        </is>
      </c>
      <c r="W408" s="2" t="inlineStr">
        <is>
          <t>否</t>
        </is>
      </c>
      <c r="X408" s="2" t="inlineStr">
        <is>
          <t>是</t>
        </is>
      </c>
      <c r="Y408" s="2" t="inlineStr">
        <is>
          <t>https://topj.lib.whu.edu.cn/show.asp?cat=esi&amp;id=4119</t>
        </is>
      </c>
      <c r="Z408" s="2" t="inlineStr">
        <is>
          <t>https://api.crossref.org/works/10.1016/j.fbp.2014.10.005</t>
        </is>
      </c>
      <c r="AA40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08" s="2" t="inlineStr">
        <is>
          <t>original_files/R13824/fulltext/fulltext__published__72585de7b482d9d7.pdf</t>
        </is>
      </c>
      <c r="AC408" s="2" t="inlineStr"/>
      <c r="AD408" s="2" t="inlineStr">
        <is>
          <t>https://github.com/Colliam-Vermilion/FirstCodex/blob/results/ad-oxygen-literature-20261006/results/ad-oxygen-literature-20261006/original_files/R13824/fulltext/fulltext__published__72585de7b482d9d7.pdf</t>
        </is>
      </c>
    </row>
    <row r="409" ht="48" customHeight="1">
      <c r="A409" s="3" t="inlineStr">
        <is>
          <t>R13825</t>
        </is>
      </c>
      <c r="B409" s="3" t="inlineStr">
        <is>
          <t>Microaerobic pretreatment of sewage sludge: Effect of air flow rate, pretreatment time and temperature on the aerobic process and methane generation</t>
        </is>
      </c>
      <c r="C409" s="3" t="inlineStr">
        <is>
          <t>2016</t>
        </is>
      </c>
      <c r="D409" s="3" t="inlineStr">
        <is>
          <t>2016</t>
        </is>
      </c>
      <c r="E409" s="3" t="inlineStr">
        <is>
          <t>10.1016/j.ibiod.2016.01.010</t>
        </is>
      </c>
      <c r="F409" s="3" t="inlineStr">
        <is>
          <t>期刊文章</t>
        </is>
      </c>
      <c r="G409" s="3" t="inlineStr">
        <is>
          <t>3 独立好氧或微好氧预处理</t>
        </is>
      </c>
      <c r="H409" s="3" t="inlineStr">
        <is>
          <t>是</t>
        </is>
      </c>
      <c r="I409" s="3" t="inlineStr">
        <is>
          <t>研究类</t>
        </is>
      </c>
      <c r="J409" s="3" t="inlineStr">
        <is>
          <t>是</t>
        </is>
      </c>
      <c r="K409" s="3" t="inlineStr">
        <is>
          <t>INTERNATIONAL BIODETERIORATION &amp; BIODEGRADATION</t>
        </is>
      </c>
      <c r="L409" s="3" t="inlineStr">
        <is>
          <t>International Biodeterioration &amp;amp; Biodegradation</t>
        </is>
      </c>
      <c r="M409" s="3" t="inlineStr">
        <is>
          <t>0964-8305</t>
        </is>
      </c>
      <c r="N409" s="3" t="inlineStr"/>
      <c r="O409" s="3" t="inlineStr">
        <is>
          <t>已取得核验全文</t>
        </is>
      </c>
      <c r="P409" s="3" t="inlineStr">
        <is>
          <t>是</t>
        </is>
      </c>
      <c r="Q409" s="3" t="inlineStr">
        <is>
          <t>当前无补充材料原件；沿用既有缺失/无附件证据，不据此认定无附件</t>
        </is>
      </c>
      <c r="R409" s="3" t="n">
        <v>2024</v>
      </c>
      <c r="S409" s="3" t="inlineStr">
        <is>
          <t>2025发布版（2024指标年）</t>
        </is>
      </c>
      <c r="T409" s="3" t="inlineStr">
        <is>
          <t>BIOTECHNOLOGY &amp; APPLIED MICROBIOLOGY; ENVIRONMENTAL SCIENCES</t>
        </is>
      </c>
      <c r="U409" s="3" t="inlineStr">
        <is>
          <t>BIOTECHNOLOGY &amp; APPLIED MICROBIOLOGY: Q2; ENVIRONMENTAL SCIENCES: Q2</t>
        </is>
      </c>
      <c r="V409" s="3" t="inlineStr">
        <is>
          <t>否</t>
        </is>
      </c>
      <c r="W409" s="3" t="inlineStr">
        <is>
          <t>否</t>
        </is>
      </c>
      <c r="X409" s="3" t="inlineStr">
        <is>
          <t>是</t>
        </is>
      </c>
      <c r="Y409" s="3" t="inlineStr">
        <is>
          <t>https://topj.lib.whu.edu.cn/show.asp?cat=sci&amp;id=7031</t>
        </is>
      </c>
      <c r="Z409" s="3" t="inlineStr">
        <is>
          <t>https://api.crossref.org/works/10.1016/j.ibiod.2016.01.010</t>
        </is>
      </c>
      <c r="AA40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09" s="3" t="inlineStr">
        <is>
          <t>original_files/R13825/fulltext/fulltext__published__0779372648e9bf7f.pdf</t>
        </is>
      </c>
      <c r="AC409" s="3" t="inlineStr"/>
      <c r="AD409" s="3" t="inlineStr">
        <is>
          <t>https://github.com/Colliam-Vermilion/FirstCodex/blob/results/ad-oxygen-literature-20261006/results/ad-oxygen-literature-20261006/original_files/R13825/fulltext/fulltext__published__0779372648e9bf7f.pdf</t>
        </is>
      </c>
    </row>
    <row r="410" ht="48" customHeight="1">
      <c r="A410" s="2" t="inlineStr">
        <is>
          <t>R13826</t>
        </is>
      </c>
      <c r="B410" s="2" t="inlineStr">
        <is>
          <t>Semi-aerobic fermentation as a novel pre-treatment to obtain VFA and increase methane yield from primary sludge</t>
        </is>
      </c>
      <c r="C410" s="2" t="inlineStr">
        <is>
          <t>2016</t>
        </is>
      </c>
      <c r="D410" s="2" t="inlineStr">
        <is>
          <t>2016</t>
        </is>
      </c>
      <c r="E410" s="2" t="inlineStr">
        <is>
          <t>10.1016/j.biortech.2015.10.085</t>
        </is>
      </c>
      <c r="F410" s="2" t="inlineStr">
        <is>
          <t>期刊文章</t>
        </is>
      </c>
      <c r="G410" s="2" t="inlineStr">
        <is>
          <t>2 向厌氧水解或产酸阶段供氧</t>
        </is>
      </c>
      <c r="H410" s="2" t="inlineStr">
        <is>
          <t>是</t>
        </is>
      </c>
      <c r="I410" s="2" t="inlineStr">
        <is>
          <t>研究类</t>
        </is>
      </c>
      <c r="J410" s="2" t="inlineStr">
        <is>
          <t>是</t>
        </is>
      </c>
      <c r="K410" s="2" t="inlineStr">
        <is>
          <t>BIORESOURCE TECHNOLOGY</t>
        </is>
      </c>
      <c r="L410" s="2" t="inlineStr">
        <is>
          <t>Bioresource Technology</t>
        </is>
      </c>
      <c r="M410" s="2" t="inlineStr">
        <is>
          <t>0960-8524</t>
        </is>
      </c>
      <c r="N410" s="2" t="inlineStr"/>
      <c r="O410" s="2" t="inlineStr">
        <is>
          <t>已取得核验全文</t>
        </is>
      </c>
      <c r="P410" s="2" t="inlineStr">
        <is>
          <t>是</t>
        </is>
      </c>
      <c r="Q410" s="2" t="inlineStr">
        <is>
          <t>已取得1件原格式补充材料；其中1件唯一关联待核实；完整性未确认</t>
        </is>
      </c>
      <c r="R410" s="2" t="n">
        <v>2024</v>
      </c>
      <c r="S410" s="2" t="inlineStr">
        <is>
          <t>2025发布版（2024指标年）</t>
        </is>
      </c>
      <c r="T410" s="2" t="inlineStr">
        <is>
          <t>AGRICULTURAL ENGINEERING; BIOTECHNOLOGY &amp; APPLIED MICROBIOLOGY; ENERGY &amp; FUELS</t>
        </is>
      </c>
      <c r="U410" s="2" t="inlineStr">
        <is>
          <t>AGRICULTURAL ENGINEERING: Q1; BIOTECHNOLOGY &amp; APPLIED MICROBIOLOGY: Q1; ENERGY &amp; FUELS: Q1</t>
        </is>
      </c>
      <c r="V410" s="4" t="inlineStr">
        <is>
          <t>是</t>
        </is>
      </c>
      <c r="W410" s="4" t="inlineStr">
        <is>
          <t>是</t>
        </is>
      </c>
      <c r="X410" s="2" t="inlineStr">
        <is>
          <t>是</t>
        </is>
      </c>
      <c r="Y410" s="2" t="inlineStr">
        <is>
          <t>https://topj.lib.whu.edu.cn/show.asp?cat=zk&amp;id=3976</t>
        </is>
      </c>
      <c r="Z410" s="2" t="inlineStr">
        <is>
          <t>https://api.crossref.org/works/10.1016/j.biortech.2015.10.085</t>
        </is>
      </c>
      <c r="AA41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10" s="2" t="inlineStr">
        <is>
          <t>original_files/R13826/fulltext/fulltext__published__1ccea8c1a44ca4f0.pdf</t>
        </is>
      </c>
      <c r="AC410" s="2" t="inlineStr">
        <is>
          <t>original_files/R13826/supplementary/supplementary__bed7252f1b3a2196.pdf</t>
        </is>
      </c>
      <c r="AD410" s="2" t="inlineStr">
        <is>
          <t>https://github.com/Colliam-Vermilion/FirstCodex/blob/results/ad-oxygen-literature-20261006/results/ad-oxygen-literature-20261006/original_files/R13826/fulltext/fulltext__published__1ccea8c1a44ca4f0.pdf</t>
        </is>
      </c>
    </row>
    <row r="411" ht="48" customHeight="1">
      <c r="A411" s="3" t="inlineStr">
        <is>
          <t>R13827</t>
        </is>
      </c>
      <c r="B411" s="3" t="inlineStr">
        <is>
          <t>Effect of aerobic pre-treatment on hydrogen and methane production in a two-stage anaerobic digestion process using food waste with different compositions</t>
        </is>
      </c>
      <c r="C411" s="3" t="inlineStr">
        <is>
          <t>2017</t>
        </is>
      </c>
      <c r="D411" s="3" t="inlineStr">
        <is>
          <t>2017</t>
        </is>
      </c>
      <c r="E411" s="3" t="inlineStr">
        <is>
          <t>10.1016/j.wasman.2016.10.028</t>
        </is>
      </c>
      <c r="F411" s="3" t="inlineStr">
        <is>
          <t>期刊文章</t>
        </is>
      </c>
      <c r="G411" s="3" t="inlineStr">
        <is>
          <t>3 独立好氧或微好氧预处理</t>
        </is>
      </c>
      <c r="H411" s="3" t="inlineStr">
        <is>
          <t>是</t>
        </is>
      </c>
      <c r="I411" s="3" t="inlineStr">
        <is>
          <t>研究类</t>
        </is>
      </c>
      <c r="J411" s="3" t="inlineStr">
        <is>
          <t>是</t>
        </is>
      </c>
      <c r="K411" s="3" t="inlineStr">
        <is>
          <t>Waste Management</t>
        </is>
      </c>
      <c r="L411" s="3" t="inlineStr">
        <is>
          <t>Waste Management</t>
        </is>
      </c>
      <c r="M411" s="3" t="inlineStr">
        <is>
          <t>0956-053X</t>
        </is>
      </c>
      <c r="N411" s="3" t="inlineStr"/>
      <c r="O411" s="3" t="inlineStr">
        <is>
          <t>已取得核验全文</t>
        </is>
      </c>
      <c r="P411" s="3" t="inlineStr">
        <is>
          <t>是</t>
        </is>
      </c>
      <c r="Q411" s="3" t="inlineStr">
        <is>
          <t>当前无补充材料原件；沿用既有缺失/无附件证据，不据此认定无附件</t>
        </is>
      </c>
      <c r="R411" s="3" t="n">
        <v>2024</v>
      </c>
      <c r="S411" s="3" t="inlineStr">
        <is>
          <t>2025发布版（2024指标年）</t>
        </is>
      </c>
      <c r="T411" s="3" t="inlineStr">
        <is>
          <t>ENGINEERING, ENVIRONMENTAL; ENVIRONMENTAL SCIENCES</t>
        </is>
      </c>
      <c r="U411" s="3" t="inlineStr">
        <is>
          <t>ENGINEERING, ENVIRONMENTAL: Q1; ENVIRONMENTAL SCIENCES: Q1</t>
        </is>
      </c>
      <c r="V411" s="4" t="inlineStr">
        <is>
          <t>是</t>
        </is>
      </c>
      <c r="W411" s="4" t="inlineStr">
        <is>
          <t>是</t>
        </is>
      </c>
      <c r="X411" s="3" t="inlineStr">
        <is>
          <t>是</t>
        </is>
      </c>
      <c r="Y411" s="3" t="inlineStr">
        <is>
          <t>https://topj.lib.whu.edu.cn/show.asp?cat=zk&amp;id=4000</t>
        </is>
      </c>
      <c r="Z411" s="3" t="inlineStr">
        <is>
          <t>https://api.crossref.org/works/10.1016/j.wasman.2016.10.028</t>
        </is>
      </c>
      <c r="AA41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11" s="3" t="inlineStr">
        <is>
          <t>original_files/R13827/fulltext/fulltext__published__430f870f08ce5335.pdf</t>
        </is>
      </c>
      <c r="AC411" s="3" t="inlineStr"/>
      <c r="AD411" s="3" t="inlineStr">
        <is>
          <t>https://github.com/Colliam-Vermilion/FirstCodex/blob/results/ad-oxygen-literature-20261006/results/ad-oxygen-literature-20261006/original_files/R13827/fulltext/fulltext__published__430f870f08ce5335.pdf</t>
        </is>
      </c>
    </row>
    <row r="412" ht="48" customHeight="1">
      <c r="A412" s="2" t="inlineStr">
        <is>
          <t>R13828</t>
        </is>
      </c>
      <c r="B412" s="2" t="inlineStr">
        <is>
          <t>Enhanced production of methane in anaerobic water treatment as mediated by the immobilized fungi.</t>
        </is>
      </c>
      <c r="C412" s="2" t="inlineStr">
        <is>
          <t>2021</t>
        </is>
      </c>
      <c r="D412" s="2" t="inlineStr">
        <is>
          <t>2021</t>
        </is>
      </c>
      <c r="E412" s="2" t="inlineStr">
        <is>
          <t>10.1016/j.watres.2020.116761</t>
        </is>
      </c>
      <c r="F412" s="2" t="inlineStr">
        <is>
          <t>期刊文章</t>
        </is>
      </c>
      <c r="G412" s="2" t="inlineStr">
        <is>
          <t>5 排除</t>
        </is>
      </c>
      <c r="H412" s="2" t="inlineStr">
        <is>
          <t>否</t>
        </is>
      </c>
      <c r="I412" s="2" t="inlineStr">
        <is>
          <t>研究类</t>
        </is>
      </c>
      <c r="J412" s="2" t="inlineStr">
        <is>
          <t>否</t>
        </is>
      </c>
      <c r="K412" s="2" t="inlineStr">
        <is>
          <t>WATER RESEARCH</t>
        </is>
      </c>
      <c r="L412" s="2" t="inlineStr">
        <is>
          <t>Water research</t>
        </is>
      </c>
      <c r="M412" s="2" t="inlineStr">
        <is>
          <t>0043-1354</t>
        </is>
      </c>
      <c r="N412" s="2" t="inlineStr"/>
      <c r="O412" s="2" t="inlineStr">
        <is>
          <t>未取得全文</t>
        </is>
      </c>
      <c r="P412" s="2" t="inlineStr">
        <is>
          <t>否</t>
        </is>
      </c>
      <c r="Q412" s="2" t="inlineStr">
        <is>
          <t>当前无补充材料原件；沿用既有缺失/无附件证据，不据此认定无附件</t>
        </is>
      </c>
      <c r="R412" s="2" t="n">
        <v>2024</v>
      </c>
      <c r="S412" s="2" t="inlineStr">
        <is>
          <t>2025发布版（2024指标年）</t>
        </is>
      </c>
      <c r="T412" s="2" t="inlineStr">
        <is>
          <t>WATER RESOURCES; ENGINEERING, ENVIRONMENTAL; ENVIRONMENTAL SCIENCES</t>
        </is>
      </c>
      <c r="U412" s="2" t="inlineStr">
        <is>
          <t>WATER RESOURCES: Q1; ENGINEERING, ENVIRONMENTAL: Q1; ENVIRONMENTAL SCIENCES: Q1</t>
        </is>
      </c>
      <c r="V412" s="4" t="inlineStr">
        <is>
          <t>是</t>
        </is>
      </c>
      <c r="W412" s="4" t="inlineStr">
        <is>
          <t>是</t>
        </is>
      </c>
      <c r="X412" s="2" t="inlineStr">
        <is>
          <t>是</t>
        </is>
      </c>
      <c r="Y412" s="2" t="inlineStr">
        <is>
          <t>https://topj.lib.whu.edu.cn/show.asp?cat=zk&amp;id=3962</t>
        </is>
      </c>
      <c r="Z412" s="2" t="inlineStr">
        <is>
          <t>https://api.crossref.org/works/10.1016/j.watres.2020.116761</t>
        </is>
      </c>
      <c r="AA41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12" s="2" t="inlineStr"/>
      <c r="AC412" s="2" t="inlineStr"/>
      <c r="AD412" s="2" t="inlineStr"/>
    </row>
    <row r="413" ht="48" customHeight="1">
      <c r="A413" s="3" t="inlineStr">
        <is>
          <t>R13829</t>
        </is>
      </c>
      <c r="B413" s="3" t="inlineStr">
        <is>
          <t>Fungal pretreatment and associated kinetics of rice straw hydrolysis to accelerate methane yield from anaerobic digestion</t>
        </is>
      </c>
      <c r="C413" s="3" t="inlineStr">
        <is>
          <t>2019</t>
        </is>
      </c>
      <c r="D413" s="3" t="inlineStr">
        <is>
          <t>2019</t>
        </is>
      </c>
      <c r="E413" s="3" t="inlineStr">
        <is>
          <t>10.1016/j.biortech.2019.121368</t>
        </is>
      </c>
      <c r="F413" s="3" t="inlineStr">
        <is>
          <t>期刊文章</t>
        </is>
      </c>
      <c r="G413" s="3" t="inlineStr">
        <is>
          <t>5 排除</t>
        </is>
      </c>
      <c r="H413" s="3" t="inlineStr">
        <is>
          <t>否</t>
        </is>
      </c>
      <c r="I413" s="3" t="inlineStr">
        <is>
          <t>研究类</t>
        </is>
      </c>
      <c r="J413" s="3" t="inlineStr">
        <is>
          <t>否</t>
        </is>
      </c>
      <c r="K413" s="3" t="inlineStr">
        <is>
          <t>BIORESOURCE TECHNOLOGY</t>
        </is>
      </c>
      <c r="L413" s="3" t="inlineStr">
        <is>
          <t>Bioresource Technology</t>
        </is>
      </c>
      <c r="M413" s="3" t="inlineStr">
        <is>
          <t>0960-8524</t>
        </is>
      </c>
      <c r="N413" s="3" t="inlineStr"/>
      <c r="O413" s="3" t="inlineStr">
        <is>
          <t>未取得全文</t>
        </is>
      </c>
      <c r="P413" s="3" t="inlineStr">
        <is>
          <t>否</t>
        </is>
      </c>
      <c r="Q413" s="3" t="inlineStr">
        <is>
          <t>当前无补充材料原件；沿用既有缺失/无附件证据，不据此认定无附件</t>
        </is>
      </c>
      <c r="R413" s="3" t="n">
        <v>2024</v>
      </c>
      <c r="S413" s="3" t="inlineStr">
        <is>
          <t>2025发布版（2024指标年）</t>
        </is>
      </c>
      <c r="T413" s="3" t="inlineStr">
        <is>
          <t>AGRICULTURAL ENGINEERING; BIOTECHNOLOGY &amp; APPLIED MICROBIOLOGY; ENERGY &amp; FUELS</t>
        </is>
      </c>
      <c r="U413" s="3" t="inlineStr">
        <is>
          <t>AGRICULTURAL ENGINEERING: Q1; BIOTECHNOLOGY &amp; APPLIED MICROBIOLOGY: Q1; ENERGY &amp; FUELS: Q1</t>
        </is>
      </c>
      <c r="V413" s="4" t="inlineStr">
        <is>
          <t>是</t>
        </is>
      </c>
      <c r="W413" s="4" t="inlineStr">
        <is>
          <t>是</t>
        </is>
      </c>
      <c r="X413" s="3" t="inlineStr">
        <is>
          <t>是</t>
        </is>
      </c>
      <c r="Y413" s="3" t="inlineStr">
        <is>
          <t>https://topj.lib.whu.edu.cn/show.asp?cat=zk&amp;id=3976</t>
        </is>
      </c>
      <c r="Z413" s="3" t="inlineStr">
        <is>
          <t>https://api.crossref.org/works/10.1016/j.biortech.2019.121368</t>
        </is>
      </c>
      <c r="AA41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13" s="3" t="inlineStr"/>
      <c r="AC413" s="3" t="inlineStr"/>
      <c r="AD413" s="3" t="inlineStr"/>
    </row>
    <row r="414" ht="48" customHeight="1">
      <c r="A414" s="2" t="inlineStr">
        <is>
          <t>R13830</t>
        </is>
      </c>
      <c r="B414" s="2" t="inlineStr">
        <is>
          <t>Fungal pretreatment of unsterilized yard trimmings for enhanced methane production by solid-state anaerobic digestion.</t>
        </is>
      </c>
      <c r="C414" s="2" t="inlineStr">
        <is>
          <t>2014</t>
        </is>
      </c>
      <c r="D414" s="2" t="inlineStr">
        <is>
          <t>2014</t>
        </is>
      </c>
      <c r="E414" s="2" t="inlineStr">
        <is>
          <t>10.1016/j.biortech.2014.02.029</t>
        </is>
      </c>
      <c r="F414" s="2" t="inlineStr">
        <is>
          <t>期刊文章</t>
        </is>
      </c>
      <c r="G414" s="2" t="inlineStr">
        <is>
          <t>5 排除</t>
        </is>
      </c>
      <c r="H414" s="2" t="inlineStr">
        <is>
          <t>否</t>
        </is>
      </c>
      <c r="I414" s="2" t="inlineStr">
        <is>
          <t>研究类</t>
        </is>
      </c>
      <c r="J414" s="2" t="inlineStr">
        <is>
          <t>否</t>
        </is>
      </c>
      <c r="K414" s="2" t="inlineStr">
        <is>
          <t>BIORESOURCE TECHNOLOGY</t>
        </is>
      </c>
      <c r="L414" s="2" t="inlineStr">
        <is>
          <t>Bioresource technology</t>
        </is>
      </c>
      <c r="M414" s="2" t="inlineStr">
        <is>
          <t>0960-8524</t>
        </is>
      </c>
      <c r="N414" s="2" t="inlineStr"/>
      <c r="O414" s="2" t="inlineStr">
        <is>
          <t>未取得全文</t>
        </is>
      </c>
      <c r="P414" s="2" t="inlineStr">
        <is>
          <t>否</t>
        </is>
      </c>
      <c r="Q414" s="2" t="inlineStr">
        <is>
          <t>当前无补充材料原件；沿用既有缺失/无附件证据，不据此认定无附件</t>
        </is>
      </c>
      <c r="R414" s="2" t="n">
        <v>2024</v>
      </c>
      <c r="S414" s="2" t="inlineStr">
        <is>
          <t>2025发布版（2024指标年）</t>
        </is>
      </c>
      <c r="T414" s="2" t="inlineStr">
        <is>
          <t>AGRICULTURAL ENGINEERING; BIOTECHNOLOGY &amp; APPLIED MICROBIOLOGY; ENERGY &amp; FUELS</t>
        </is>
      </c>
      <c r="U414" s="2" t="inlineStr">
        <is>
          <t>AGRICULTURAL ENGINEERING: Q1; BIOTECHNOLOGY &amp; APPLIED MICROBIOLOGY: Q1; ENERGY &amp; FUELS: Q1</t>
        </is>
      </c>
      <c r="V414" s="4" t="inlineStr">
        <is>
          <t>是</t>
        </is>
      </c>
      <c r="W414" s="4" t="inlineStr">
        <is>
          <t>是</t>
        </is>
      </c>
      <c r="X414" s="2" t="inlineStr">
        <is>
          <t>是</t>
        </is>
      </c>
      <c r="Y414" s="2" t="inlineStr">
        <is>
          <t>https://topj.lib.whu.edu.cn/show.asp?cat=zk&amp;id=3976</t>
        </is>
      </c>
      <c r="Z414" s="2" t="inlineStr">
        <is>
          <t>https://api.crossref.org/works/10.1016/j.biortech.2014.02.029</t>
        </is>
      </c>
      <c r="AA41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14" s="2" t="inlineStr"/>
      <c r="AC414" s="2" t="inlineStr"/>
      <c r="AD414" s="2" t="inlineStr"/>
    </row>
    <row r="415" ht="48" customHeight="1">
      <c r="A415" s="3" t="inlineStr">
        <is>
          <t>R13831</t>
        </is>
      </c>
      <c r="B415" s="3" t="inlineStr">
        <is>
          <t>The effects of initial substrate concentration, C/N ratio, and temperature on solid-state anaerobic digestion from composting rice straw.</t>
        </is>
      </c>
      <c r="C415" s="3" t="inlineStr">
        <is>
          <t>2015</t>
        </is>
      </c>
      <c r="D415" s="3" t="inlineStr">
        <is>
          <t>2015</t>
        </is>
      </c>
      <c r="E415" s="3" t="inlineStr">
        <is>
          <t>10.1016/j.biortech.2014.11.089</t>
        </is>
      </c>
      <c r="F415" s="3" t="inlineStr">
        <is>
          <t>期刊文章</t>
        </is>
      </c>
      <c r="G415" s="3" t="inlineStr">
        <is>
          <t>3 独立好氧或微好氧预处理</t>
        </is>
      </c>
      <c r="H415" s="3" t="inlineStr">
        <is>
          <t>是</t>
        </is>
      </c>
      <c r="I415" s="3" t="inlineStr">
        <is>
          <t>研究类</t>
        </is>
      </c>
      <c r="J415" s="3" t="inlineStr">
        <is>
          <t>是</t>
        </is>
      </c>
      <c r="K415" s="3" t="inlineStr">
        <is>
          <t>BIORESOURCE TECHNOLOGY</t>
        </is>
      </c>
      <c r="L415" s="3" t="inlineStr">
        <is>
          <t>Bioresource technology</t>
        </is>
      </c>
      <c r="M415" s="3" t="inlineStr">
        <is>
          <t>0960-8524</t>
        </is>
      </c>
      <c r="N415" s="3" t="inlineStr"/>
      <c r="O415" s="3" t="inlineStr">
        <is>
          <t>已取得核验全文</t>
        </is>
      </c>
      <c r="P415" s="3" t="inlineStr">
        <is>
          <t>是</t>
        </is>
      </c>
      <c r="Q415" s="3" t="inlineStr">
        <is>
          <t>已取得1件原格式补充材料；其中1件唯一关联待核实；完整性未确认</t>
        </is>
      </c>
      <c r="R415" s="3" t="n">
        <v>2024</v>
      </c>
      <c r="S415" s="3" t="inlineStr">
        <is>
          <t>2025发布版（2024指标年）</t>
        </is>
      </c>
      <c r="T415" s="3" t="inlineStr">
        <is>
          <t>AGRICULTURAL ENGINEERING; BIOTECHNOLOGY &amp; APPLIED MICROBIOLOGY; ENERGY &amp; FUELS</t>
        </is>
      </c>
      <c r="U415" s="3" t="inlineStr">
        <is>
          <t>AGRICULTURAL ENGINEERING: Q1; BIOTECHNOLOGY &amp; APPLIED MICROBIOLOGY: Q1; ENERGY &amp; FUELS: Q1</t>
        </is>
      </c>
      <c r="V415" s="4" t="inlineStr">
        <is>
          <t>是</t>
        </is>
      </c>
      <c r="W415" s="4" t="inlineStr">
        <is>
          <t>是</t>
        </is>
      </c>
      <c r="X415" s="3" t="inlineStr">
        <is>
          <t>是</t>
        </is>
      </c>
      <c r="Y415" s="3" t="inlineStr">
        <is>
          <t>https://topj.lib.whu.edu.cn/show.asp?cat=zk&amp;id=3976</t>
        </is>
      </c>
      <c r="Z415" s="3" t="inlineStr">
        <is>
          <t>https://api.crossref.org/works/10.1016/j.biortech.2014.11.089</t>
        </is>
      </c>
      <c r="AA41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15" s="3" t="inlineStr">
        <is>
          <t>original_files/R13831/fulltext/fulltext__published__fd925abc8bff1767.pdf</t>
        </is>
      </c>
      <c r="AC415" s="3" t="inlineStr">
        <is>
          <t>original_files/R13831/supplementary/supplementary__aa4099035ce281bf.docx</t>
        </is>
      </c>
      <c r="AD415" s="3" t="inlineStr">
        <is>
          <t>https://github.com/Colliam-Vermilion/FirstCodex/blob/results/ad-oxygen-literature-20261006/results/ad-oxygen-literature-20261006/original_files/R13831/fulltext/fulltext__published__fd925abc8bff1767.pdf</t>
        </is>
      </c>
    </row>
    <row r="416" ht="48" customHeight="1">
      <c r="A416" s="2" t="inlineStr">
        <is>
          <t>R13832</t>
        </is>
      </c>
      <c r="B416" s="2" t="inlineStr">
        <is>
          <t>A membrane aerated biofilm reactor for sulfide control from anaerobically treated wastewater.</t>
        </is>
      </c>
      <c r="C416" s="2" t="inlineStr">
        <is>
          <t>2019</t>
        </is>
      </c>
      <c r="D416" s="2" t="inlineStr">
        <is>
          <t>2019</t>
        </is>
      </c>
      <c r="E416" s="2" t="inlineStr">
        <is>
          <t>10.1080/09593330.2018.1441329</t>
        </is>
      </c>
      <c r="F416" s="2" t="inlineStr">
        <is>
          <t>期刊文章</t>
        </is>
      </c>
      <c r="G416" s="2" t="inlineStr">
        <is>
          <t>1 直接向 AD 反应器或内部循环系统供氧</t>
        </is>
      </c>
      <c r="H416" s="2" t="inlineStr">
        <is>
          <t>是</t>
        </is>
      </c>
      <c r="I416" s="2" t="inlineStr">
        <is>
          <t>研究类</t>
        </is>
      </c>
      <c r="J416" s="2" t="inlineStr">
        <is>
          <t>是</t>
        </is>
      </c>
      <c r="K416" s="2" t="inlineStr">
        <is>
          <t>ENVIRONMENTAL TECHNOLOGY</t>
        </is>
      </c>
      <c r="L416" s="2" t="inlineStr">
        <is>
          <t>Environmental technology</t>
        </is>
      </c>
      <c r="M416" s="2" t="inlineStr">
        <is>
          <t>0959-3330</t>
        </is>
      </c>
      <c r="N416" s="2" t="inlineStr">
        <is>
          <t>1479-487X</t>
        </is>
      </c>
      <c r="O416" s="2" t="inlineStr">
        <is>
          <t>已取得核验全文</t>
        </is>
      </c>
      <c r="P416" s="2" t="inlineStr">
        <is>
          <t>是</t>
        </is>
      </c>
      <c r="Q416" s="2" t="inlineStr">
        <is>
          <t>已取得2件原格式补充材料；其中2件唯一关联待核实；完整性未确认</t>
        </is>
      </c>
      <c r="R416" s="2" t="n">
        <v>2024</v>
      </c>
      <c r="S416" s="2" t="inlineStr">
        <is>
          <t>2025发布版（2024指标年）</t>
        </is>
      </c>
      <c r="T416" s="2" t="inlineStr">
        <is>
          <t>ENVIRONMENTAL SCIENCES</t>
        </is>
      </c>
      <c r="U416" s="2" t="inlineStr">
        <is>
          <t>ENVIRONMENTAL SCIENCES: Q3</t>
        </is>
      </c>
      <c r="V416" s="2" t="inlineStr">
        <is>
          <t>否</t>
        </is>
      </c>
      <c r="W416" s="2" t="inlineStr">
        <is>
          <t>否</t>
        </is>
      </c>
      <c r="X416" s="2" t="inlineStr">
        <is>
          <t>是</t>
        </is>
      </c>
      <c r="Y416" s="2" t="inlineStr">
        <is>
          <t>https://topj.lib.whu.edu.cn/searchxk1.asp?ordertype=desc&amp;page=11&amp;q=&amp;xk=488</t>
        </is>
      </c>
      <c r="Z416" s="2" t="inlineStr">
        <is>
          <t>https://api.crossref.org/works/10.1080/09593330.2018.1441329</t>
        </is>
      </c>
      <c r="AA416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416" s="2" t="inlineStr">
        <is>
          <t>original_files/R13832/fulltext/fulltext__published__12c614c8fe1d4c0c.pdf</t>
        </is>
      </c>
      <c r="AC416" s="2" t="inlineStr">
        <is>
          <t>original_files/R13832/supplementary/supplementary__b73db4648f4fe908.docx; original_files/R13832/supplementary/supplementary__e96c3a31ec7b58d4.docx</t>
        </is>
      </c>
      <c r="AD416" s="2" t="inlineStr">
        <is>
          <t>https://github.com/Colliam-Vermilion/FirstCodex/blob/results/ad-oxygen-literature-20261006/results/ad-oxygen-literature-20261006/original_files/R13832/fulltext/fulltext__published__12c614c8fe1d4c0c.pdf</t>
        </is>
      </c>
    </row>
    <row r="417" ht="48" customHeight="1">
      <c r="A417" s="3" t="inlineStr">
        <is>
          <t>R13833</t>
        </is>
      </c>
      <c r="B417" s="3" t="inlineStr">
        <is>
          <t>Insight into the Role of Facultative Bacteria Stimulated by Microaeration in Continuous Bioreactors Converting LCFA to Methane</t>
        </is>
      </c>
      <c r="C417" s="3" t="inlineStr">
        <is>
          <t>2018</t>
        </is>
      </c>
      <c r="D417" s="3" t="inlineStr">
        <is>
          <t>2018</t>
        </is>
      </c>
      <c r="E417" s="3" t="inlineStr">
        <is>
          <t>10.1021/acs.est.8b00894</t>
        </is>
      </c>
      <c r="F417" s="3" t="inlineStr">
        <is>
          <t>期刊文章</t>
        </is>
      </c>
      <c r="G417" s="3" t="inlineStr">
        <is>
          <t>1 直接向 AD 反应器或内部循环系统供氧</t>
        </is>
      </c>
      <c r="H417" s="3" t="inlineStr">
        <is>
          <t>是</t>
        </is>
      </c>
      <c r="I417" s="3" t="inlineStr">
        <is>
          <t>研究类</t>
        </is>
      </c>
      <c r="J417" s="3" t="inlineStr">
        <is>
          <t>是</t>
        </is>
      </c>
      <c r="K417" s="3" t="inlineStr">
        <is>
          <t>ENVIRONMENTAL SCIENCE &amp; TECHNOLOGY</t>
        </is>
      </c>
      <c r="L417" s="3" t="inlineStr">
        <is>
          <t>Environmental Science &amp;amp; Technology</t>
        </is>
      </c>
      <c r="M417" s="3" t="inlineStr">
        <is>
          <t>0013-936X</t>
        </is>
      </c>
      <c r="N417" s="3" t="inlineStr">
        <is>
          <t>1520-5851</t>
        </is>
      </c>
      <c r="O417" s="3" t="inlineStr">
        <is>
          <t>已取得核验全文</t>
        </is>
      </c>
      <c r="P417" s="3" t="inlineStr">
        <is>
          <t>是</t>
        </is>
      </c>
      <c r="Q417" s="3" t="inlineStr">
        <is>
          <t>当前无补充材料原件；沿用既有缺失/无附件证据，不据此认定无附件</t>
        </is>
      </c>
      <c r="R417" s="3" t="n">
        <v>2024</v>
      </c>
      <c r="S417" s="3" t="inlineStr">
        <is>
          <t>2025发布版（2024指标年）</t>
        </is>
      </c>
      <c r="T417" s="3" t="inlineStr">
        <is>
          <t>ENGINEERING, ENVIRONMENTAL; ENVIRONMENTAL SCIENCES</t>
        </is>
      </c>
      <c r="U417" s="3" t="inlineStr">
        <is>
          <t>ENGINEERING, ENVIRONMENTAL: Q1; ENVIRONMENTAL SCIENCES: Q1</t>
        </is>
      </c>
      <c r="V417" s="4" t="inlineStr">
        <is>
          <t>是</t>
        </is>
      </c>
      <c r="W417" s="4" t="inlineStr">
        <is>
          <t>是</t>
        </is>
      </c>
      <c r="X417" s="3" t="inlineStr">
        <is>
          <t>是</t>
        </is>
      </c>
      <c r="Y417" s="3" t="inlineStr">
        <is>
          <t>https://topj.lib.whu.edu.cn/show.asp?cat=zk&amp;id=3966</t>
        </is>
      </c>
      <c r="Z417" s="3" t="inlineStr">
        <is>
          <t>https://api.crossref.org/works/10.1021/acs.est.8b00894</t>
        </is>
      </c>
      <c r="AA41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17" s="3" t="inlineStr">
        <is>
          <t>original_files/R13833/fulltext/fulltext__published__1a4a4d5f8fd45de9.pdf</t>
        </is>
      </c>
      <c r="AC417" s="3" t="inlineStr"/>
      <c r="AD417" s="3" t="inlineStr">
        <is>
          <t>https://github.com/Colliam-Vermilion/FirstCodex/blob/results/ad-oxygen-literature-20261006/results/ad-oxygen-literature-20261006/original_files/R13833/fulltext/fulltext__published__1a4a4d5f8fd45de9.pdf</t>
        </is>
      </c>
    </row>
    <row r="418" ht="48" customHeight="1">
      <c r="A418" s="2" t="inlineStr">
        <is>
          <t>R13834</t>
        </is>
      </c>
      <c r="B418" s="2" t="inlineStr">
        <is>
          <t>Microaeration improves the removal/biotransformation of organic micropollutants in anaerobic wastewater treatment systems.</t>
        </is>
      </c>
      <c r="C418" s="2" t="inlineStr">
        <is>
          <t>2021</t>
        </is>
      </c>
      <c r="D418" s="2" t="inlineStr">
        <is>
          <t>2021</t>
        </is>
      </c>
      <c r="E418" s="2" t="inlineStr">
        <is>
          <t>10.1016/j.envres.2021.111313</t>
        </is>
      </c>
      <c r="F418" s="2" t="inlineStr">
        <is>
          <t>期刊文章</t>
        </is>
      </c>
      <c r="G418" s="2" t="inlineStr">
        <is>
          <t>1 直接向 AD 反应器或内部循环系统供氧</t>
        </is>
      </c>
      <c r="H418" s="2" t="inlineStr">
        <is>
          <t>是</t>
        </is>
      </c>
      <c r="I418" s="2" t="inlineStr">
        <is>
          <t>研究类</t>
        </is>
      </c>
      <c r="J418" s="2" t="inlineStr">
        <is>
          <t>是</t>
        </is>
      </c>
      <c r="K418" s="2" t="inlineStr">
        <is>
          <t>ENVIRONMENTAL RESEARCH</t>
        </is>
      </c>
      <c r="L418" s="2" t="inlineStr">
        <is>
          <t>Environmental research</t>
        </is>
      </c>
      <c r="M418" s="2" t="inlineStr">
        <is>
          <t>0013-9351</t>
        </is>
      </c>
      <c r="N418" s="2" t="inlineStr"/>
      <c r="O418" s="2" t="inlineStr">
        <is>
          <t>已取得核验全文</t>
        </is>
      </c>
      <c r="P418" s="2" t="inlineStr">
        <is>
          <t>是</t>
        </is>
      </c>
      <c r="Q418" s="2" t="inlineStr">
        <is>
          <t>已取得1件原格式补充材料；其中0件唯一关联待核实；完整性未确认</t>
        </is>
      </c>
      <c r="R418" s="2" t="n">
        <v>2024</v>
      </c>
      <c r="S418" s="2" t="inlineStr">
        <is>
          <t>2025发布版（2024指标年）</t>
        </is>
      </c>
      <c r="T418" s="2" t="inlineStr">
        <is>
          <t>ENVIRONMENTAL SCIENCES; PUBLIC, ENVIRONMENTAL &amp; OCCUPATIONAL HEALTH</t>
        </is>
      </c>
      <c r="U418" s="2" t="inlineStr">
        <is>
          <t>ENVIRONMENTAL SCIENCES: Q1; PUBLIC, ENVIRONMENTAL &amp; OCCUPATIONAL HEALTH: Q1</t>
        </is>
      </c>
      <c r="V418" s="4" t="inlineStr">
        <is>
          <t>是</t>
        </is>
      </c>
      <c r="W418" s="4" t="inlineStr">
        <is>
          <t>是</t>
        </is>
      </c>
      <c r="X418" s="2" t="inlineStr">
        <is>
          <t>是</t>
        </is>
      </c>
      <c r="Y418" s="2" t="inlineStr">
        <is>
          <t>https://topj.lib.whu.edu.cn/show.asp?cat=esi&amp;id=3602</t>
        </is>
      </c>
      <c r="Z418" s="2" t="inlineStr">
        <is>
          <t>https://api.crossref.org/works/10.1016/j.envres.2021.111313</t>
        </is>
      </c>
      <c r="AA41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18" s="2" t="inlineStr">
        <is>
          <t>original_files/R13834/fulltext/fulltext__published__4304325a9f74359b.pdf</t>
        </is>
      </c>
      <c r="AC418" s="2" t="inlineStr">
        <is>
          <t>original_files/R13834/supplementary/supplementary__d29034513104ea94.docx</t>
        </is>
      </c>
      <c r="AD418" s="2" t="inlineStr">
        <is>
          <t>https://github.com/Colliam-Vermilion/FirstCodex/blob/results/ad-oxygen-literature-20261006/results/ad-oxygen-literature-20261006/original_files/R13834/fulltext/fulltext__published__4304325a9f74359b.pdf</t>
        </is>
      </c>
    </row>
    <row r="419" ht="48" customHeight="1">
      <c r="A419" s="3" t="inlineStr">
        <is>
          <t>R13835</t>
        </is>
      </c>
      <c r="B419" s="3" t="inlineStr">
        <is>
          <t>Microaerobic Desulfurization in the Semi-Dry Fermentation of Cow Manure</t>
        </is>
      </c>
      <c r="C419" s="3" t="inlineStr">
        <is>
          <t>2019</t>
        </is>
      </c>
      <c r="D419" s="3" t="inlineStr">
        <is>
          <t>2019</t>
        </is>
      </c>
      <c r="E419" s="3" t="inlineStr">
        <is>
          <t>10.1166/jbmb.2019.1826</t>
        </is>
      </c>
      <c r="F419" s="3" t="inlineStr">
        <is>
          <t>期刊文章</t>
        </is>
      </c>
      <c r="G419" s="3" t="inlineStr">
        <is>
          <t>1 直接向 AD 反应器或内部循环系统供氧</t>
        </is>
      </c>
      <c r="H419" s="3" t="inlineStr">
        <is>
          <t>是</t>
        </is>
      </c>
      <c r="I419" s="3" t="inlineStr">
        <is>
          <t>研究类</t>
        </is>
      </c>
      <c r="J419" s="3" t="inlineStr">
        <is>
          <t>是</t>
        </is>
      </c>
      <c r="K419" s="3" t="inlineStr">
        <is>
          <t>Journal of Biobased Materials and Bioenergy</t>
        </is>
      </c>
      <c r="L419" s="3" t="inlineStr">
        <is>
          <t>Journal of Biobased Materials and Bioenergy</t>
        </is>
      </c>
      <c r="M419" s="3" t="inlineStr">
        <is>
          <t>1556-6560</t>
        </is>
      </c>
      <c r="N419" s="3" t="inlineStr"/>
      <c r="O419" s="3" t="inlineStr">
        <is>
          <t>未取得全文</t>
        </is>
      </c>
      <c r="P419" s="3" t="inlineStr">
        <is>
          <t>否</t>
        </is>
      </c>
      <c r="Q419" s="3" t="inlineStr">
        <is>
          <t>当前无补充材料原件；沿用既有缺失/无附件证据，不据此认定无附件</t>
        </is>
      </c>
      <c r="R419" s="3" t="n">
        <v>2024</v>
      </c>
      <c r="S419" s="3" t="inlineStr">
        <is>
          <t>2025发布版（2024指标年）</t>
        </is>
      </c>
      <c r="T419" s="3" t="inlineStr"/>
      <c r="U419" s="3" t="inlineStr"/>
      <c r="V419" s="3" t="inlineStr">
        <is>
          <t>待核实</t>
        </is>
      </c>
      <c r="W419" s="3" t="inlineStr">
        <is>
          <t>待核实</t>
        </is>
      </c>
      <c r="X419" s="3" t="inlineStr">
        <is>
          <t>否</t>
        </is>
      </c>
      <c r="Y419" s="3" t="inlineStr"/>
      <c r="Z419" s="3" t="inlineStr">
        <is>
          <t>https://api.crossref.org/works/10.1166/jbmb.2019.1826</t>
        </is>
      </c>
      <c r="AA419" s="3" t="inlineStr">
        <is>
          <t>2024指标年JCR分区未核实；空白不能当非Q1。需要2025发布版/2024指标年的JCR全部学科导出。</t>
        </is>
      </c>
      <c r="AB419" s="3" t="inlineStr"/>
      <c r="AC419" s="3" t="inlineStr"/>
      <c r="AD419" s="3" t="inlineStr"/>
    </row>
    <row r="420" ht="48" customHeight="1">
      <c r="A420" s="2" t="inlineStr">
        <is>
          <t>R13836</t>
        </is>
      </c>
      <c r="B420" s="2" t="inlineStr">
        <is>
          <t>Enhancement of surfactant biodegradation with an anaerobic membrane bioreactor by introducing microaeration.</t>
        </is>
      </c>
      <c r="C420" s="2" t="inlineStr">
        <is>
          <t>2018</t>
        </is>
      </c>
      <c r="D420" s="2" t="inlineStr">
        <is>
          <t>2018</t>
        </is>
      </c>
      <c r="E420" s="2" t="inlineStr">
        <is>
          <t>10.1016/j.chemosphere.2018.06.001</t>
        </is>
      </c>
      <c r="F420" s="2" t="inlineStr">
        <is>
          <t>期刊文章</t>
        </is>
      </c>
      <c r="G420" s="2" t="inlineStr">
        <is>
          <t>2 向厌氧水解或产酸阶段供氧</t>
        </is>
      </c>
      <c r="H420" s="2" t="inlineStr">
        <is>
          <t>是</t>
        </is>
      </c>
      <c r="I420" s="2" t="inlineStr">
        <is>
          <t>研究类</t>
        </is>
      </c>
      <c r="J420" s="2" t="inlineStr">
        <is>
          <t>是</t>
        </is>
      </c>
      <c r="K420" s="2" t="inlineStr">
        <is>
          <t>Chemosphere</t>
        </is>
      </c>
      <c r="L420" s="2" t="inlineStr">
        <is>
          <t>Chemosphere</t>
        </is>
      </c>
      <c r="M420" s="2" t="inlineStr">
        <is>
          <t>0045-6535</t>
        </is>
      </c>
      <c r="N420" s="2" t="inlineStr"/>
      <c r="O420" s="2" t="inlineStr">
        <is>
          <t>已取得核验全文</t>
        </is>
      </c>
      <c r="P420" s="2" t="inlineStr">
        <is>
          <t>是</t>
        </is>
      </c>
      <c r="Q420" s="2" t="inlineStr">
        <is>
          <t>已取得1件原格式补充材料；其中0件唯一关联待核实；完整性未确认</t>
        </is>
      </c>
      <c r="R420" s="2" t="n">
        <v>2024</v>
      </c>
      <c r="S420" s="2" t="inlineStr">
        <is>
          <t>2025发布版（2024指标年）</t>
        </is>
      </c>
      <c r="T420" s="2" t="inlineStr"/>
      <c r="U420" s="2" t="inlineStr"/>
      <c r="V420" s="2" t="inlineStr">
        <is>
          <t>待核实</t>
        </is>
      </c>
      <c r="W420" s="2" t="inlineStr">
        <is>
          <t>待核实</t>
        </is>
      </c>
      <c r="X420" s="2" t="inlineStr">
        <is>
          <t>否</t>
        </is>
      </c>
      <c r="Y420" s="2" t="inlineStr"/>
      <c r="Z420" s="2" t="inlineStr">
        <is>
          <t>https://api.crossref.org/works/10.1016/j.chemosphere.2018.06.001</t>
        </is>
      </c>
      <c r="AA420" s="2" t="inlineStr">
        <is>
          <t>2024指标年JCR分区未核实；空白不能当非Q1。需要2025发布版/2024指标年的JCR全部学科导出。</t>
        </is>
      </c>
      <c r="AB420" s="2" t="inlineStr">
        <is>
          <t>original_files/R13836/fulltext/fulltext__published__e7c89129ec7164ac.pdf</t>
        </is>
      </c>
      <c r="AC420" s="2" t="inlineStr">
        <is>
          <t>original_files/R13836/supplementary/supplementary__b031085267d119a3.docx</t>
        </is>
      </c>
      <c r="AD420" s="2" t="inlineStr">
        <is>
          <t>https://github.com/Colliam-Vermilion/FirstCodex/blob/results/ad-oxygen-literature-20261006/results/ad-oxygen-literature-20261006/original_files/R13836/fulltext/fulltext__published__e7c89129ec7164ac.pdf</t>
        </is>
      </c>
    </row>
    <row r="421" ht="48" customHeight="1">
      <c r="A421" s="3" t="inlineStr">
        <is>
          <t>R13837</t>
        </is>
      </c>
      <c r="B421" s="3" t="inlineStr">
        <is>
          <t>Redox mediator, microaeration, and nitrate addition as engineering approaches to enhance the biotransformation of antibiotics in anaerobic reactors.</t>
        </is>
      </c>
      <c r="C421" s="3" t="inlineStr">
        <is>
          <t>2021</t>
        </is>
      </c>
      <c r="D421" s="3" t="inlineStr">
        <is>
          <t>2021</t>
        </is>
      </c>
      <c r="E421" s="3" t="inlineStr">
        <is>
          <t>10.1016/j.jhazmat.2020.123932</t>
        </is>
      </c>
      <c r="F421" s="3" t="inlineStr">
        <is>
          <t>期刊文章</t>
        </is>
      </c>
      <c r="G421" s="3" t="inlineStr">
        <is>
          <t>1 直接向 AD 反应器或内部循环系统供氧</t>
        </is>
      </c>
      <c r="H421" s="3" t="inlineStr">
        <is>
          <t>是</t>
        </is>
      </c>
      <c r="I421" s="3" t="inlineStr">
        <is>
          <t>研究类</t>
        </is>
      </c>
      <c r="J421" s="3" t="inlineStr">
        <is>
          <t>是</t>
        </is>
      </c>
      <c r="K421" s="3" t="inlineStr">
        <is>
          <t>JOURNAL OF HAZARDOUS MATERIALS</t>
        </is>
      </c>
      <c r="L421" s="3" t="inlineStr">
        <is>
          <t>Journal of hazardous materials</t>
        </is>
      </c>
      <c r="M421" s="3" t="inlineStr">
        <is>
          <t>0304-3894</t>
        </is>
      </c>
      <c r="N421" s="3" t="inlineStr"/>
      <c r="O421" s="3" t="inlineStr">
        <is>
          <t>已取得核验全文</t>
        </is>
      </c>
      <c r="P421" s="3" t="inlineStr">
        <is>
          <t>是</t>
        </is>
      </c>
      <c r="Q421" s="3" t="inlineStr">
        <is>
          <t>当前无补充材料原件；沿用既有缺失/无附件证据，不据此认定无附件</t>
        </is>
      </c>
      <c r="R421" s="3" t="n">
        <v>2024</v>
      </c>
      <c r="S421" s="3" t="inlineStr">
        <is>
          <t>2025发布版（2024指标年）</t>
        </is>
      </c>
      <c r="T421" s="3" t="inlineStr">
        <is>
          <t>ENGINEERING, ENVIRONMENTAL; ENVIRONMENTAL SCIENCES</t>
        </is>
      </c>
      <c r="U421" s="3" t="inlineStr">
        <is>
          <t>ENGINEERING, ENVIRONMENTAL: Q1; ENVIRONMENTAL SCIENCES: Q1</t>
        </is>
      </c>
      <c r="V421" s="4" t="inlineStr">
        <is>
          <t>是</t>
        </is>
      </c>
      <c r="W421" s="4" t="inlineStr">
        <is>
          <t>是</t>
        </is>
      </c>
      <c r="X421" s="3" t="inlineStr">
        <is>
          <t>是</t>
        </is>
      </c>
      <c r="Y421" s="3" t="inlineStr">
        <is>
          <t>https://topj.lib.whu.edu.cn/show.asp?cat=sci&amp;id=6955</t>
        </is>
      </c>
      <c r="Z421" s="3" t="inlineStr">
        <is>
          <t>https://api.crossref.org/works/10.1016/j.jhazmat.2020.123932</t>
        </is>
      </c>
      <c r="AA42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21" s="3" t="inlineStr">
        <is>
          <t>original_files/R13837/fulltext/fulltext__published__81f9a1dcf3b5bebe.pdf</t>
        </is>
      </c>
      <c r="AC421" s="3" t="inlineStr"/>
      <c r="AD421" s="3" t="inlineStr">
        <is>
          <t>https://github.com/Colliam-Vermilion/FirstCodex/blob/results/ad-oxygen-literature-20261006/results/ad-oxygen-literature-20261006/original_files/R13837/fulltext/fulltext__published__81f9a1dcf3b5bebe.pdf</t>
        </is>
      </c>
    </row>
    <row r="422" ht="48" customHeight="1">
      <c r="A422" s="2" t="inlineStr">
        <is>
          <t>R13838</t>
        </is>
      </c>
      <c r="B422" s="2" t="inlineStr">
        <is>
          <t>Oxygen tolerance capacity of upflow anaerobic solid-state (UASS) with anaerobic filter (AF) system</t>
        </is>
      </c>
      <c r="C422" s="2" t="inlineStr">
        <is>
          <t>2016</t>
        </is>
      </c>
      <c r="D422" s="2" t="inlineStr">
        <is>
          <t>2016</t>
        </is>
      </c>
      <c r="E422" s="2" t="inlineStr">
        <is>
          <t>10.1016/j.jes.2016.01.009</t>
        </is>
      </c>
      <c r="F422" s="2" t="inlineStr">
        <is>
          <t>期刊文章</t>
        </is>
      </c>
      <c r="G422" s="2" t="inlineStr">
        <is>
          <t>1 直接向 AD 反应器或内部循环系统供氧</t>
        </is>
      </c>
      <c r="H422" s="2" t="inlineStr">
        <is>
          <t>是</t>
        </is>
      </c>
      <c r="I422" s="2" t="inlineStr">
        <is>
          <t>研究类</t>
        </is>
      </c>
      <c r="J422" s="2" t="inlineStr">
        <is>
          <t>是</t>
        </is>
      </c>
      <c r="K422" s="2" t="inlineStr">
        <is>
          <t>Journal of Environmental Sciences</t>
        </is>
      </c>
      <c r="L422" s="2" t="inlineStr">
        <is>
          <t>Journal of Environmental Sciences</t>
        </is>
      </c>
      <c r="M422" s="2" t="inlineStr">
        <is>
          <t>1001-0742</t>
        </is>
      </c>
      <c r="N422" s="2" t="inlineStr"/>
      <c r="O422" s="2" t="inlineStr">
        <is>
          <t>已取得核验全文</t>
        </is>
      </c>
      <c r="P422" s="2" t="inlineStr">
        <is>
          <t>是</t>
        </is>
      </c>
      <c r="Q422" s="2" t="inlineStr">
        <is>
          <t>当前无补充材料原件；沿用既有缺失/无附件证据，不据此认定无附件</t>
        </is>
      </c>
      <c r="R422" s="2" t="n">
        <v>2024</v>
      </c>
      <c r="S422" s="2" t="inlineStr">
        <is>
          <t>2025发布版（2024指标年）</t>
        </is>
      </c>
      <c r="T422" s="2" t="inlineStr"/>
      <c r="U422" s="2" t="inlineStr"/>
      <c r="V422" s="2" t="inlineStr">
        <is>
          <t>待核实</t>
        </is>
      </c>
      <c r="W422" s="2" t="inlineStr">
        <is>
          <t>待核实</t>
        </is>
      </c>
      <c r="X422" s="2" t="inlineStr">
        <is>
          <t>否</t>
        </is>
      </c>
      <c r="Y422" s="2" t="inlineStr"/>
      <c r="Z422" s="2" t="inlineStr">
        <is>
          <t>https://api.crossref.org/works/10.1016/j.jes.2016.01.009</t>
        </is>
      </c>
      <c r="AA422" s="2" t="inlineStr">
        <is>
          <t>2024指标年JCR分区未核实；空白不能当非Q1。需要2025发布版/2024指标年的JCR全部学科导出。</t>
        </is>
      </c>
      <c r="AB422" s="2" t="inlineStr">
        <is>
          <t>original_files/R13838/fulltext/fulltext__published__118b6f5b48a3b653.pdf</t>
        </is>
      </c>
      <c r="AC422" s="2" t="inlineStr"/>
      <c r="AD422" s="2" t="inlineStr">
        <is>
          <t>https://github.com/Colliam-Vermilion/FirstCodex/blob/results/ad-oxygen-literature-20261006/results/ad-oxygen-literature-20261006/original_files/R13838/fulltext/fulltext__published__118b6f5b48a3b653.pdf</t>
        </is>
      </c>
    </row>
    <row r="423" ht="48" customHeight="1">
      <c r="A423" s="3" t="inlineStr">
        <is>
          <t>R13839</t>
        </is>
      </c>
      <c r="B423" s="3" t="inlineStr">
        <is>
          <t>Removal of Hydrogen Sulfide in Septic Tanks for Treating Black Water via an Immobilized Media of Sulfur-Oxidizing Bacteria</t>
        </is>
      </c>
      <c r="C423" s="3" t="inlineStr">
        <is>
          <t>2020</t>
        </is>
      </c>
      <c r="D423" s="3" t="inlineStr">
        <is>
          <t>2020</t>
        </is>
      </c>
      <c r="E423" s="3" t="inlineStr">
        <is>
          <t>10.3390/ijerph17030684</t>
        </is>
      </c>
      <c r="F423" s="3" t="inlineStr">
        <is>
          <t>期刊文章</t>
        </is>
      </c>
      <c r="G423" s="3" t="inlineStr">
        <is>
          <t>5 排除</t>
        </is>
      </c>
      <c r="H423" s="3" t="inlineStr">
        <is>
          <t>否</t>
        </is>
      </c>
      <c r="I423" s="3" t="inlineStr">
        <is>
          <t>研究类</t>
        </is>
      </c>
      <c r="J423" s="3" t="inlineStr">
        <is>
          <t>否</t>
        </is>
      </c>
      <c r="K423" s="3" t="inlineStr">
        <is>
          <t>International Journal of Environmental Research and Public Health</t>
        </is>
      </c>
      <c r="L423" s="3" t="inlineStr">
        <is>
          <t>International Journal of Environmental Research and Public Health</t>
        </is>
      </c>
      <c r="M423" s="3" t="inlineStr"/>
      <c r="N423" s="3" t="inlineStr">
        <is>
          <t>1660-4601</t>
        </is>
      </c>
      <c r="O423" s="3" t="inlineStr">
        <is>
          <t>未取得全文</t>
        </is>
      </c>
      <c r="P423" s="3" t="inlineStr">
        <is>
          <t>否</t>
        </is>
      </c>
      <c r="Q423" s="3" t="inlineStr">
        <is>
          <t>当前无补充材料原件；沿用既有缺失/无附件证据，不据此认定无附件</t>
        </is>
      </c>
      <c r="R423" s="3" t="n">
        <v>2024</v>
      </c>
      <c r="S423" s="3" t="inlineStr">
        <is>
          <t>2025发布版（2024指标年）</t>
        </is>
      </c>
      <c r="T423" s="3" t="inlineStr"/>
      <c r="U423" s="3" t="inlineStr"/>
      <c r="V423" s="3" t="inlineStr">
        <is>
          <t>待核实</t>
        </is>
      </c>
      <c r="W423" s="3" t="inlineStr">
        <is>
          <t>待核实</t>
        </is>
      </c>
      <c r="X423" s="3" t="inlineStr">
        <is>
          <t>否</t>
        </is>
      </c>
      <c r="Y423" s="3" t="inlineStr"/>
      <c r="Z423" s="3" t="inlineStr">
        <is>
          <t>https://api.crossref.org/works/10.3390/ijerph17030684</t>
        </is>
      </c>
      <c r="AA423" s="3" t="inlineStr">
        <is>
          <t>2024指标年JCR分区未核实；空白不能当非Q1。需要2025发布版/2024指标年的JCR全部学科导出。</t>
        </is>
      </c>
      <c r="AB423" s="3" t="inlineStr"/>
      <c r="AC423" s="3" t="inlineStr"/>
      <c r="AD423" s="3" t="inlineStr"/>
    </row>
    <row r="424" ht="48" customHeight="1">
      <c r="A424" s="2" t="inlineStr">
        <is>
          <t>R13840</t>
        </is>
      </c>
      <c r="B424" s="2" t="inlineStr">
        <is>
          <t>Coupling of membrane-based bubbleless micro-aeration for 2,4-dinitrophenol degradation in a hydrolysis acidification reactor.</t>
        </is>
      </c>
      <c r="C424" s="2" t="inlineStr">
        <is>
          <t>2022</t>
        </is>
      </c>
      <c r="D424" s="2" t="inlineStr">
        <is>
          <t>2022</t>
        </is>
      </c>
      <c r="E424" s="2" t="inlineStr">
        <is>
          <t>10.1016/j.watres.2022.118119</t>
        </is>
      </c>
      <c r="F424" s="2" t="inlineStr">
        <is>
          <t>期刊文章</t>
        </is>
      </c>
      <c r="G424" s="2" t="inlineStr">
        <is>
          <t>2 向厌氧水解或产酸阶段供氧</t>
        </is>
      </c>
      <c r="H424" s="2" t="inlineStr">
        <is>
          <t>是</t>
        </is>
      </c>
      <c r="I424" s="2" t="inlineStr">
        <is>
          <t>研究类</t>
        </is>
      </c>
      <c r="J424" s="2" t="inlineStr">
        <is>
          <t>是</t>
        </is>
      </c>
      <c r="K424" s="2" t="inlineStr">
        <is>
          <t>WATER RESEARCH</t>
        </is>
      </c>
      <c r="L424" s="2" t="inlineStr">
        <is>
          <t>Water research</t>
        </is>
      </c>
      <c r="M424" s="2" t="inlineStr">
        <is>
          <t>0043-1354</t>
        </is>
      </c>
      <c r="N424" s="2" t="inlineStr"/>
      <c r="O424" s="2" t="inlineStr">
        <is>
          <t>已取得核验全文</t>
        </is>
      </c>
      <c r="P424" s="2" t="inlineStr">
        <is>
          <t>是</t>
        </is>
      </c>
      <c r="Q424" s="2" t="inlineStr">
        <is>
          <t>已取得2件原格式补充材料；其中1件唯一关联待核实；完整性未确认</t>
        </is>
      </c>
      <c r="R424" s="2" t="n">
        <v>2024</v>
      </c>
      <c r="S424" s="2" t="inlineStr">
        <is>
          <t>2025发布版（2024指标年）</t>
        </is>
      </c>
      <c r="T424" s="2" t="inlineStr">
        <is>
          <t>WATER RESOURCES; ENGINEERING, ENVIRONMENTAL; ENVIRONMENTAL SCIENCES</t>
        </is>
      </c>
      <c r="U424" s="2" t="inlineStr">
        <is>
          <t>WATER RESOURCES: Q1; ENGINEERING, ENVIRONMENTAL: Q1; ENVIRONMENTAL SCIENCES: Q1</t>
        </is>
      </c>
      <c r="V424" s="4" t="inlineStr">
        <is>
          <t>是</t>
        </is>
      </c>
      <c r="W424" s="4" t="inlineStr">
        <is>
          <t>是</t>
        </is>
      </c>
      <c r="X424" s="2" t="inlineStr">
        <is>
          <t>是</t>
        </is>
      </c>
      <c r="Y424" s="2" t="inlineStr">
        <is>
          <t>https://topj.lib.whu.edu.cn/show.asp?cat=zk&amp;id=3962</t>
        </is>
      </c>
      <c r="Z424" s="2" t="inlineStr">
        <is>
          <t>https://api.crossref.org/works/10.1016/j.watres.2022.118119</t>
        </is>
      </c>
      <c r="AA42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24" s="2" t="inlineStr">
        <is>
          <t>original_files/R13840/fulltext/fulltext__published__0111eb19c653b66d.pdf</t>
        </is>
      </c>
      <c r="AC424" s="2" t="inlineStr">
        <is>
          <t>original_files/R13840/supplementary/supplementary__7e3fd186dd704369.docx; original_files/R13840/supplementary/supplementary__ca2efc324366d4c5.xlsx</t>
        </is>
      </c>
      <c r="AD424" s="2" t="inlineStr">
        <is>
          <t>https://github.com/Colliam-Vermilion/FirstCodex/blob/results/ad-oxygen-literature-20261006/results/ad-oxygen-literature-20261006/original_files/R13840/fulltext/fulltext__published__0111eb19c653b66d.pdf</t>
        </is>
      </c>
    </row>
    <row r="425" ht="48" customHeight="1">
      <c r="A425" s="3" t="inlineStr">
        <is>
          <t>R13841</t>
        </is>
      </c>
      <c r="B425" s="3" t="inlineStr">
        <is>
          <t>Anaerobic Co-digestion Mill Wastewater—Activated Sludge Effect of Aerobic Pretreatment on the Performance of OMW Anaerobic Digestion</t>
        </is>
      </c>
      <c r="C425" s="3" t="inlineStr">
        <is>
          <t>2020</t>
        </is>
      </c>
      <c r="D425" s="3" t="inlineStr">
        <is>
          <t>2020</t>
        </is>
      </c>
      <c r="E425" s="3" t="inlineStr">
        <is>
          <t>10.1007/s12649-019-00785-9</t>
        </is>
      </c>
      <c r="F425" s="3" t="inlineStr">
        <is>
          <t>期刊文章</t>
        </is>
      </c>
      <c r="G425" s="3" t="inlineStr">
        <is>
          <t>3 独立好氧或微好氧预处理</t>
        </is>
      </c>
      <c r="H425" s="3" t="inlineStr">
        <is>
          <t>是</t>
        </is>
      </c>
      <c r="I425" s="3" t="inlineStr">
        <is>
          <t>研究类</t>
        </is>
      </c>
      <c r="J425" s="3" t="inlineStr">
        <is>
          <t>是</t>
        </is>
      </c>
      <c r="K425" s="3" t="inlineStr">
        <is>
          <t>Waste and Biomass Valorization</t>
        </is>
      </c>
      <c r="L425" s="3" t="inlineStr">
        <is>
          <t>Waste and Biomass Valorization</t>
        </is>
      </c>
      <c r="M425" s="3" t="inlineStr">
        <is>
          <t>1877-2641</t>
        </is>
      </c>
      <c r="N425" s="3" t="inlineStr">
        <is>
          <t>1877-265X</t>
        </is>
      </c>
      <c r="O425" s="3" t="inlineStr">
        <is>
          <t>已取得核验全文</t>
        </is>
      </c>
      <c r="P425" s="3" t="inlineStr">
        <is>
          <t>是</t>
        </is>
      </c>
      <c r="Q425" s="3" t="inlineStr">
        <is>
          <t>当前无补充材料原件；沿用既有缺失/无附件证据，不据此认定无附件</t>
        </is>
      </c>
      <c r="R425" s="3" t="n">
        <v>2024</v>
      </c>
      <c r="S425" s="3" t="inlineStr">
        <is>
          <t>2025发布版（2024指标年）</t>
        </is>
      </c>
      <c r="T425" s="3" t="inlineStr">
        <is>
          <t>ENVIRONMENTAL SCIENCES</t>
        </is>
      </c>
      <c r="U425" s="3" t="inlineStr">
        <is>
          <t>ENVIRONMENTAL SCIENCES: Q3</t>
        </is>
      </c>
      <c r="V425" s="3" t="inlineStr">
        <is>
          <t>否</t>
        </is>
      </c>
      <c r="W425" s="3" t="inlineStr">
        <is>
          <t>否</t>
        </is>
      </c>
      <c r="X425" s="3" t="inlineStr">
        <is>
          <t>是</t>
        </is>
      </c>
      <c r="Y425" s="3" t="inlineStr">
        <is>
          <t>https://topj.lib.whu.edu.cn/show.asp?cat=zk&amp;id=4277</t>
        </is>
      </c>
      <c r="Z425" s="3" t="inlineStr">
        <is>
          <t>https://api.crossref.org/works/10.1007/s12649-019-00785-9</t>
        </is>
      </c>
      <c r="AA42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25" s="3" t="inlineStr">
        <is>
          <t>original_files/R13841/fulltext/fulltext__published__722b98d189c9ed13.pdf</t>
        </is>
      </c>
      <c r="AC425" s="3" t="inlineStr"/>
      <c r="AD425" s="3" t="inlineStr">
        <is>
          <t>https://github.com/Colliam-Vermilion/FirstCodex/blob/results/ad-oxygen-literature-20261006/results/ad-oxygen-literature-20261006/original_files/R13841/fulltext/fulltext__published__722b98d189c9ed13.pdf</t>
        </is>
      </c>
    </row>
    <row r="426" ht="48" customHeight="1">
      <c r="A426" s="2" t="inlineStr">
        <is>
          <t>R13842</t>
        </is>
      </c>
      <c r="B426" s="2" t="inlineStr">
        <is>
          <t>Promoting the production of methane on the co-digestion of food waste and sewage sludge by aerobic pre-treatment</t>
        </is>
      </c>
      <c r="C426" s="2" t="inlineStr">
        <is>
          <t>2021</t>
        </is>
      </c>
      <c r="D426" s="2" t="inlineStr">
        <is>
          <t>2021</t>
        </is>
      </c>
      <c r="E426" s="2" t="inlineStr">
        <is>
          <t>10.1016/j.fuel.2021.120197</t>
        </is>
      </c>
      <c r="F426" s="2" t="inlineStr">
        <is>
          <t>期刊文章</t>
        </is>
      </c>
      <c r="G426" s="2" t="inlineStr">
        <is>
          <t>3 独立好氧或微好氧预处理</t>
        </is>
      </c>
      <c r="H426" s="2" t="inlineStr">
        <is>
          <t>是</t>
        </is>
      </c>
      <c r="I426" s="2" t="inlineStr">
        <is>
          <t>研究类</t>
        </is>
      </c>
      <c r="J426" s="2" t="inlineStr">
        <is>
          <t>是</t>
        </is>
      </c>
      <c r="K426" s="2" t="inlineStr">
        <is>
          <t>Fuel</t>
        </is>
      </c>
      <c r="L426" s="2" t="inlineStr">
        <is>
          <t>Fuel</t>
        </is>
      </c>
      <c r="M426" s="2" t="inlineStr">
        <is>
          <t>0016-2361</t>
        </is>
      </c>
      <c r="N426" s="2" t="inlineStr"/>
      <c r="O426" s="2" t="inlineStr">
        <is>
          <t>已取得核验全文</t>
        </is>
      </c>
      <c r="P426" s="2" t="inlineStr">
        <is>
          <t>是</t>
        </is>
      </c>
      <c r="Q426" s="2" t="inlineStr">
        <is>
          <t>当前无补充材料原件；沿用既有缺失/无附件证据，不据此认定无附件</t>
        </is>
      </c>
      <c r="R426" s="2" t="n">
        <v>2024</v>
      </c>
      <c r="S426" s="2" t="inlineStr">
        <is>
          <t>2025发布版（2024指标年）</t>
        </is>
      </c>
      <c r="T426" s="2" t="inlineStr">
        <is>
          <t>ENERGY &amp; FUELS; ENGINEERING, CHEMICAL</t>
        </is>
      </c>
      <c r="U426" s="2" t="inlineStr">
        <is>
          <t>ENERGY &amp; FUELS: Q1; ENGINEERING, CHEMICAL: Q1</t>
        </is>
      </c>
      <c r="V426" s="4" t="inlineStr">
        <is>
          <t>是</t>
        </is>
      </c>
      <c r="W426" s="4" t="inlineStr">
        <is>
          <t>是</t>
        </is>
      </c>
      <c r="X426" s="2" t="inlineStr">
        <is>
          <t>是</t>
        </is>
      </c>
      <c r="Y426" s="2" t="inlineStr">
        <is>
          <t>https://topj.lib.whu.edu.cn/show.asp?cat=sci&amp;id=5597</t>
        </is>
      </c>
      <c r="Z426" s="2" t="inlineStr">
        <is>
          <t>https://api.crossref.org/works/10.1016/j.fuel.2021.120197</t>
        </is>
      </c>
      <c r="AA42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26" s="2" t="inlineStr">
        <is>
          <t>original_files/R13842/fulltext/fulltext__published__3f72b2baa7c8e3ef.pdf</t>
        </is>
      </c>
      <c r="AC426" s="2" t="inlineStr"/>
      <c r="AD426" s="2" t="inlineStr">
        <is>
          <t>https://github.com/Colliam-Vermilion/FirstCodex/blob/results/ad-oxygen-literature-20261006/results/ad-oxygen-literature-20261006/original_files/R13842/fulltext/fulltext__published__3f72b2baa7c8e3ef.pdf</t>
        </is>
      </c>
    </row>
    <row r="427" ht="48" customHeight="1">
      <c r="A427" s="3" t="inlineStr">
        <is>
          <t>R13843</t>
        </is>
      </c>
      <c r="B427" s="3" t="inlineStr">
        <is>
          <t>Performance of Coupling an Aerobic Pre-treatment Prior to a Solid-State Anaerobic Digestion of Food Waste</t>
        </is>
      </c>
      <c r="C427" s="3" t="inlineStr">
        <is>
          <t>2020</t>
        </is>
      </c>
      <c r="D427" s="3" t="inlineStr">
        <is>
          <t>2020</t>
        </is>
      </c>
      <c r="E427" s="3" t="inlineStr">
        <is>
          <t>10.1007/s12649-019-00630-z</t>
        </is>
      </c>
      <c r="F427" s="3" t="inlineStr">
        <is>
          <t>期刊文章</t>
        </is>
      </c>
      <c r="G427" s="3" t="inlineStr">
        <is>
          <t>3 独立好氧或微好氧预处理</t>
        </is>
      </c>
      <c r="H427" s="3" t="inlineStr">
        <is>
          <t>是</t>
        </is>
      </c>
      <c r="I427" s="3" t="inlineStr">
        <is>
          <t>研究类</t>
        </is>
      </c>
      <c r="J427" s="3" t="inlineStr">
        <is>
          <t>是</t>
        </is>
      </c>
      <c r="K427" s="3" t="inlineStr">
        <is>
          <t>Waste and Biomass Valorization</t>
        </is>
      </c>
      <c r="L427" s="3" t="inlineStr">
        <is>
          <t>Waste and Biomass Valorization</t>
        </is>
      </c>
      <c r="M427" s="3" t="inlineStr">
        <is>
          <t>1877-2641</t>
        </is>
      </c>
      <c r="N427" s="3" t="inlineStr">
        <is>
          <t>1877-265X</t>
        </is>
      </c>
      <c r="O427" s="3" t="inlineStr">
        <is>
          <t>已取得核验全文</t>
        </is>
      </c>
      <c r="P427" s="3" t="inlineStr">
        <is>
          <t>是</t>
        </is>
      </c>
      <c r="Q427" s="3" t="inlineStr">
        <is>
          <t>当前无补充材料原件；沿用既有缺失/无附件证据，不据此认定无附件</t>
        </is>
      </c>
      <c r="R427" s="3" t="n">
        <v>2024</v>
      </c>
      <c r="S427" s="3" t="inlineStr">
        <is>
          <t>2025发布版（2024指标年）</t>
        </is>
      </c>
      <c r="T427" s="3" t="inlineStr">
        <is>
          <t>ENVIRONMENTAL SCIENCES</t>
        </is>
      </c>
      <c r="U427" s="3" t="inlineStr">
        <is>
          <t>ENVIRONMENTAL SCIENCES: Q3</t>
        </is>
      </c>
      <c r="V427" s="3" t="inlineStr">
        <is>
          <t>否</t>
        </is>
      </c>
      <c r="W427" s="3" t="inlineStr">
        <is>
          <t>否</t>
        </is>
      </c>
      <c r="X427" s="3" t="inlineStr">
        <is>
          <t>是</t>
        </is>
      </c>
      <c r="Y427" s="3" t="inlineStr">
        <is>
          <t>https://topj.lib.whu.edu.cn/show.asp?cat=zk&amp;id=4277</t>
        </is>
      </c>
      <c r="Z427" s="3" t="inlineStr">
        <is>
          <t>https://api.crossref.org/works/10.1007/s12649-019-00630-z</t>
        </is>
      </c>
      <c r="AA42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27" s="3" t="inlineStr">
        <is>
          <t>original_files/R13843/fulltext/fulltext__published__b3a3e29cac8ef660.pdf</t>
        </is>
      </c>
      <c r="AC427" s="3" t="inlineStr"/>
      <c r="AD427" s="3" t="inlineStr">
        <is>
          <t>https://github.com/Colliam-Vermilion/FirstCodex/blob/results/ad-oxygen-literature-20261006/results/ad-oxygen-literature-20261006/original_files/R13843/fulltext/fulltext__published__b3a3e29cac8ef660.pdf</t>
        </is>
      </c>
    </row>
    <row r="428" ht="48" customHeight="1">
      <c r="A428" s="2" t="inlineStr">
        <is>
          <t>R13844</t>
        </is>
      </c>
      <c r="B428" s="2" t="inlineStr">
        <is>
          <t>Influence of Aerobic Pretreatment of Poultry Manure on the Biogas Production Process</t>
        </is>
      </c>
      <c r="C428" s="2" t="inlineStr">
        <is>
          <t>2020</t>
        </is>
      </c>
      <c r="D428" s="2" t="inlineStr">
        <is>
          <t>2020</t>
        </is>
      </c>
      <c r="E428" s="2" t="inlineStr">
        <is>
          <t>10.3390/pr8091109</t>
        </is>
      </c>
      <c r="F428" s="2" t="inlineStr">
        <is>
          <t>期刊文章</t>
        </is>
      </c>
      <c r="G428" s="2" t="inlineStr">
        <is>
          <t>3 独立好氧或微好氧预处理</t>
        </is>
      </c>
      <c r="H428" s="2" t="inlineStr">
        <is>
          <t>是</t>
        </is>
      </c>
      <c r="I428" s="2" t="inlineStr">
        <is>
          <t>研究类</t>
        </is>
      </c>
      <c r="J428" s="2" t="inlineStr">
        <is>
          <t>是</t>
        </is>
      </c>
      <c r="K428" s="2" t="inlineStr">
        <is>
          <t>Processes</t>
        </is>
      </c>
      <c r="L428" s="2" t="inlineStr">
        <is>
          <t>Processes</t>
        </is>
      </c>
      <c r="M428" s="2" t="inlineStr"/>
      <c r="N428" s="2" t="inlineStr">
        <is>
          <t>2227-9717</t>
        </is>
      </c>
      <c r="O428" s="2" t="inlineStr">
        <is>
          <t>已取得核验全文</t>
        </is>
      </c>
      <c r="P428" s="2" t="inlineStr">
        <is>
          <t>是</t>
        </is>
      </c>
      <c r="Q428" s="2" t="inlineStr">
        <is>
          <t>当前无补充材料原件；沿用既有缺失/无附件证据，不据此认定无附件</t>
        </is>
      </c>
      <c r="R428" s="2" t="n">
        <v>2024</v>
      </c>
      <c r="S428" s="2" t="inlineStr">
        <is>
          <t>2025发布版（2024指标年）</t>
        </is>
      </c>
      <c r="T428" s="2" t="inlineStr"/>
      <c r="U428" s="2" t="inlineStr"/>
      <c r="V428" s="2" t="inlineStr">
        <is>
          <t>待核实</t>
        </is>
      </c>
      <c r="W428" s="2" t="inlineStr">
        <is>
          <t>待核实</t>
        </is>
      </c>
      <c r="X428" s="2" t="inlineStr">
        <is>
          <t>否</t>
        </is>
      </c>
      <c r="Y428" s="2" t="inlineStr"/>
      <c r="Z428" s="2" t="inlineStr">
        <is>
          <t>https://api.crossref.org/works/10.3390/pr8091109</t>
        </is>
      </c>
      <c r="AA428" s="2" t="inlineStr">
        <is>
          <t>2024指标年JCR分区未核实；空白不能当非Q1。需要2025发布版/2024指标年的JCR全部学科导出。</t>
        </is>
      </c>
      <c r="AB428" s="2" t="inlineStr">
        <is>
          <t>original_files/R13844/fulltext/fulltext__published__7b0ea11b84bfa14d.pdf</t>
        </is>
      </c>
      <c r="AC428" s="2" t="inlineStr"/>
      <c r="AD428" s="2" t="inlineStr">
        <is>
          <t>https://github.com/Colliam-Vermilion/FirstCodex/blob/results/ad-oxygen-literature-20261006/results/ad-oxygen-literature-20261006/original_files/R13844/fulltext/fulltext__published__7b0ea11b84bfa14d.pdf</t>
        </is>
      </c>
    </row>
    <row r="429" ht="48" customHeight="1">
      <c r="A429" s="3" t="inlineStr">
        <is>
          <t>R13845</t>
        </is>
      </c>
      <c r="B429" s="3" t="inlineStr">
        <is>
          <t>Performance and microbial community analysis of anaerobic sludge digestion enhanced by in-situ microaeration</t>
        </is>
      </c>
      <c r="C429" s="3" t="inlineStr">
        <is>
          <t>2021</t>
        </is>
      </c>
      <c r="D429" s="3" t="inlineStr">
        <is>
          <t>2021</t>
        </is>
      </c>
      <c r="E429" s="3" t="inlineStr">
        <is>
          <t>10.1016/j.jwpe.2021.102171</t>
        </is>
      </c>
      <c r="F429" s="3" t="inlineStr">
        <is>
          <t>期刊文章</t>
        </is>
      </c>
      <c r="G429" s="3" t="inlineStr">
        <is>
          <t>1 直接向 AD 反应器或内部循环系统供氧</t>
        </is>
      </c>
      <c r="H429" s="3" t="inlineStr">
        <is>
          <t>是</t>
        </is>
      </c>
      <c r="I429" s="3" t="inlineStr">
        <is>
          <t>研究类</t>
        </is>
      </c>
      <c r="J429" s="3" t="inlineStr">
        <is>
          <t>是</t>
        </is>
      </c>
      <c r="K429" s="3" t="inlineStr">
        <is>
          <t>Journal of Water Process Engineering</t>
        </is>
      </c>
      <c r="L429" s="3" t="inlineStr">
        <is>
          <t>Journal of Water Process Engineering</t>
        </is>
      </c>
      <c r="M429" s="3" t="inlineStr">
        <is>
          <t>2214-7144</t>
        </is>
      </c>
      <c r="N429" s="3" t="inlineStr"/>
      <c r="O429" s="3" t="inlineStr">
        <is>
          <t>已取得核验全文</t>
        </is>
      </c>
      <c r="P429" s="3" t="inlineStr">
        <is>
          <t>是</t>
        </is>
      </c>
      <c r="Q429" s="3" t="inlineStr">
        <is>
          <t>当前无补充材料原件；沿用既有缺失/无附件证据，不据此认定无附件</t>
        </is>
      </c>
      <c r="R429" s="3" t="n">
        <v>2024</v>
      </c>
      <c r="S429" s="3" t="inlineStr">
        <is>
          <t>2025发布版（2024指标年）</t>
        </is>
      </c>
      <c r="T429" s="3" t="inlineStr">
        <is>
          <t>WATER RESOURCES; ENGINEERING, CHEMICAL; ENGINEERING, ENVIRONMENTAL</t>
        </is>
      </c>
      <c r="U429" s="3" t="inlineStr">
        <is>
          <t>WATER RESOURCES: Q1; ENGINEERING, CHEMICAL: Q1; ENGINEERING, ENVIRONMENTAL: Q2</t>
        </is>
      </c>
      <c r="V429" s="4" t="inlineStr">
        <is>
          <t>是</t>
        </is>
      </c>
      <c r="W429" s="3" t="inlineStr">
        <is>
          <t>否</t>
        </is>
      </c>
      <c r="X429" s="3" t="inlineStr">
        <is>
          <t>是</t>
        </is>
      </c>
      <c r="Y429" s="3" t="inlineStr">
        <is>
          <t>https://topj.lib.whu.edu.cn/show.asp?cat=sci&amp;id=6383</t>
        </is>
      </c>
      <c r="Z429" s="3" t="inlineStr">
        <is>
          <t>https://api.crossref.org/works/10.1016/j.jwpe.2021.102171</t>
        </is>
      </c>
      <c r="AA42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29" s="3" t="inlineStr">
        <is>
          <t>original_files/R13845/fulltext/fulltext__published__2d9abe07de564e0b.pdf</t>
        </is>
      </c>
      <c r="AC429" s="3" t="inlineStr"/>
      <c r="AD429" s="3" t="inlineStr">
        <is>
          <t>https://github.com/Colliam-Vermilion/FirstCodex/blob/results/ad-oxygen-literature-20261006/results/ad-oxygen-literature-20261006/original_files/R13845/fulltext/fulltext__published__2d9abe07de564e0b.pdf</t>
        </is>
      </c>
    </row>
    <row r="430" ht="48" customHeight="1">
      <c r="A430" s="2" t="inlineStr">
        <is>
          <t>R13846</t>
        </is>
      </c>
      <c r="B430" s="2" t="inlineStr">
        <is>
          <t>Improving the methane yield of maize straw: Focus on the effects of pretreatment with fungi and their secreted enzymes combined with sodium hydroxide.</t>
        </is>
      </c>
      <c r="C430" s="2" t="inlineStr">
        <is>
          <t>2018</t>
        </is>
      </c>
      <c r="D430" s="2" t="inlineStr">
        <is>
          <t>2018</t>
        </is>
      </c>
      <c r="E430" s="2" t="inlineStr">
        <is>
          <t>10.1016/j.biortech.2017.09.160</t>
        </is>
      </c>
      <c r="F430" s="2" t="inlineStr">
        <is>
          <t>期刊文章</t>
        </is>
      </c>
      <c r="G430" s="2" t="inlineStr">
        <is>
          <t>5 排除</t>
        </is>
      </c>
      <c r="H430" s="2" t="inlineStr">
        <is>
          <t>否</t>
        </is>
      </c>
      <c r="I430" s="2" t="inlineStr">
        <is>
          <t>研究类</t>
        </is>
      </c>
      <c r="J430" s="2" t="inlineStr">
        <is>
          <t>否</t>
        </is>
      </c>
      <c r="K430" s="2" t="inlineStr">
        <is>
          <t>BIORESOURCE TECHNOLOGY</t>
        </is>
      </c>
      <c r="L430" s="2" t="inlineStr">
        <is>
          <t>Bioresource technology</t>
        </is>
      </c>
      <c r="M430" s="2" t="inlineStr">
        <is>
          <t>0960-8524</t>
        </is>
      </c>
      <c r="N430" s="2" t="inlineStr"/>
      <c r="O430" s="2" t="inlineStr">
        <is>
          <t>未取得全文</t>
        </is>
      </c>
      <c r="P430" s="2" t="inlineStr">
        <is>
          <t>否</t>
        </is>
      </c>
      <c r="Q430" s="2" t="inlineStr">
        <is>
          <t>当前无补充材料原件；沿用既有缺失/无附件证据，不据此认定无附件</t>
        </is>
      </c>
      <c r="R430" s="2" t="n">
        <v>2024</v>
      </c>
      <c r="S430" s="2" t="inlineStr">
        <is>
          <t>2025发布版（2024指标年）</t>
        </is>
      </c>
      <c r="T430" s="2" t="inlineStr">
        <is>
          <t>AGRICULTURAL ENGINEERING; BIOTECHNOLOGY &amp; APPLIED MICROBIOLOGY; ENERGY &amp; FUELS</t>
        </is>
      </c>
      <c r="U430" s="2" t="inlineStr">
        <is>
          <t>AGRICULTURAL ENGINEERING: Q1; BIOTECHNOLOGY &amp; APPLIED MICROBIOLOGY: Q1; ENERGY &amp; FUELS: Q1</t>
        </is>
      </c>
      <c r="V430" s="4" t="inlineStr">
        <is>
          <t>是</t>
        </is>
      </c>
      <c r="W430" s="4" t="inlineStr">
        <is>
          <t>是</t>
        </is>
      </c>
      <c r="X430" s="2" t="inlineStr">
        <is>
          <t>是</t>
        </is>
      </c>
      <c r="Y430" s="2" t="inlineStr">
        <is>
          <t>https://topj.lib.whu.edu.cn/show.asp?cat=zk&amp;id=3976</t>
        </is>
      </c>
      <c r="Z430" s="2" t="inlineStr">
        <is>
          <t>https://api.crossref.org/works/10.1016/j.biortech.2017.09.160</t>
        </is>
      </c>
      <c r="AA43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30" s="2" t="inlineStr"/>
      <c r="AC430" s="2" t="inlineStr"/>
      <c r="AD430" s="2" t="inlineStr"/>
    </row>
    <row r="431" ht="48" customHeight="1">
      <c r="A431" s="3" t="inlineStr">
        <is>
          <t>R13847</t>
        </is>
      </c>
      <c r="B431" s="3" t="inlineStr">
        <is>
          <t>Hydrogen production via anaerobic digestion of coal modified by white-rot fungi and its application benefits analysis</t>
        </is>
      </c>
      <c r="C431" s="3" t="inlineStr">
        <is>
          <t>2022</t>
        </is>
      </c>
      <c r="D431" s="3" t="inlineStr">
        <is>
          <t>2022</t>
        </is>
      </c>
      <c r="E431" s="3" t="inlineStr">
        <is>
          <t>10.1016/j.rser.2022.112091</t>
        </is>
      </c>
      <c r="F431" s="3" t="inlineStr">
        <is>
          <t>期刊文章</t>
        </is>
      </c>
      <c r="G431" s="3" t="inlineStr">
        <is>
          <t>5 排除</t>
        </is>
      </c>
      <c r="H431" s="3" t="inlineStr">
        <is>
          <t>否</t>
        </is>
      </c>
      <c r="I431" s="3" t="inlineStr">
        <is>
          <t>研究类</t>
        </is>
      </c>
      <c r="J431" s="3" t="inlineStr">
        <is>
          <t>否</t>
        </is>
      </c>
      <c r="K431" s="3" t="inlineStr">
        <is>
          <t>Renewable and Sustainable Energy Reviews</t>
        </is>
      </c>
      <c r="L431" s="3" t="inlineStr">
        <is>
          <t>Renewable and Sustainable Energy Reviews</t>
        </is>
      </c>
      <c r="M431" s="3" t="inlineStr">
        <is>
          <t>1364-0321</t>
        </is>
      </c>
      <c r="N431" s="3" t="inlineStr"/>
      <c r="O431" s="3" t="inlineStr">
        <is>
          <t>未取得全文</t>
        </is>
      </c>
      <c r="P431" s="3" t="inlineStr">
        <is>
          <t>否</t>
        </is>
      </c>
      <c r="Q431" s="3" t="inlineStr">
        <is>
          <t>当前无补充材料原件；沿用既有缺失/无附件证据，不据此认定无附件</t>
        </is>
      </c>
      <c r="R431" s="3" t="n">
        <v>2024</v>
      </c>
      <c r="S431" s="3" t="inlineStr">
        <is>
          <t>2025发布版（2024指标年）</t>
        </is>
      </c>
      <c r="T431" s="3" t="inlineStr"/>
      <c r="U431" s="3" t="inlineStr"/>
      <c r="V431" s="3" t="inlineStr">
        <is>
          <t>待核实</t>
        </is>
      </c>
      <c r="W431" s="3" t="inlineStr">
        <is>
          <t>待核实</t>
        </is>
      </c>
      <c r="X431" s="3" t="inlineStr">
        <is>
          <t>否</t>
        </is>
      </c>
      <c r="Y431" s="3" t="inlineStr"/>
      <c r="Z431" s="3" t="inlineStr">
        <is>
          <t>https://api.crossref.org/works/10.1016/j.rser.2022.112091</t>
        </is>
      </c>
      <c r="AA431" s="3" t="inlineStr">
        <is>
          <t>2024指标年JCR分区未核实；空白不能当非Q1。需要2025发布版/2024指标年的JCR全部学科导出。</t>
        </is>
      </c>
      <c r="AB431" s="3" t="inlineStr"/>
      <c r="AC431" s="3" t="inlineStr"/>
      <c r="AD431" s="3" t="inlineStr"/>
    </row>
    <row r="432" ht="48" customHeight="1">
      <c r="A432" s="2" t="inlineStr">
        <is>
          <t>R13848</t>
        </is>
      </c>
      <c r="B432" s="2" t="inlineStr">
        <is>
          <t>Influence of white-rot fungus Polyporus brumalis BRFM 985 culture conditions on the pretreatment efficiency for anaerobic digestion of wheat straw</t>
        </is>
      </c>
      <c r="C432" s="2" t="inlineStr">
        <is>
          <t>2018</t>
        </is>
      </c>
      <c r="D432" s="2" t="inlineStr">
        <is>
          <t>2018</t>
        </is>
      </c>
      <c r="E432" s="2" t="inlineStr">
        <is>
          <t>10.1016/j.biombioe.2018.01.018</t>
        </is>
      </c>
      <c r="F432" s="2" t="inlineStr">
        <is>
          <t>期刊文章</t>
        </is>
      </c>
      <c r="G432" s="2" t="inlineStr">
        <is>
          <t>5 排除</t>
        </is>
      </c>
      <c r="H432" s="2" t="inlineStr">
        <is>
          <t>否</t>
        </is>
      </c>
      <c r="I432" s="2" t="inlineStr">
        <is>
          <t>研究类</t>
        </is>
      </c>
      <c r="J432" s="2" t="inlineStr">
        <is>
          <t>否</t>
        </is>
      </c>
      <c r="K432" s="2" t="inlineStr">
        <is>
          <t>BIOMASS &amp; BIOENERGY</t>
        </is>
      </c>
      <c r="L432" s="2" t="inlineStr">
        <is>
          <t>Biomass and Bioenergy</t>
        </is>
      </c>
      <c r="M432" s="2" t="inlineStr">
        <is>
          <t>0961-9534</t>
        </is>
      </c>
      <c r="N432" s="2" t="inlineStr"/>
      <c r="O432" s="2" t="inlineStr">
        <is>
          <t>未取得全文</t>
        </is>
      </c>
      <c r="P432" s="2" t="inlineStr">
        <is>
          <t>否</t>
        </is>
      </c>
      <c r="Q432" s="2" t="inlineStr">
        <is>
          <t>当前无补充材料原件；沿用既有缺失/无附件证据，不据此认定无附件</t>
        </is>
      </c>
      <c r="R432" s="2" t="n">
        <v>2024</v>
      </c>
      <c r="S432" s="2" t="inlineStr">
        <is>
          <t>2025发布版（2024指标年）</t>
        </is>
      </c>
      <c r="T432" s="2" t="inlineStr">
        <is>
          <t>AGRICULTURAL ENGINEERING; BIOTECHNOLOGY &amp; APPLIED MICROBIOLOGY; ENERGY &amp; FUELS</t>
        </is>
      </c>
      <c r="U432" s="2" t="inlineStr">
        <is>
          <t>AGRICULTURAL ENGINEERING: Q1; BIOTECHNOLOGY &amp; APPLIED MICROBIOLOGY: Q1; ENERGY &amp; FUELS: Q2</t>
        </is>
      </c>
      <c r="V432" s="4" t="inlineStr">
        <is>
          <t>是</t>
        </is>
      </c>
      <c r="W432" s="2" t="inlineStr">
        <is>
          <t>否</t>
        </is>
      </c>
      <c r="X432" s="2" t="inlineStr">
        <is>
          <t>是</t>
        </is>
      </c>
      <c r="Y432" s="2" t="inlineStr">
        <is>
          <t>https://topj.lib.whu.edu.cn/show.asp?cat=sci&amp;id=5613</t>
        </is>
      </c>
      <c r="Z432" s="2" t="inlineStr">
        <is>
          <t>https://api.crossref.org/works/10.1016/j.biombioe.2018.01.018</t>
        </is>
      </c>
      <c r="AA43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32" s="2" t="inlineStr"/>
      <c r="AC432" s="2" t="inlineStr"/>
      <c r="AD432" s="2" t="inlineStr"/>
    </row>
    <row r="433" ht="48" customHeight="1">
      <c r="A433" s="3" t="inlineStr">
        <is>
          <t>R13849</t>
        </is>
      </c>
      <c r="B433" s="3" t="inlineStr">
        <is>
          <t>Combinations of fungal and milling pretreatments for enhancing rice straw biogas production during solid-state anaerobic digestion.</t>
        </is>
      </c>
      <c r="C433" s="3" t="inlineStr">
        <is>
          <t>2017</t>
        </is>
      </c>
      <c r="D433" s="3" t="inlineStr">
        <is>
          <t>2017</t>
        </is>
      </c>
      <c r="E433" s="3" t="inlineStr">
        <is>
          <t>10.1016/j.biortech.2016.11.028</t>
        </is>
      </c>
      <c r="F433" s="3" t="inlineStr">
        <is>
          <t>期刊文章</t>
        </is>
      </c>
      <c r="G433" s="3" t="inlineStr">
        <is>
          <t>5 排除</t>
        </is>
      </c>
      <c r="H433" s="3" t="inlineStr">
        <is>
          <t>否</t>
        </is>
      </c>
      <c r="I433" s="3" t="inlineStr">
        <is>
          <t>研究类</t>
        </is>
      </c>
      <c r="J433" s="3" t="inlineStr">
        <is>
          <t>否</t>
        </is>
      </c>
      <c r="K433" s="3" t="inlineStr">
        <is>
          <t>BIORESOURCE TECHNOLOGY</t>
        </is>
      </c>
      <c r="L433" s="3" t="inlineStr">
        <is>
          <t>Bioresource technology</t>
        </is>
      </c>
      <c r="M433" s="3" t="inlineStr">
        <is>
          <t>0960-8524</t>
        </is>
      </c>
      <c r="N433" s="3" t="inlineStr"/>
      <c r="O433" s="3" t="inlineStr">
        <is>
          <t>未取得全文</t>
        </is>
      </c>
      <c r="P433" s="3" t="inlineStr">
        <is>
          <t>否</t>
        </is>
      </c>
      <c r="Q433" s="3" t="inlineStr">
        <is>
          <t>当前无补充材料原件；沿用既有缺失/无附件证据，不据此认定无附件</t>
        </is>
      </c>
      <c r="R433" s="3" t="n">
        <v>2024</v>
      </c>
      <c r="S433" s="3" t="inlineStr">
        <is>
          <t>2025发布版（2024指标年）</t>
        </is>
      </c>
      <c r="T433" s="3" t="inlineStr">
        <is>
          <t>AGRICULTURAL ENGINEERING; BIOTECHNOLOGY &amp; APPLIED MICROBIOLOGY; ENERGY &amp; FUELS</t>
        </is>
      </c>
      <c r="U433" s="3" t="inlineStr">
        <is>
          <t>AGRICULTURAL ENGINEERING: Q1; BIOTECHNOLOGY &amp; APPLIED MICROBIOLOGY: Q1; ENERGY &amp; FUELS: Q1</t>
        </is>
      </c>
      <c r="V433" s="4" t="inlineStr">
        <is>
          <t>是</t>
        </is>
      </c>
      <c r="W433" s="4" t="inlineStr">
        <is>
          <t>是</t>
        </is>
      </c>
      <c r="X433" s="3" t="inlineStr">
        <is>
          <t>是</t>
        </is>
      </c>
      <c r="Y433" s="3" t="inlineStr">
        <is>
          <t>https://topj.lib.whu.edu.cn/show.asp?cat=zk&amp;id=3976</t>
        </is>
      </c>
      <c r="Z433" s="3" t="inlineStr">
        <is>
          <t>https://api.crossref.org/works/10.1016/j.biortech.2016.11.028</t>
        </is>
      </c>
      <c r="AA43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33" s="3" t="inlineStr"/>
      <c r="AC433" s="3" t="inlineStr"/>
      <c r="AD433" s="3" t="inlineStr"/>
    </row>
    <row r="434" ht="48" customHeight="1">
      <c r="A434" s="2" t="inlineStr">
        <is>
          <t>R13850</t>
        </is>
      </c>
      <c r="B434" s="2" t="inlineStr">
        <is>
          <t>Microaerophilic treatment enhanced organic matter removal and methane production rates during swine wastewater treatment: A long-term engineering evaluation</t>
        </is>
      </c>
      <c r="C434" s="2" t="inlineStr">
        <is>
          <t>2021</t>
        </is>
      </c>
      <c r="D434" s="2" t="inlineStr">
        <is>
          <t>2021</t>
        </is>
      </c>
      <c r="E434" s="2" t="inlineStr">
        <is>
          <t>10.1016/j.renene.2021.08.120</t>
        </is>
      </c>
      <c r="F434" s="2" t="inlineStr">
        <is>
          <t>期刊文章</t>
        </is>
      </c>
      <c r="G434" s="2" t="inlineStr">
        <is>
          <t>1 直接向 AD 反应器或内部循环系统供氧</t>
        </is>
      </c>
      <c r="H434" s="2" t="inlineStr">
        <is>
          <t>是</t>
        </is>
      </c>
      <c r="I434" s="2" t="inlineStr">
        <is>
          <t>研究类</t>
        </is>
      </c>
      <c r="J434" s="2" t="inlineStr">
        <is>
          <t>是</t>
        </is>
      </c>
      <c r="K434" s="2" t="inlineStr">
        <is>
          <t>Renewable Energy</t>
        </is>
      </c>
      <c r="L434" s="2" t="inlineStr">
        <is>
          <t>Renewable Energy</t>
        </is>
      </c>
      <c r="M434" s="2" t="inlineStr">
        <is>
          <t>0960-1481</t>
        </is>
      </c>
      <c r="N434" s="2" t="inlineStr"/>
      <c r="O434" s="2" t="inlineStr">
        <is>
          <t>已取得核验全文</t>
        </is>
      </c>
      <c r="P434" s="2" t="inlineStr">
        <is>
          <t>是</t>
        </is>
      </c>
      <c r="Q434" s="2" t="inlineStr">
        <is>
          <t>当前无补充材料原件；沿用既有缺失/无附件证据，不据此认定无附件</t>
        </is>
      </c>
      <c r="R434" s="2" t="n">
        <v>2024</v>
      </c>
      <c r="S434" s="2" t="inlineStr">
        <is>
          <t>2025发布版（2024指标年）</t>
        </is>
      </c>
      <c r="T434" s="2" t="inlineStr">
        <is>
          <t>ENERGY &amp; FUELS; GREEN &amp; SUSTAINABLE SCIENCE &amp; TECHNOLOGY</t>
        </is>
      </c>
      <c r="U434" s="2" t="inlineStr">
        <is>
          <t>ENERGY &amp; FUELS: Q1; GREEN &amp; SUSTAINABLE SCIENCE &amp; TECHNOLOGY: Q1</t>
        </is>
      </c>
      <c r="V434" s="4" t="inlineStr">
        <is>
          <t>是</t>
        </is>
      </c>
      <c r="W434" s="4" t="inlineStr">
        <is>
          <t>是</t>
        </is>
      </c>
      <c r="X434" s="2" t="inlineStr">
        <is>
          <t>是</t>
        </is>
      </c>
      <c r="Y434" s="2" t="inlineStr">
        <is>
          <t>https://topj.lib.whu.edu.cn/show.asp?cat=sci&amp;id=8240</t>
        </is>
      </c>
      <c r="Z434" s="2" t="inlineStr">
        <is>
          <t>https://api.crossref.org/works/10.1016/j.renene.2021.08.120</t>
        </is>
      </c>
      <c r="AA43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34" s="2" t="inlineStr">
        <is>
          <t>original_files/R13850/fulltext/fulltext__published__2331de22c4e2d3a5.pdf</t>
        </is>
      </c>
      <c r="AC434" s="2" t="inlineStr"/>
      <c r="AD434" s="2" t="inlineStr">
        <is>
          <t>https://github.com/Colliam-Vermilion/FirstCodex/blob/results/ad-oxygen-literature-20261006/results/ad-oxygen-literature-20261006/original_files/R13850/fulltext/fulltext__published__2331de22c4e2d3a5.pdf</t>
        </is>
      </c>
    </row>
    <row r="435" ht="48" customHeight="1">
      <c r="A435" s="3" t="inlineStr">
        <is>
          <t>R13851</t>
        </is>
      </c>
      <c r="B435" s="3" t="inlineStr">
        <is>
          <t>Enhancing biodegradability of industrial park wastewater by packing carriers and limited aeration in the hydrolysis process</t>
        </is>
      </c>
      <c r="C435" s="3" t="inlineStr">
        <is>
          <t>2020</t>
        </is>
      </c>
      <c r="D435" s="3" t="inlineStr">
        <is>
          <t>2020</t>
        </is>
      </c>
      <c r="E435" s="3" t="inlineStr">
        <is>
          <t>10.1016/j.jclepro.2020.121638</t>
        </is>
      </c>
      <c r="F435" s="3" t="inlineStr">
        <is>
          <t>期刊文章</t>
        </is>
      </c>
      <c r="G435" s="3" t="inlineStr">
        <is>
          <t>2 向厌氧水解或产酸阶段供氧</t>
        </is>
      </c>
      <c r="H435" s="3" t="inlineStr">
        <is>
          <t>是</t>
        </is>
      </c>
      <c r="I435" s="3" t="inlineStr">
        <is>
          <t>研究类</t>
        </is>
      </c>
      <c r="J435" s="3" t="inlineStr">
        <is>
          <t>是</t>
        </is>
      </c>
      <c r="K435" s="3" t="inlineStr">
        <is>
          <t>JOURNAL OF CLEANER PRODUCTION</t>
        </is>
      </c>
      <c r="L435" s="3" t="inlineStr">
        <is>
          <t>Journal of Cleaner Production</t>
        </is>
      </c>
      <c r="M435" s="3" t="inlineStr">
        <is>
          <t>0959-6526</t>
        </is>
      </c>
      <c r="N435" s="3" t="inlineStr"/>
      <c r="O435" s="3" t="inlineStr">
        <is>
          <t>已取得核验全文</t>
        </is>
      </c>
      <c r="P435" s="3" t="inlineStr">
        <is>
          <t>是</t>
        </is>
      </c>
      <c r="Q435" s="3" t="inlineStr">
        <is>
          <t>当前无补充材料原件；沿用既有缺失/无附件证据，不据此认定无附件</t>
        </is>
      </c>
      <c r="R435" s="3" t="n">
        <v>2024</v>
      </c>
      <c r="S435" s="3" t="inlineStr">
        <is>
          <t>2025发布版（2024指标年）</t>
        </is>
      </c>
      <c r="T435" s="3" t="inlineStr">
        <is>
          <t>ENGINEERING, ENVIRONMENTAL; ENVIRONMENTAL SCIENCES; GREEN &amp; SUSTAINABLE SCIENCE &amp; TECHNOLOGY</t>
        </is>
      </c>
      <c r="U435" s="3" t="inlineStr">
        <is>
          <t>ENGINEERING, ENVIRONMENTAL: Q1; ENVIRONMENTAL SCIENCES: Q1; GREEN &amp; SUSTAINABLE SCIENCE &amp; TECHNOLOGY: Q1</t>
        </is>
      </c>
      <c r="V435" s="4" t="inlineStr">
        <is>
          <t>是</t>
        </is>
      </c>
      <c r="W435" s="4" t="inlineStr">
        <is>
          <t>是</t>
        </is>
      </c>
      <c r="X435" s="3" t="inlineStr">
        <is>
          <t>是</t>
        </is>
      </c>
      <c r="Y435" s="3" t="inlineStr">
        <is>
          <t>https://topj.lib.whu.edu.cn/show.asp?cat=esi&amp;id=6394</t>
        </is>
      </c>
      <c r="Z435" s="3" t="inlineStr">
        <is>
          <t>https://api.crossref.org/works/10.1016/j.jclepro.2020.121638</t>
        </is>
      </c>
      <c r="AA43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35" s="3" t="inlineStr">
        <is>
          <t>original_files/R13851/fulltext/fulltext__published__f77a19da6793811f.pdf</t>
        </is>
      </c>
      <c r="AC435" s="3" t="inlineStr"/>
      <c r="AD435" s="3" t="inlineStr">
        <is>
          <t>https://github.com/Colliam-Vermilion/FirstCodex/blob/results/ad-oxygen-literature-20261006/results/ad-oxygen-literature-20261006/original_files/R13851/fulltext/fulltext__published__f77a19da6793811f.pdf</t>
        </is>
      </c>
    </row>
    <row r="436" ht="48" customHeight="1">
      <c r="A436" s="2" t="inlineStr">
        <is>
          <t>R13852</t>
        </is>
      </c>
      <c r="B436" s="2" t="inlineStr">
        <is>
          <t>A Novel Application of Micro-Aerobic Hydrolysis and Acidification on the Treatment of Refractory Chinese Traditional Medicine Wastewater</t>
        </is>
      </c>
      <c r="C436" s="2" t="inlineStr">
        <is>
          <t>2012</t>
        </is>
      </c>
      <c r="D436" s="2" t="inlineStr">
        <is>
          <t>2012</t>
        </is>
      </c>
      <c r="E436" s="2" t="inlineStr">
        <is>
          <t>10.4028/www.scientific.net/amm.178-181.570</t>
        </is>
      </c>
      <c r="F436" s="2" t="inlineStr">
        <is>
          <t>期刊文章</t>
        </is>
      </c>
      <c r="G436" s="2" t="inlineStr">
        <is>
          <t>2 向厌氧水解或产酸阶段供氧</t>
        </is>
      </c>
      <c r="H436" s="2" t="inlineStr">
        <is>
          <t>是</t>
        </is>
      </c>
      <c r="I436" s="2" t="inlineStr">
        <is>
          <t>类型待核实</t>
        </is>
      </c>
      <c r="J436" s="2" t="inlineStr">
        <is>
          <t>否</t>
        </is>
      </c>
      <c r="K436" s="2" t="inlineStr">
        <is>
          <t>Applied Mechanics and Materials</t>
        </is>
      </c>
      <c r="L436" s="2" t="inlineStr">
        <is>
          <t>Applied Mechanics and Materials</t>
        </is>
      </c>
      <c r="M436" s="2" t="inlineStr"/>
      <c r="N436" s="2" t="inlineStr">
        <is>
          <t>1662-7482</t>
        </is>
      </c>
      <c r="O436" s="2" t="inlineStr">
        <is>
          <t>未取得全文</t>
        </is>
      </c>
      <c r="P436" s="2" t="inlineStr">
        <is>
          <t>否</t>
        </is>
      </c>
      <c r="Q436" s="2" t="inlineStr">
        <is>
          <t>当前无补充材料原件；沿用既有缺失/无附件证据，不据此认定无附件</t>
        </is>
      </c>
      <c r="R436" s="2" t="inlineStr"/>
      <c r="S436" s="2" t="inlineStr"/>
      <c r="T436" s="2" t="inlineStr"/>
      <c r="U436" s="2" t="inlineStr"/>
      <c r="V436" s="2" t="inlineStr">
        <is>
          <t>不适用</t>
        </is>
      </c>
      <c r="W436" s="2" t="inlineStr">
        <is>
          <t>不适用</t>
        </is>
      </c>
      <c r="X436" s="2" t="inlineStr">
        <is>
          <t>不适用</t>
        </is>
      </c>
      <c r="Y436" s="2" t="inlineStr"/>
      <c r="Z436" s="2" t="inlineStr">
        <is>
          <t>https://api.crossref.org/works/10.4028/www.scientific.net/amm.178-181.570</t>
        </is>
      </c>
      <c r="AA436" s="2" t="inlineStr">
        <is>
          <t>期刊/会议或其他载体身份缺少足够凭据，单列待核实，不混入期刊论文分母 | 非目标期刊论文或类型待核实，不进入JCR分母</t>
        </is>
      </c>
      <c r="AB436" s="2" t="inlineStr"/>
      <c r="AC436" s="2" t="inlineStr"/>
      <c r="AD436" s="2" t="inlineStr"/>
    </row>
    <row r="437" ht="48" customHeight="1">
      <c r="A437" s="3" t="inlineStr">
        <is>
          <t>R13853</t>
        </is>
      </c>
      <c r="B437" s="3" t="inlineStr">
        <is>
          <t>Aeration in sludge holding tanks as an economical means for biosolids odor control—A case study</t>
        </is>
      </c>
      <c r="C437" s="3" t="inlineStr">
        <is>
          <t>2021</t>
        </is>
      </c>
      <c r="D437" s="3" t="inlineStr">
        <is>
          <t>2021</t>
        </is>
      </c>
      <c r="E437" s="3" t="inlineStr">
        <is>
          <t>10.1002/wer.1582</t>
        </is>
      </c>
      <c r="F437" s="3" t="inlineStr">
        <is>
          <t>期刊文章</t>
        </is>
      </c>
      <c r="G437" s="3" t="inlineStr">
        <is>
          <t>1 直接向 AD 反应器或内部循环系统供氧</t>
        </is>
      </c>
      <c r="H437" s="3" t="inlineStr">
        <is>
          <t>是</t>
        </is>
      </c>
      <c r="I437" s="3" t="inlineStr">
        <is>
          <t>研究类</t>
        </is>
      </c>
      <c r="J437" s="3" t="inlineStr">
        <is>
          <t>是</t>
        </is>
      </c>
      <c r="K437" s="3" t="inlineStr">
        <is>
          <t>WATER ENVIRONMENT RESEARCH</t>
        </is>
      </c>
      <c r="L437" s="3" t="inlineStr">
        <is>
          <t>Water Environment Research</t>
        </is>
      </c>
      <c r="M437" s="3" t="inlineStr">
        <is>
          <t>1061-4303</t>
        </is>
      </c>
      <c r="N437" s="3" t="inlineStr">
        <is>
          <t>1554-7531</t>
        </is>
      </c>
      <c r="O437" s="3" t="inlineStr">
        <is>
          <t>已取得核验全文</t>
        </is>
      </c>
      <c r="P437" s="3" t="inlineStr">
        <is>
          <t>是</t>
        </is>
      </c>
      <c r="Q437" s="3" t="inlineStr">
        <is>
          <t>已取得1件原格式补充材料；其中0件唯一关联待核实；完整性未确认</t>
        </is>
      </c>
      <c r="R437" s="3" t="n">
        <v>2024</v>
      </c>
      <c r="S437" s="3" t="inlineStr">
        <is>
          <t>2025发布版（2024指标年）</t>
        </is>
      </c>
      <c r="T437" s="3" t="inlineStr">
        <is>
          <t>WATER RESOURCES; ENGINEERING, ENVIRONMENTAL; ENVIRONMENTAL SCIENCES; LIMNOLOGY</t>
        </is>
      </c>
      <c r="U437" s="3" t="inlineStr">
        <is>
          <t>WATER RESOURCES: Q3; ENGINEERING, ENVIRONMENTAL: Q4; ENVIRONMENTAL SCIENCES: Q3; LIMNOLOGY: Q2</t>
        </is>
      </c>
      <c r="V437" s="3" t="inlineStr">
        <is>
          <t>否</t>
        </is>
      </c>
      <c r="W437" s="3" t="inlineStr">
        <is>
          <t>否</t>
        </is>
      </c>
      <c r="X437" s="3" t="inlineStr">
        <is>
          <t>是</t>
        </is>
      </c>
      <c r="Y437" s="3" t="inlineStr">
        <is>
          <t>https://topj.lib.whu.edu.cn/show.asp?cat=zk&amp;id=4326</t>
        </is>
      </c>
      <c r="Z437" s="3" t="inlineStr">
        <is>
          <t>https://api.crossref.org/works/10.1002/wer.1582</t>
        </is>
      </c>
      <c r="AA43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37" s="3" t="inlineStr">
        <is>
          <t>original_files/R13853/fulltext/fulltext__published__c84ba3c1029e9ab5.pdf</t>
        </is>
      </c>
      <c r="AC437" s="3" t="inlineStr">
        <is>
          <t>original_files/R13853/supplementary/supplementary__661eb9e6573d7eae.docx</t>
        </is>
      </c>
      <c r="AD437" s="3" t="inlineStr">
        <is>
          <t>https://github.com/Colliam-Vermilion/FirstCodex/blob/results/ad-oxygen-literature-20261006/results/ad-oxygen-literature-20261006/original_files/R13853/fulltext/fulltext__published__c84ba3c1029e9ab5.pdf</t>
        </is>
      </c>
    </row>
    <row r="438" ht="48" customHeight="1">
      <c r="A438" s="2" t="inlineStr">
        <is>
          <t>R13855</t>
        </is>
      </c>
      <c r="B438" s="2" t="inlineStr">
        <is>
          <t>Micro-aerated fermentation enhances acetate production from high-rate activated sludge to supply carbon source for heterotrophic denitratation</t>
        </is>
      </c>
      <c r="C438" s="2" t="inlineStr">
        <is>
          <t>2022</t>
        </is>
      </c>
      <c r="D438" s="2" t="inlineStr">
        <is>
          <t>2022</t>
        </is>
      </c>
      <c r="E438" s="2" t="inlineStr">
        <is>
          <t>10.1016/j.cej.2022.136894</t>
        </is>
      </c>
      <c r="F438" s="2" t="inlineStr">
        <is>
          <t>期刊文章</t>
        </is>
      </c>
      <c r="G438" s="2" t="inlineStr">
        <is>
          <t>2 向厌氧水解或产酸阶段供氧</t>
        </is>
      </c>
      <c r="H438" s="2" t="inlineStr">
        <is>
          <t>是</t>
        </is>
      </c>
      <c r="I438" s="2" t="inlineStr">
        <is>
          <t>研究类</t>
        </is>
      </c>
      <c r="J438" s="2" t="inlineStr">
        <is>
          <t>是</t>
        </is>
      </c>
      <c r="K438" s="2" t="inlineStr">
        <is>
          <t>Chemical Engineering Journal</t>
        </is>
      </c>
      <c r="L438" s="2" t="inlineStr">
        <is>
          <t>Chemical Engineering Journal</t>
        </is>
      </c>
      <c r="M438" s="2" t="inlineStr">
        <is>
          <t>1385-8947</t>
        </is>
      </c>
      <c r="N438" s="2" t="inlineStr"/>
      <c r="O438" s="2" t="inlineStr">
        <is>
          <t>已取得核验全文</t>
        </is>
      </c>
      <c r="P438" s="2" t="inlineStr">
        <is>
          <t>是</t>
        </is>
      </c>
      <c r="Q438" s="2" t="inlineStr">
        <is>
          <t>已取得1件原格式补充材料；其中0件唯一关联待核实；完整性未确认</t>
        </is>
      </c>
      <c r="R438" s="2" t="n">
        <v>2024</v>
      </c>
      <c r="S438" s="2" t="inlineStr">
        <is>
          <t>2025发布版（2024指标年）</t>
        </is>
      </c>
      <c r="T438" s="2" t="inlineStr">
        <is>
          <t>ENGINEERING, CHEMICAL; ENGINEERING, ENVIRONMENTAL</t>
        </is>
      </c>
      <c r="U438" s="2" t="inlineStr">
        <is>
          <t>ENGINEERING, CHEMICAL: Q1; ENGINEERING, ENVIRONMENTAL: Q1</t>
        </is>
      </c>
      <c r="V438" s="4" t="inlineStr">
        <is>
          <t>是</t>
        </is>
      </c>
      <c r="W438" s="4" t="inlineStr">
        <is>
          <t>是</t>
        </is>
      </c>
      <c r="X438" s="2" t="inlineStr">
        <is>
          <t>是</t>
        </is>
      </c>
      <c r="Y438" s="2" t="inlineStr">
        <is>
          <t>https://topj.lib.whu.edu.cn/show.asp?cat=zk&amp;id=2740</t>
        </is>
      </c>
      <c r="Z438" s="2" t="inlineStr">
        <is>
          <t>https://api.crossref.org/works/10.1016/j.cej.2022.136894</t>
        </is>
      </c>
      <c r="AA43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38" s="2" t="inlineStr">
        <is>
          <t>original_files/R13855/fulltext/fulltext__published__1ee56be1dd88d737.pdf</t>
        </is>
      </c>
      <c r="AC438" s="2" t="inlineStr">
        <is>
          <t>original_files/R13855/supplementary/supplementary__2243848843d992d3.docx</t>
        </is>
      </c>
      <c r="AD438" s="2" t="inlineStr">
        <is>
          <t>https://github.com/Colliam-Vermilion/FirstCodex/blob/results/ad-oxygen-literature-20261006/results/ad-oxygen-literature-20261006/original_files/R13855/fulltext/fulltext__published__1ee56be1dd88d737.pdf</t>
        </is>
      </c>
    </row>
    <row r="439" ht="48" customHeight="1">
      <c r="A439" s="3" t="inlineStr">
        <is>
          <t>R13856</t>
        </is>
      </c>
      <c r="B439" s="3" t="inlineStr">
        <is>
          <t>Strategy to enhance semi-continuous anaerobic digestion of food waste by combined use of calcium peroxide and magnetite</t>
        </is>
      </c>
      <c r="C439" s="3" t="inlineStr">
        <is>
          <t>2022</t>
        </is>
      </c>
      <c r="D439" s="3" t="inlineStr">
        <is>
          <t>2022</t>
        </is>
      </c>
      <c r="E439" s="3" t="inlineStr">
        <is>
          <t>10.1016/j.watres.2022.118801</t>
        </is>
      </c>
      <c r="F439" s="3" t="inlineStr">
        <is>
          <t>期刊文章</t>
        </is>
      </c>
      <c r="G439" s="3" t="inlineStr">
        <is>
          <t>1 直接向 AD 反应器或内部循环系统供氧</t>
        </is>
      </c>
      <c r="H439" s="3" t="inlineStr">
        <is>
          <t>是</t>
        </is>
      </c>
      <c r="I439" s="3" t="inlineStr">
        <is>
          <t>研究类</t>
        </is>
      </c>
      <c r="J439" s="3" t="inlineStr">
        <is>
          <t>是</t>
        </is>
      </c>
      <c r="K439" s="3" t="inlineStr">
        <is>
          <t>WATER RESEARCH</t>
        </is>
      </c>
      <c r="L439" s="3" t="inlineStr">
        <is>
          <t>Water Research</t>
        </is>
      </c>
      <c r="M439" s="3" t="inlineStr">
        <is>
          <t>0043-1354</t>
        </is>
      </c>
      <c r="N439" s="3" t="inlineStr"/>
      <c r="O439" s="3" t="inlineStr">
        <is>
          <t>已取得核验全文</t>
        </is>
      </c>
      <c r="P439" s="3" t="inlineStr">
        <is>
          <t>是</t>
        </is>
      </c>
      <c r="Q439" s="3" t="inlineStr">
        <is>
          <t>已取得1件原格式补充材料；其中0件唯一关联待核实；完整性未确认</t>
        </is>
      </c>
      <c r="R439" s="3" t="n">
        <v>2024</v>
      </c>
      <c r="S439" s="3" t="inlineStr">
        <is>
          <t>2025发布版（2024指标年）</t>
        </is>
      </c>
      <c r="T439" s="3" t="inlineStr">
        <is>
          <t>WATER RESOURCES; ENGINEERING, ENVIRONMENTAL; ENVIRONMENTAL SCIENCES</t>
        </is>
      </c>
      <c r="U439" s="3" t="inlineStr">
        <is>
          <t>WATER RESOURCES: Q1; ENGINEERING, ENVIRONMENTAL: Q1; ENVIRONMENTAL SCIENCES: Q1</t>
        </is>
      </c>
      <c r="V439" s="4" t="inlineStr">
        <is>
          <t>是</t>
        </is>
      </c>
      <c r="W439" s="4" t="inlineStr">
        <is>
          <t>是</t>
        </is>
      </c>
      <c r="X439" s="3" t="inlineStr">
        <is>
          <t>是</t>
        </is>
      </c>
      <c r="Y439" s="3" t="inlineStr">
        <is>
          <t>https://topj.lib.whu.edu.cn/show.asp?cat=zk&amp;id=3962</t>
        </is>
      </c>
      <c r="Z439" s="3" t="inlineStr">
        <is>
          <t>https://api.crossref.org/works/10.1016/j.watres.2022.118801</t>
        </is>
      </c>
      <c r="AA43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39" s="3" t="inlineStr">
        <is>
          <t>original_files/R13856/fulltext/fulltext__published__2e6ed72e05bc7eba.pdf</t>
        </is>
      </c>
      <c r="AC439" s="3" t="inlineStr">
        <is>
          <t>original_files/R13856/supplementary/supplementary__196e8b38faedfc39.docx</t>
        </is>
      </c>
      <c r="AD439" s="3" t="inlineStr">
        <is>
          <t>https://github.com/Colliam-Vermilion/FirstCodex/blob/results/ad-oxygen-literature-20261006/results/ad-oxygen-literature-20261006/original_files/R13856/fulltext/fulltext__published__2e6ed72e05bc7eba.pdf</t>
        </is>
      </c>
    </row>
    <row r="440" ht="48" customHeight="1">
      <c r="A440" s="2" t="inlineStr">
        <is>
          <t>R13857</t>
        </is>
      </c>
      <c r="B440" s="2" t="inlineStr">
        <is>
          <t>Effects of biological pretreatments of microalgae on hydrolysis, biomethane potential and microbial community</t>
        </is>
      </c>
      <c r="C440" s="2" t="inlineStr">
        <is>
          <t>2021</t>
        </is>
      </c>
      <c r="D440" s="2" t="inlineStr">
        <is>
          <t>2021</t>
        </is>
      </c>
      <c r="E440" s="2" t="inlineStr">
        <is>
          <t>10.1016/j.biortech.2021.124905</t>
        </is>
      </c>
      <c r="F440" s="2" t="inlineStr">
        <is>
          <t>期刊文章</t>
        </is>
      </c>
      <c r="G440" s="2" t="inlineStr">
        <is>
          <t>3 独立好氧或微好氧预处理</t>
        </is>
      </c>
      <c r="H440" s="2" t="inlineStr">
        <is>
          <t>是</t>
        </is>
      </c>
      <c r="I440" s="2" t="inlineStr">
        <is>
          <t>研究类</t>
        </is>
      </c>
      <c r="J440" s="2" t="inlineStr">
        <is>
          <t>是</t>
        </is>
      </c>
      <c r="K440" s="2" t="inlineStr">
        <is>
          <t>BIORESOURCE TECHNOLOGY</t>
        </is>
      </c>
      <c r="L440" s="2" t="inlineStr">
        <is>
          <t>Bioresource Technology</t>
        </is>
      </c>
      <c r="M440" s="2" t="inlineStr">
        <is>
          <t>0960-8524</t>
        </is>
      </c>
      <c r="N440" s="2" t="inlineStr"/>
      <c r="O440" s="2" t="inlineStr">
        <is>
          <t>已取得核验全文</t>
        </is>
      </c>
      <c r="P440" s="2" t="inlineStr">
        <is>
          <t>是</t>
        </is>
      </c>
      <c r="Q440" s="2" t="inlineStr">
        <is>
          <t>已取得2件原格式补充材料；其中1件唯一关联待核实；完整性未确认</t>
        </is>
      </c>
      <c r="R440" s="2" t="n">
        <v>2024</v>
      </c>
      <c r="S440" s="2" t="inlineStr">
        <is>
          <t>2025发布版（2024指标年）</t>
        </is>
      </c>
      <c r="T440" s="2" t="inlineStr">
        <is>
          <t>AGRICULTURAL ENGINEERING; BIOTECHNOLOGY &amp; APPLIED MICROBIOLOGY; ENERGY &amp; FUELS</t>
        </is>
      </c>
      <c r="U440" s="2" t="inlineStr">
        <is>
          <t>AGRICULTURAL ENGINEERING: Q1; BIOTECHNOLOGY &amp; APPLIED MICROBIOLOGY: Q1; ENERGY &amp; FUELS: Q1</t>
        </is>
      </c>
      <c r="V440" s="4" t="inlineStr">
        <is>
          <t>是</t>
        </is>
      </c>
      <c r="W440" s="4" t="inlineStr">
        <is>
          <t>是</t>
        </is>
      </c>
      <c r="X440" s="2" t="inlineStr">
        <is>
          <t>是</t>
        </is>
      </c>
      <c r="Y440" s="2" t="inlineStr">
        <is>
          <t>https://topj.lib.whu.edu.cn/show.asp?cat=zk&amp;id=3976</t>
        </is>
      </c>
      <c r="Z440" s="2" t="inlineStr">
        <is>
          <t>https://api.crossref.org/works/10.1016/j.biortech.2021.124905</t>
        </is>
      </c>
      <c r="AA44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40" s="2" t="inlineStr">
        <is>
          <t>original_files/R13857/fulltext/fulltext__published__fd249ecb9e0d9de6.pdf</t>
        </is>
      </c>
      <c r="AC440" s="2" t="inlineStr">
        <is>
          <t>original_files/R13857/supplementary/supplementary__c9a5648ce02d5d25.pdf; original_files/R13857/supplementary/supplementary__fddf2286d3aa6622.xlsx</t>
        </is>
      </c>
      <c r="AD440" s="2" t="inlineStr">
        <is>
          <t>https://github.com/Colliam-Vermilion/FirstCodex/blob/results/ad-oxygen-literature-20261006/results/ad-oxygen-literature-20261006/original_files/R13857/fulltext/fulltext__published__fd249ecb9e0d9de6.pdf</t>
        </is>
      </c>
    </row>
    <row r="441" ht="48" customHeight="1">
      <c r="A441" s="3" t="inlineStr">
        <is>
          <t>R13858</t>
        </is>
      </c>
      <c r="B441" s="3" t="inlineStr">
        <is>
          <t>Stimulating biogas production from steam-exploded birch wood using Fenton reaction and fungal pretreatment</t>
        </is>
      </c>
      <c r="C441" s="3" t="inlineStr">
        <is>
          <t>2022</t>
        </is>
      </c>
      <c r="D441" s="3" t="inlineStr">
        <is>
          <t>2022</t>
        </is>
      </c>
      <c r="E441" s="3" t="inlineStr">
        <is>
          <t>10.1016/j.biortech.2022.128190</t>
        </is>
      </c>
      <c r="F441" s="3" t="inlineStr">
        <is>
          <t>期刊文章</t>
        </is>
      </c>
      <c r="G441" s="3" t="inlineStr">
        <is>
          <t>5 排除</t>
        </is>
      </c>
      <c r="H441" s="3" t="inlineStr">
        <is>
          <t>否</t>
        </is>
      </c>
      <c r="I441" s="3" t="inlineStr">
        <is>
          <t>研究类</t>
        </is>
      </c>
      <c r="J441" s="3" t="inlineStr">
        <is>
          <t>否</t>
        </is>
      </c>
      <c r="K441" s="3" t="inlineStr">
        <is>
          <t>BIORESOURCE TECHNOLOGY</t>
        </is>
      </c>
      <c r="L441" s="3" t="inlineStr">
        <is>
          <t>Bioresource Technology</t>
        </is>
      </c>
      <c r="M441" s="3" t="inlineStr">
        <is>
          <t>0960-8524</t>
        </is>
      </c>
      <c r="N441" s="3" t="inlineStr"/>
      <c r="O441" s="3" t="inlineStr">
        <is>
          <t>未取得全文</t>
        </is>
      </c>
      <c r="P441" s="3" t="inlineStr">
        <is>
          <t>否</t>
        </is>
      </c>
      <c r="Q441" s="3" t="inlineStr">
        <is>
          <t>当前无补充材料原件；沿用既有缺失/无附件证据，不据此认定无附件</t>
        </is>
      </c>
      <c r="R441" s="3" t="n">
        <v>2024</v>
      </c>
      <c r="S441" s="3" t="inlineStr">
        <is>
          <t>2025发布版（2024指标年）</t>
        </is>
      </c>
      <c r="T441" s="3" t="inlineStr">
        <is>
          <t>AGRICULTURAL ENGINEERING; BIOTECHNOLOGY &amp; APPLIED MICROBIOLOGY; ENERGY &amp; FUELS</t>
        </is>
      </c>
      <c r="U441" s="3" t="inlineStr">
        <is>
          <t>AGRICULTURAL ENGINEERING: Q1; BIOTECHNOLOGY &amp; APPLIED MICROBIOLOGY: Q1; ENERGY &amp; FUELS: Q1</t>
        </is>
      </c>
      <c r="V441" s="4" t="inlineStr">
        <is>
          <t>是</t>
        </is>
      </c>
      <c r="W441" s="4" t="inlineStr">
        <is>
          <t>是</t>
        </is>
      </c>
      <c r="X441" s="3" t="inlineStr">
        <is>
          <t>是</t>
        </is>
      </c>
      <c r="Y441" s="3" t="inlineStr">
        <is>
          <t>https://topj.lib.whu.edu.cn/show.asp?cat=zk&amp;id=3976</t>
        </is>
      </c>
      <c r="Z441" s="3" t="inlineStr">
        <is>
          <t>https://api.crossref.org/works/10.1016/j.biortech.2022.128190</t>
        </is>
      </c>
      <c r="AA44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41" s="3" t="inlineStr"/>
      <c r="AC441" s="3" t="inlineStr"/>
      <c r="AD441" s="3" t="inlineStr"/>
    </row>
    <row r="442" ht="48" customHeight="1">
      <c r="A442" s="2" t="inlineStr">
        <is>
          <t>R13859</t>
        </is>
      </c>
      <c r="B442" s="2" t="inlineStr">
        <is>
          <t>Importance of digester’s headspace geometry for the efficient H2S removal through microaeration; experimental and simulation study</t>
        </is>
      </c>
      <c r="C442" s="2" t="inlineStr">
        <is>
          <t>2024</t>
        </is>
      </c>
      <c r="D442" s="2" t="inlineStr">
        <is>
          <t>2024</t>
        </is>
      </c>
      <c r="E442" s="2" t="inlineStr">
        <is>
          <t>10.1016/j.fuel.2024.130900</t>
        </is>
      </c>
      <c r="F442" s="2" t="inlineStr">
        <is>
          <t>期刊文章</t>
        </is>
      </c>
      <c r="G442" s="2" t="inlineStr">
        <is>
          <t>1 直接向 AD 反应器或内部循环系统供氧</t>
        </is>
      </c>
      <c r="H442" s="2" t="inlineStr">
        <is>
          <t>是</t>
        </is>
      </c>
      <c r="I442" s="2" t="inlineStr">
        <is>
          <t>研究类</t>
        </is>
      </c>
      <c r="J442" s="2" t="inlineStr">
        <is>
          <t>是</t>
        </is>
      </c>
      <c r="K442" s="2" t="inlineStr">
        <is>
          <t>Fuel</t>
        </is>
      </c>
      <c r="L442" s="2" t="inlineStr">
        <is>
          <t>Fuel</t>
        </is>
      </c>
      <c r="M442" s="2" t="inlineStr">
        <is>
          <t>0016-2361</t>
        </is>
      </c>
      <c r="N442" s="2" t="inlineStr"/>
      <c r="O442" s="2" t="inlineStr">
        <is>
          <t>已取得核验全文</t>
        </is>
      </c>
      <c r="P442" s="2" t="inlineStr">
        <is>
          <t>是</t>
        </is>
      </c>
      <c r="Q442" s="2" t="inlineStr">
        <is>
          <t>当前无补充材料原件；沿用既有缺失/无附件证据，不据此认定无附件</t>
        </is>
      </c>
      <c r="R442" s="2" t="n">
        <v>2024</v>
      </c>
      <c r="S442" s="2" t="inlineStr">
        <is>
          <t>2025发布版（2024指标年）</t>
        </is>
      </c>
      <c r="T442" s="2" t="inlineStr">
        <is>
          <t>ENERGY &amp; FUELS; ENGINEERING, CHEMICAL</t>
        </is>
      </c>
      <c r="U442" s="2" t="inlineStr">
        <is>
          <t>ENERGY &amp; FUELS: Q1; ENGINEERING, CHEMICAL: Q1</t>
        </is>
      </c>
      <c r="V442" s="4" t="inlineStr">
        <is>
          <t>是</t>
        </is>
      </c>
      <c r="W442" s="4" t="inlineStr">
        <is>
          <t>是</t>
        </is>
      </c>
      <c r="X442" s="2" t="inlineStr">
        <is>
          <t>是</t>
        </is>
      </c>
      <c r="Y442" s="2" t="inlineStr">
        <is>
          <t>https://topj.lib.whu.edu.cn/show.asp?cat=sci&amp;id=5597</t>
        </is>
      </c>
      <c r="Z442" s="2" t="inlineStr">
        <is>
          <t>https://api.crossref.org/works/10.1016/j.fuel.2024.130900</t>
        </is>
      </c>
      <c r="AA44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42" s="2" t="inlineStr">
        <is>
          <t>original_files/R13859/fulltext/fulltext__published__951ec15280a733dc.pdf</t>
        </is>
      </c>
      <c r="AC442" s="2" t="inlineStr"/>
      <c r="AD442" s="2" t="inlineStr">
        <is>
          <t>https://github.com/Colliam-Vermilion/FirstCodex/blob/results/ad-oxygen-literature-20261006/results/ad-oxygen-literature-20261006/original_files/R13859/fulltext/fulltext__published__951ec15280a733dc.pdf</t>
        </is>
      </c>
    </row>
    <row r="443" ht="48" customHeight="1">
      <c r="A443" s="3" t="inlineStr">
        <is>
          <t>R13860</t>
        </is>
      </c>
      <c r="B443" s="3" t="inlineStr">
        <is>
          <t>Unveiling the influence of microaeration and sludge recirculation on enhancement of pharmaceutical removal and microbial community change of the novel anaerobic baffled biofilm - membrane bioreactor in treating building wastewater.</t>
        </is>
      </c>
      <c r="C443" s="3" t="inlineStr">
        <is>
          <t>2024</t>
        </is>
      </c>
      <c r="D443" s="3" t="inlineStr">
        <is>
          <t>2024</t>
        </is>
      </c>
      <c r="E443" s="3" t="inlineStr">
        <is>
          <t>10.1016/j.scitotenv.2024.172420</t>
        </is>
      </c>
      <c r="F443" s="3" t="inlineStr">
        <is>
          <t>期刊文章</t>
        </is>
      </c>
      <c r="G443" s="3" t="inlineStr">
        <is>
          <t>1 直接向 AD 反应器或内部循环系统供氧</t>
        </is>
      </c>
      <c r="H443" s="3" t="inlineStr">
        <is>
          <t>是</t>
        </is>
      </c>
      <c r="I443" s="3" t="inlineStr">
        <is>
          <t>研究类</t>
        </is>
      </c>
      <c r="J443" s="3" t="inlineStr">
        <is>
          <t>是</t>
        </is>
      </c>
      <c r="K443" s="3" t="inlineStr">
        <is>
          <t>Science of The Total Environment</t>
        </is>
      </c>
      <c r="L443" s="3" t="inlineStr">
        <is>
          <t>The Science of the total environment</t>
        </is>
      </c>
      <c r="M443" s="3" t="inlineStr">
        <is>
          <t>0048-9697</t>
        </is>
      </c>
      <c r="N443" s="3" t="inlineStr"/>
      <c r="O443" s="3" t="inlineStr">
        <is>
          <t>已取得核验全文</t>
        </is>
      </c>
      <c r="P443" s="3" t="inlineStr">
        <is>
          <t>是</t>
        </is>
      </c>
      <c r="Q443" s="3" t="inlineStr">
        <is>
          <t>已取得1件原格式补充材料；其中1件唯一关联待核实；完整性未确认</t>
        </is>
      </c>
      <c r="R443" s="3" t="n">
        <v>2024</v>
      </c>
      <c r="S443" s="3" t="inlineStr">
        <is>
          <t>2025发布版（2024指标年）</t>
        </is>
      </c>
      <c r="T443" s="3" t="inlineStr">
        <is>
          <t>ENVIRONMENTAL SCIENCES</t>
        </is>
      </c>
      <c r="U443" s="3" t="inlineStr">
        <is>
          <t>ENVIRONMENTAL SCIENCES: Q1</t>
        </is>
      </c>
      <c r="V443" s="4" t="inlineStr">
        <is>
          <t>是</t>
        </is>
      </c>
      <c r="W443" s="4" t="inlineStr">
        <is>
          <t>是</t>
        </is>
      </c>
      <c r="X443" s="3" t="inlineStr">
        <is>
          <t>是</t>
        </is>
      </c>
      <c r="Y443" s="3" t="inlineStr">
        <is>
          <t>https://topj.lib.whu.edu.cn/show.asp?cat=zk&amp;id=4001</t>
        </is>
      </c>
      <c r="Z443" s="3" t="inlineStr">
        <is>
          <t>https://api.crossref.org/works/10.1016/j.scitotenv.2024.172420</t>
        </is>
      </c>
      <c r="AA44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43" s="3" t="inlineStr">
        <is>
          <t>original_files/R13860/fulltext/fulltext__published__cdd2bf71ee1f07c8.pdf</t>
        </is>
      </c>
      <c r="AC443" s="3" t="inlineStr">
        <is>
          <t>original_files/R13860/supplementary/supplementary__7473e625ba93185b.pdf</t>
        </is>
      </c>
      <c r="AD443" s="3" t="inlineStr">
        <is>
          <t>https://github.com/Colliam-Vermilion/FirstCodex/blob/results/ad-oxygen-literature-20261006/results/ad-oxygen-literature-20261006/original_files/R13860/fulltext/fulltext__published__cdd2bf71ee1f07c8.pdf</t>
        </is>
      </c>
    </row>
    <row r="444" ht="48" customHeight="1">
      <c r="A444" s="2" t="inlineStr">
        <is>
          <t>R13861</t>
        </is>
      </c>
      <c r="B444" s="2" t="inlineStr">
        <is>
          <t>Enhanced removal of emerging micropollutants by applying microaeration to an anaerobic reactor</t>
        </is>
      </c>
      <c r="C444" s="2" t="inlineStr">
        <is>
          <t>2019</t>
        </is>
      </c>
      <c r="D444" s="2" t="inlineStr">
        <is>
          <t>2019</t>
        </is>
      </c>
      <c r="E444" s="2" t="inlineStr">
        <is>
          <t>10.1590/s1413-4152201920190030</t>
        </is>
      </c>
      <c r="F444" s="2" t="inlineStr">
        <is>
          <t>期刊文章</t>
        </is>
      </c>
      <c r="G444" s="2" t="inlineStr">
        <is>
          <t>1 直接向 AD 反应器或内部循环系统供氧</t>
        </is>
      </c>
      <c r="H444" s="2" t="inlineStr">
        <is>
          <t>是</t>
        </is>
      </c>
      <c r="I444" s="2" t="inlineStr">
        <is>
          <t>研究类</t>
        </is>
      </c>
      <c r="J444" s="2" t="inlineStr">
        <is>
          <t>是</t>
        </is>
      </c>
      <c r="K444" s="2" t="inlineStr">
        <is>
          <t>Engenharia Sanitaria e Ambiental</t>
        </is>
      </c>
      <c r="L444" s="2" t="inlineStr">
        <is>
          <t>Engenharia Sanitaria e Ambiental</t>
        </is>
      </c>
      <c r="M444" s="2" t="inlineStr">
        <is>
          <t>1413-4152</t>
        </is>
      </c>
      <c r="N444" s="2" t="inlineStr">
        <is>
          <t>1809-4457</t>
        </is>
      </c>
      <c r="O444" s="2" t="inlineStr">
        <is>
          <t>已取得核验全文</t>
        </is>
      </c>
      <c r="P444" s="2" t="inlineStr">
        <is>
          <t>是</t>
        </is>
      </c>
      <c r="Q444" s="2" t="inlineStr">
        <is>
          <t>当前无补充材料原件；沿用既有缺失/无附件证据，不据此认定无附件</t>
        </is>
      </c>
      <c r="R444" s="2" t="n">
        <v>2024</v>
      </c>
      <c r="S444" s="2" t="inlineStr">
        <is>
          <t>2025发布版（2024指标年）</t>
        </is>
      </c>
      <c r="T444" s="2" t="inlineStr"/>
      <c r="U444" s="2" t="inlineStr"/>
      <c r="V444" s="2" t="inlineStr">
        <is>
          <t>待核实</t>
        </is>
      </c>
      <c r="W444" s="2" t="inlineStr">
        <is>
          <t>待核实</t>
        </is>
      </c>
      <c r="X444" s="2" t="inlineStr">
        <is>
          <t>否</t>
        </is>
      </c>
      <c r="Y444" s="2" t="inlineStr"/>
      <c r="Z444" s="2" t="inlineStr">
        <is>
          <t>https://api.crossref.org/works/10.1590/s1413-4152201920190030</t>
        </is>
      </c>
      <c r="AA444" s="2" t="inlineStr">
        <is>
          <t>2024指标年JCR分区未核实；空白不能当非Q1。需要2025发布版/2024指标年的JCR全部学科导出。</t>
        </is>
      </c>
      <c r="AB444" s="2" t="inlineStr">
        <is>
          <t>original_files/R13861/fulltext/fulltext__published__ba6f44b77d79c4a0.pdf</t>
        </is>
      </c>
      <c r="AC444" s="2" t="inlineStr"/>
      <c r="AD444" s="2" t="inlineStr">
        <is>
          <t>https://github.com/Colliam-Vermilion/FirstCodex/blob/results/ad-oxygen-literature-20261006/results/ad-oxygen-literature-20261006/original_files/R13861/fulltext/fulltext__published__ba6f44b77d79c4a0.pdf</t>
        </is>
      </c>
    </row>
    <row r="445" ht="48" customHeight="1">
      <c r="A445" s="3" t="inlineStr">
        <is>
          <t>R13862</t>
        </is>
      </c>
      <c r="B445" s="3" t="inlineStr">
        <is>
          <t>Multiple and flexible roles of facultative anaerobic bacteria in microaerophilic oleate degradation</t>
        </is>
      </c>
      <c r="C445" s="3" t="inlineStr">
        <is>
          <t>2020</t>
        </is>
      </c>
      <c r="D445" s="3" t="inlineStr">
        <is>
          <t>2020</t>
        </is>
      </c>
      <c r="E445" s="3" t="inlineStr">
        <is>
          <t>10.1111/1462-2920.15124</t>
        </is>
      </c>
      <c r="F445" s="3" t="inlineStr">
        <is>
          <t>期刊文章</t>
        </is>
      </c>
      <c r="G445" s="3" t="inlineStr">
        <is>
          <t>1 直接向 AD 反应器或内部循环系统供氧</t>
        </is>
      </c>
      <c r="H445" s="3" t="inlineStr">
        <is>
          <t>是</t>
        </is>
      </c>
      <c r="I445" s="3" t="inlineStr">
        <is>
          <t>研究类</t>
        </is>
      </c>
      <c r="J445" s="3" t="inlineStr">
        <is>
          <t>是</t>
        </is>
      </c>
      <c r="K445" s="3" t="inlineStr">
        <is>
          <t>ENVIRONMENTAL MICROBIOLOGY</t>
        </is>
      </c>
      <c r="L445" s="3" t="inlineStr">
        <is>
          <t>Environmental Microbiology</t>
        </is>
      </c>
      <c r="M445" s="3" t="inlineStr">
        <is>
          <t>1462-2912</t>
        </is>
      </c>
      <c r="N445" s="3" t="inlineStr">
        <is>
          <t>1462-2920</t>
        </is>
      </c>
      <c r="O445" s="3" t="inlineStr">
        <is>
          <t>已取得核验全文</t>
        </is>
      </c>
      <c r="P445" s="3" t="inlineStr">
        <is>
          <t>是</t>
        </is>
      </c>
      <c r="Q445" s="3" t="inlineStr">
        <is>
          <t>当前无补充材料原件；沿用既有缺失/无附件证据，不据此认定无附件</t>
        </is>
      </c>
      <c r="R445" s="3" t="n">
        <v>2024</v>
      </c>
      <c r="S445" s="3" t="inlineStr">
        <is>
          <t>2025发布版（2024指标年）</t>
        </is>
      </c>
      <c r="T445" s="3" t="inlineStr">
        <is>
          <t>MICROBIOLOGY</t>
        </is>
      </c>
      <c r="U445" s="3" t="inlineStr">
        <is>
          <t>MICROBIOLOGY: Q2</t>
        </is>
      </c>
      <c r="V445" s="3" t="inlineStr">
        <is>
          <t>否</t>
        </is>
      </c>
      <c r="W445" s="3" t="inlineStr">
        <is>
          <t>否</t>
        </is>
      </c>
      <c r="X445" s="3" t="inlineStr">
        <is>
          <t>是</t>
        </is>
      </c>
      <c r="Y445" s="3" t="inlineStr">
        <is>
          <t>https://topj.lib.whu.edu.cn/show.asp?cat=zk&amp;id=6580</t>
        </is>
      </c>
      <c r="Z445" s="3" t="inlineStr">
        <is>
          <t>https://api.crossref.org/works/10.1111/1462-2920.15124</t>
        </is>
      </c>
      <c r="AA44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45" s="3" t="inlineStr">
        <is>
          <t>original_files/R13862/fulltext/fulltext__published__64e03a9beb5813a0.pdf</t>
        </is>
      </c>
      <c r="AC445" s="3" t="inlineStr"/>
      <c r="AD445" s="3" t="inlineStr">
        <is>
          <t>https://github.com/Colliam-Vermilion/FirstCodex/blob/results/ad-oxygen-literature-20261006/results/ad-oxygen-literature-20261006/original_files/R13862/fulltext/fulltext__published__64e03a9beb5813a0.pdf</t>
        </is>
      </c>
    </row>
    <row r="446" ht="48" customHeight="1">
      <c r="A446" s="2" t="inlineStr">
        <is>
          <t>R13863</t>
        </is>
      </c>
      <c r="B446" s="2" t="inlineStr">
        <is>
          <t>Biochemical methane potential from sewage sludge: Effect of an aerobic pretreatment and fly ash addition as source of trace elements.</t>
        </is>
      </c>
      <c r="C446" s="2" t="inlineStr">
        <is>
          <t>2017</t>
        </is>
      </c>
      <c r="D446" s="2" t="inlineStr">
        <is>
          <t>2017</t>
        </is>
      </c>
      <c r="E446" s="2" t="inlineStr">
        <is>
          <t>10.1016/j.wasman.2017.03.023</t>
        </is>
      </c>
      <c r="F446" s="2" t="inlineStr">
        <is>
          <t>期刊文章</t>
        </is>
      </c>
      <c r="G446" s="2" t="inlineStr">
        <is>
          <t>3 独立好氧或微好氧预处理</t>
        </is>
      </c>
      <c r="H446" s="2" t="inlineStr">
        <is>
          <t>是</t>
        </is>
      </c>
      <c r="I446" s="2" t="inlineStr">
        <is>
          <t>研究类</t>
        </is>
      </c>
      <c r="J446" s="2" t="inlineStr">
        <is>
          <t>是</t>
        </is>
      </c>
      <c r="K446" s="2" t="inlineStr">
        <is>
          <t>Waste Management</t>
        </is>
      </c>
      <c r="L446" s="2" t="inlineStr">
        <is>
          <t>Waste management (New York, N.Y.)</t>
        </is>
      </c>
      <c r="M446" s="2" t="inlineStr">
        <is>
          <t>0956-053X</t>
        </is>
      </c>
      <c r="N446" s="2" t="inlineStr"/>
      <c r="O446" s="2" t="inlineStr">
        <is>
          <t>已取得核验全文</t>
        </is>
      </c>
      <c r="P446" s="2" t="inlineStr">
        <is>
          <t>是</t>
        </is>
      </c>
      <c r="Q446" s="2" t="inlineStr">
        <is>
          <t>已取得1件原格式补充材料；其中1件唯一关联待核实；完整性未确认</t>
        </is>
      </c>
      <c r="R446" s="2" t="n">
        <v>2024</v>
      </c>
      <c r="S446" s="2" t="inlineStr">
        <is>
          <t>2025发布版（2024指标年）</t>
        </is>
      </c>
      <c r="T446" s="2" t="inlineStr">
        <is>
          <t>ENGINEERING, ENVIRONMENTAL; ENVIRONMENTAL SCIENCES</t>
        </is>
      </c>
      <c r="U446" s="2" t="inlineStr">
        <is>
          <t>ENGINEERING, ENVIRONMENTAL: Q1; ENVIRONMENTAL SCIENCES: Q1</t>
        </is>
      </c>
      <c r="V446" s="4" t="inlineStr">
        <is>
          <t>是</t>
        </is>
      </c>
      <c r="W446" s="4" t="inlineStr">
        <is>
          <t>是</t>
        </is>
      </c>
      <c r="X446" s="2" t="inlineStr">
        <is>
          <t>是</t>
        </is>
      </c>
      <c r="Y446" s="2" t="inlineStr">
        <is>
          <t>https://topj.lib.whu.edu.cn/show.asp?cat=zk&amp;id=4000</t>
        </is>
      </c>
      <c r="Z446" s="2" t="inlineStr">
        <is>
          <t>https://api.crossref.org/works/10.1016/j.wasman.2017.03.023</t>
        </is>
      </c>
      <c r="AA44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46" s="2" t="inlineStr">
        <is>
          <t>original_files/R13863/fulltext/fulltext__published__5ad8c9f9f4fa457a.pdf</t>
        </is>
      </c>
      <c r="AC446" s="2" t="inlineStr">
        <is>
          <t>original_files/R13863/supplementary/supplementary__c96aa2a350b0c45a.docx</t>
        </is>
      </c>
      <c r="AD446" s="2" t="inlineStr">
        <is>
          <t>https://github.com/Colliam-Vermilion/FirstCodex/blob/results/ad-oxygen-literature-20261006/results/ad-oxygen-literature-20261006/original_files/R13863/fulltext/fulltext__published__5ad8c9f9f4fa457a.pdf</t>
        </is>
      </c>
    </row>
    <row r="447" ht="48" customHeight="1">
      <c r="A447" s="3" t="inlineStr">
        <is>
          <t>R13864</t>
        </is>
      </c>
      <c r="B447" s="3" t="inlineStr">
        <is>
          <t>Microaeration promotes volatile siloxanes conversion to methane and simpler monomeric products</t>
        </is>
      </c>
      <c r="C447" s="3" t="inlineStr">
        <is>
          <t>2024</t>
        </is>
      </c>
      <c r="D447" s="3" t="inlineStr">
        <is>
          <t>2024</t>
        </is>
      </c>
      <c r="E447" s="3" t="inlineStr">
        <is>
          <t>10.1016/j.biortech.2024.130673</t>
        </is>
      </c>
      <c r="F447" s="3" t="inlineStr">
        <is>
          <t>期刊文章</t>
        </is>
      </c>
      <c r="G447" s="3" t="inlineStr">
        <is>
          <t>1 直接向 AD 反应器或内部循环系统供氧</t>
        </is>
      </c>
      <c r="H447" s="3" t="inlineStr">
        <is>
          <t>是</t>
        </is>
      </c>
      <c r="I447" s="3" t="inlineStr">
        <is>
          <t>研究类</t>
        </is>
      </c>
      <c r="J447" s="3" t="inlineStr">
        <is>
          <t>是</t>
        </is>
      </c>
      <c r="K447" s="3" t="inlineStr">
        <is>
          <t>BIORESOURCE TECHNOLOGY</t>
        </is>
      </c>
      <c r="L447" s="3" t="inlineStr">
        <is>
          <t>Bioresource Technology</t>
        </is>
      </c>
      <c r="M447" s="3" t="inlineStr">
        <is>
          <t>0960-8524</t>
        </is>
      </c>
      <c r="N447" s="3" t="inlineStr"/>
      <c r="O447" s="3" t="inlineStr">
        <is>
          <t>已取得核验全文</t>
        </is>
      </c>
      <c r="P447" s="3" t="inlineStr">
        <is>
          <t>是</t>
        </is>
      </c>
      <c r="Q447" s="3" t="inlineStr">
        <is>
          <t>已取得1件原格式补充材料；其中1件唯一关联待核实；完整性未确认</t>
        </is>
      </c>
      <c r="R447" s="3" t="n">
        <v>2024</v>
      </c>
      <c r="S447" s="3" t="inlineStr">
        <is>
          <t>2025发布版（2024指标年）</t>
        </is>
      </c>
      <c r="T447" s="3" t="inlineStr">
        <is>
          <t>AGRICULTURAL ENGINEERING; BIOTECHNOLOGY &amp; APPLIED MICROBIOLOGY; ENERGY &amp; FUELS</t>
        </is>
      </c>
      <c r="U447" s="3" t="inlineStr">
        <is>
          <t>AGRICULTURAL ENGINEERING: Q1; BIOTECHNOLOGY &amp; APPLIED MICROBIOLOGY: Q1; ENERGY &amp; FUELS: Q1</t>
        </is>
      </c>
      <c r="V447" s="4" t="inlineStr">
        <is>
          <t>是</t>
        </is>
      </c>
      <c r="W447" s="4" t="inlineStr">
        <is>
          <t>是</t>
        </is>
      </c>
      <c r="X447" s="3" t="inlineStr">
        <is>
          <t>是</t>
        </is>
      </c>
      <c r="Y447" s="3" t="inlineStr">
        <is>
          <t>https://topj.lib.whu.edu.cn/show.asp?cat=zk&amp;id=3976</t>
        </is>
      </c>
      <c r="Z447" s="3" t="inlineStr">
        <is>
          <t>https://api.crossref.org/works/10.1016/j.biortech.2024.130673</t>
        </is>
      </c>
      <c r="AA44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47" s="3" t="inlineStr">
        <is>
          <t>original_files/R13864/fulltext/fulltext__published__9305bd8c9ccdcd40.pdf</t>
        </is>
      </c>
      <c r="AC447" s="3" t="inlineStr">
        <is>
          <t>original_files/R13864/supplementary/supplementary__6a06b7a325461f76.docx</t>
        </is>
      </c>
      <c r="AD447" s="3" t="inlineStr">
        <is>
          <t>https://github.com/Colliam-Vermilion/FirstCodex/blob/results/ad-oxygen-literature-20261006/results/ad-oxygen-literature-20261006/original_files/R13864/fulltext/fulltext__published__9305bd8c9ccdcd40.pdf</t>
        </is>
      </c>
    </row>
    <row r="448" ht="48" customHeight="1">
      <c r="A448" s="2" t="inlineStr">
        <is>
          <t>R13865</t>
        </is>
      </c>
      <c r="B448" s="2" t="inlineStr">
        <is>
          <t>Enhanced biodegradation of pyridine using sequencing batch biofilm reactor under intermittent micro-aerobic condition</t>
        </is>
      </c>
      <c r="C448" s="2" t="inlineStr">
        <is>
          <t>2020</t>
        </is>
      </c>
      <c r="D448" s="2" t="inlineStr">
        <is>
          <t>2020</t>
        </is>
      </c>
      <c r="E448" s="2" t="inlineStr">
        <is>
          <t>10.1080/09593330.2018.1518995</t>
        </is>
      </c>
      <c r="F448" s="2" t="inlineStr">
        <is>
          <t>期刊文章</t>
        </is>
      </c>
      <c r="G448" s="2" t="inlineStr">
        <is>
          <t>5 排除</t>
        </is>
      </c>
      <c r="H448" s="2" t="inlineStr">
        <is>
          <t>否</t>
        </is>
      </c>
      <c r="I448" s="2" t="inlineStr">
        <is>
          <t>研究类</t>
        </is>
      </c>
      <c r="J448" s="2" t="inlineStr">
        <is>
          <t>否</t>
        </is>
      </c>
      <c r="K448" s="2" t="inlineStr">
        <is>
          <t>ENVIRONMENTAL TECHNOLOGY</t>
        </is>
      </c>
      <c r="L448" s="2" t="inlineStr">
        <is>
          <t>Environmental Technology</t>
        </is>
      </c>
      <c r="M448" s="2" t="inlineStr">
        <is>
          <t>0959-3330</t>
        </is>
      </c>
      <c r="N448" s="2" t="inlineStr">
        <is>
          <t>1479-487X</t>
        </is>
      </c>
      <c r="O448" s="2" t="inlineStr">
        <is>
          <t>未取得全文</t>
        </is>
      </c>
      <c r="P448" s="2" t="inlineStr">
        <is>
          <t>否</t>
        </is>
      </c>
      <c r="Q448" s="2" t="inlineStr">
        <is>
          <t>当前无补充材料原件；沿用既有缺失/无附件证据，不据此认定无附件</t>
        </is>
      </c>
      <c r="R448" s="2" t="n">
        <v>2024</v>
      </c>
      <c r="S448" s="2" t="inlineStr">
        <is>
          <t>2025发布版（2024指标年）</t>
        </is>
      </c>
      <c r="T448" s="2" t="inlineStr">
        <is>
          <t>ENVIRONMENTAL SCIENCES</t>
        </is>
      </c>
      <c r="U448" s="2" t="inlineStr">
        <is>
          <t>ENVIRONMENTAL SCIENCES: Q3</t>
        </is>
      </c>
      <c r="V448" s="2" t="inlineStr">
        <is>
          <t>否</t>
        </is>
      </c>
      <c r="W448" s="2" t="inlineStr">
        <is>
          <t>否</t>
        </is>
      </c>
      <c r="X448" s="2" t="inlineStr">
        <is>
          <t>是</t>
        </is>
      </c>
      <c r="Y448" s="2" t="inlineStr">
        <is>
          <t>https://topj.lib.whu.edu.cn/searchxk1.asp?ordertype=desc&amp;page=11&amp;q=&amp;xk=488</t>
        </is>
      </c>
      <c r="Z448" s="2" t="inlineStr">
        <is>
          <t>https://api.crossref.org/works/10.1080/09593330.2018.1518995</t>
        </is>
      </c>
      <c r="AA448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448" s="2" t="inlineStr"/>
      <c r="AC448" s="2" t="inlineStr"/>
      <c r="AD448" s="2" t="inlineStr"/>
    </row>
    <row r="449" ht="48" customHeight="1">
      <c r="A449" s="3" t="inlineStr">
        <is>
          <t>R13866</t>
        </is>
      </c>
      <c r="B449" s="3" t="inlineStr">
        <is>
          <t>Coupling Iron Sludge Addition and Intermittent Aeration for Achieving Simultaneous Methanogenesis, Feammox, and Denitrification in a Single Reactor Treating Fish Sludge</t>
        </is>
      </c>
      <c r="C449" s="3" t="inlineStr">
        <is>
          <t>2023</t>
        </is>
      </c>
      <c r="D449" s="3" t="inlineStr">
        <is>
          <t>2023</t>
        </is>
      </c>
      <c r="E449" s="3" t="inlineStr">
        <is>
          <t>10.1021/acs.est.3c03009</t>
        </is>
      </c>
      <c r="F449" s="3" t="inlineStr">
        <is>
          <t>期刊文章</t>
        </is>
      </c>
      <c r="G449" s="3" t="inlineStr">
        <is>
          <t>1 直接向 AD 反应器或内部循环系统供氧</t>
        </is>
      </c>
      <c r="H449" s="3" t="inlineStr">
        <is>
          <t>是</t>
        </is>
      </c>
      <c r="I449" s="3" t="inlineStr">
        <is>
          <t>研究类</t>
        </is>
      </c>
      <c r="J449" s="3" t="inlineStr">
        <is>
          <t>是</t>
        </is>
      </c>
      <c r="K449" s="3" t="inlineStr">
        <is>
          <t>ENVIRONMENTAL SCIENCE &amp; TECHNOLOGY</t>
        </is>
      </c>
      <c r="L449" s="3" t="inlineStr">
        <is>
          <t>Environmental Science &amp;amp; Technology</t>
        </is>
      </c>
      <c r="M449" s="3" t="inlineStr">
        <is>
          <t>0013-936X</t>
        </is>
      </c>
      <c r="N449" s="3" t="inlineStr">
        <is>
          <t>1520-5851</t>
        </is>
      </c>
      <c r="O449" s="3" t="inlineStr">
        <is>
          <t>已取得核验全文</t>
        </is>
      </c>
      <c r="P449" s="3" t="inlineStr">
        <is>
          <t>是</t>
        </is>
      </c>
      <c r="Q449" s="3" t="inlineStr">
        <is>
          <t>已取得1件原格式补充材料；其中0件唯一关联待核实；完整性未确认</t>
        </is>
      </c>
      <c r="R449" s="3" t="n">
        <v>2024</v>
      </c>
      <c r="S449" s="3" t="inlineStr">
        <is>
          <t>2025发布版（2024指标年）</t>
        </is>
      </c>
      <c r="T449" s="3" t="inlineStr">
        <is>
          <t>ENGINEERING, ENVIRONMENTAL; ENVIRONMENTAL SCIENCES</t>
        </is>
      </c>
      <c r="U449" s="3" t="inlineStr">
        <is>
          <t>ENGINEERING, ENVIRONMENTAL: Q1; ENVIRONMENTAL SCIENCES: Q1</t>
        </is>
      </c>
      <c r="V449" s="4" t="inlineStr">
        <is>
          <t>是</t>
        </is>
      </c>
      <c r="W449" s="4" t="inlineStr">
        <is>
          <t>是</t>
        </is>
      </c>
      <c r="X449" s="3" t="inlineStr">
        <is>
          <t>是</t>
        </is>
      </c>
      <c r="Y449" s="3" t="inlineStr">
        <is>
          <t>https://topj.lib.whu.edu.cn/show.asp?cat=zk&amp;id=3966</t>
        </is>
      </c>
      <c r="Z449" s="3" t="inlineStr">
        <is>
          <t>https://api.crossref.org/works/10.1021/acs.est.3c03009</t>
        </is>
      </c>
      <c r="AA44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49" s="3" t="inlineStr">
        <is>
          <t>original_files/R13866/fulltext/fulltext__published__fda48f96690b9d81.pdf</t>
        </is>
      </c>
      <c r="AC449" s="3" t="inlineStr">
        <is>
          <t>original_files/R13866/supplementary/supplementary__71bc717ce22b8bf2.pdf</t>
        </is>
      </c>
      <c r="AD449" s="3" t="inlineStr">
        <is>
          <t>https://github.com/Colliam-Vermilion/FirstCodex/blob/results/ad-oxygen-literature-20261006/results/ad-oxygen-literature-20261006/original_files/R13866/fulltext/fulltext__published__fda48f96690b9d81.pdf</t>
        </is>
      </c>
    </row>
    <row r="450" ht="48" customHeight="1">
      <c r="A450" s="2" t="inlineStr">
        <is>
          <t>R13867</t>
        </is>
      </c>
      <c r="B450" s="2" t="inlineStr">
        <is>
          <t>Digester Microaeration: A Comprehensive Full-Scale Case Study</t>
        </is>
      </c>
      <c r="C450" s="2" t="inlineStr">
        <is>
          <t>2025</t>
        </is>
      </c>
      <c r="D450" s="2" t="inlineStr">
        <is>
          <t>2025</t>
        </is>
      </c>
      <c r="E450" s="2" t="inlineStr">
        <is>
          <t>10.2175/193864718825159749</t>
        </is>
      </c>
      <c r="F450" s="2" t="inlineStr">
        <is>
          <t>会议研究论文（非期刊文章）</t>
        </is>
      </c>
      <c r="G450" s="2" t="inlineStr">
        <is>
          <t>1 直接向 AD 反应器或内部循环系统供氧</t>
        </is>
      </c>
      <c r="H450" s="2" t="inlineStr">
        <is>
          <t>是</t>
        </is>
      </c>
      <c r="I450" s="2" t="inlineStr">
        <is>
          <t>会议/非期刊</t>
        </is>
      </c>
      <c r="J450" s="2" t="inlineStr">
        <is>
          <t>否</t>
        </is>
      </c>
      <c r="K450" s="2" t="inlineStr">
        <is>
          <t>Proceedings of the Water Environment Federation</t>
        </is>
      </c>
      <c r="L450" s="2" t="inlineStr">
        <is>
          <t>Proceedings of the Water Environment Federation</t>
        </is>
      </c>
      <c r="M450" s="2" t="inlineStr"/>
      <c r="N450" s="2" t="inlineStr"/>
      <c r="O450" s="2" t="inlineStr">
        <is>
          <t>未取得全文</t>
        </is>
      </c>
      <c r="P450" s="2" t="inlineStr">
        <is>
          <t>否</t>
        </is>
      </c>
      <c r="Q450" s="2" t="inlineStr">
        <is>
          <t>当前无补充材料原件；沿用既有缺失/无附件证据，不据此认定无附件</t>
        </is>
      </c>
      <c r="R450" s="2" t="inlineStr"/>
      <c r="S450" s="2" t="inlineStr"/>
      <c r="T450" s="2" t="inlineStr"/>
      <c r="U450" s="2" t="inlineStr"/>
      <c r="V450" s="2" t="inlineStr">
        <is>
          <t>不适用</t>
        </is>
      </c>
      <c r="W450" s="2" t="inlineStr">
        <is>
          <t>不适用</t>
        </is>
      </c>
      <c r="X450" s="2" t="inlineStr">
        <is>
          <t>不适用</t>
        </is>
      </c>
      <c r="Y450" s="2" t="inlineStr"/>
      <c r="Z450" s="2" t="inlineStr">
        <is>
          <t>https://api.crossref.org/works/10.2175/193864718825159749</t>
        </is>
      </c>
      <c r="AA450" s="2" t="inlineStr">
        <is>
          <t>非目标期刊论文或类型待核实，不进入JCR分母</t>
        </is>
      </c>
      <c r="AB450" s="2" t="inlineStr"/>
      <c r="AC450" s="2" t="inlineStr"/>
      <c r="AD450" s="2" t="inlineStr"/>
    </row>
    <row r="451" ht="48" customHeight="1">
      <c r="A451" s="3" t="inlineStr">
        <is>
          <t>R13868</t>
        </is>
      </c>
      <c r="B451" s="3" t="inlineStr">
        <is>
          <t>Effect of microaerophilic treatment on swine wastewater (SWW) treatment: Engineering and microbiological aspects</t>
        </is>
      </c>
      <c r="C451" s="3" t="inlineStr">
        <is>
          <t>2021</t>
        </is>
      </c>
      <c r="D451" s="3" t="inlineStr">
        <is>
          <t>2021</t>
        </is>
      </c>
      <c r="E451" s="3" t="inlineStr">
        <is>
          <t>10.1016/j.jenvman.2021.113598</t>
        </is>
      </c>
      <c r="F451" s="3" t="inlineStr">
        <is>
          <t>期刊文章</t>
        </is>
      </c>
      <c r="G451" s="3" t="inlineStr">
        <is>
          <t>1 直接向 AD 反应器或内部循环系统供氧</t>
        </is>
      </c>
      <c r="H451" s="3" t="inlineStr">
        <is>
          <t>是</t>
        </is>
      </c>
      <c r="I451" s="3" t="inlineStr">
        <is>
          <t>研究类</t>
        </is>
      </c>
      <c r="J451" s="3" t="inlineStr">
        <is>
          <t>是</t>
        </is>
      </c>
      <c r="K451" s="3" t="inlineStr">
        <is>
          <t>Journal of Environmental Management</t>
        </is>
      </c>
      <c r="L451" s="3" t="inlineStr">
        <is>
          <t>Journal of Environmental Management</t>
        </is>
      </c>
      <c r="M451" s="3" t="inlineStr">
        <is>
          <t>0301-4797</t>
        </is>
      </c>
      <c r="N451" s="3" t="inlineStr"/>
      <c r="O451" s="3" t="inlineStr">
        <is>
          <t>已取得核验全文</t>
        </is>
      </c>
      <c r="P451" s="3" t="inlineStr">
        <is>
          <t>是</t>
        </is>
      </c>
      <c r="Q451" s="3" t="inlineStr">
        <is>
          <t>已取得1件原格式补充材料；其中0件唯一关联待核实；完整性未确认</t>
        </is>
      </c>
      <c r="R451" s="3" t="n">
        <v>2024</v>
      </c>
      <c r="S451" s="3" t="inlineStr">
        <is>
          <t>2025发布版（2024指标年）</t>
        </is>
      </c>
      <c r="T451" s="3" t="inlineStr">
        <is>
          <t>ENVIRONMENTAL SCIENCES</t>
        </is>
      </c>
      <c r="U451" s="3" t="inlineStr">
        <is>
          <t>ENVIRONMENTAL SCIENCES: Q1</t>
        </is>
      </c>
      <c r="V451" s="4" t="inlineStr">
        <is>
          <t>是</t>
        </is>
      </c>
      <c r="W451" s="4" t="inlineStr">
        <is>
          <t>是</t>
        </is>
      </c>
      <c r="X451" s="3" t="inlineStr">
        <is>
          <t>是</t>
        </is>
      </c>
      <c r="Y451" s="3" t="inlineStr">
        <is>
          <t>https://topj.lib.whu.edu.cn/show.asp?cat=sci&amp;id=6965</t>
        </is>
      </c>
      <c r="Z451" s="3" t="inlineStr">
        <is>
          <t>https://api.crossref.org/works/10.1016/j.jenvman.2021.113598</t>
        </is>
      </c>
      <c r="AA45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51" s="3" t="inlineStr">
        <is>
          <t>original_files/R13868/fulltext/fulltext__published__2ddb3068ef12cffb.pdf</t>
        </is>
      </c>
      <c r="AC451" s="3" t="inlineStr">
        <is>
          <t>original_files/R13868/supplementary/supplementary__a195d13f468251d6.docx</t>
        </is>
      </c>
      <c r="AD451" s="3" t="inlineStr">
        <is>
          <t>https://github.com/Colliam-Vermilion/FirstCodex/blob/results/ad-oxygen-literature-20261006/results/ad-oxygen-literature-20261006/original_files/R13868/fulltext/fulltext__published__2ddb3068ef12cffb.pdf</t>
        </is>
      </c>
    </row>
    <row r="452" ht="48" customHeight="1">
      <c r="A452" s="2" t="inlineStr">
        <is>
          <t>R13869</t>
        </is>
      </c>
      <c r="B452" s="2" t="inlineStr">
        <is>
          <t>Increase of biogas production from pretreated hay and leaves using wood-rotting fungi</t>
        </is>
      </c>
      <c r="C452" s="2" t="inlineStr">
        <is>
          <t>2012</t>
        </is>
      </c>
      <c r="D452" s="2" t="inlineStr">
        <is>
          <t>2012</t>
        </is>
      </c>
      <c r="E452" s="2" t="inlineStr">
        <is>
          <t>10.2478/s11696-012-0171-1</t>
        </is>
      </c>
      <c r="F452" s="2" t="inlineStr">
        <is>
          <t>期刊文章</t>
        </is>
      </c>
      <c r="G452" s="2" t="inlineStr">
        <is>
          <t>5 排除</t>
        </is>
      </c>
      <c r="H452" s="2" t="inlineStr">
        <is>
          <t>否</t>
        </is>
      </c>
      <c r="I452" s="2" t="inlineStr">
        <is>
          <t>研究类</t>
        </is>
      </c>
      <c r="J452" s="2" t="inlineStr">
        <is>
          <t>否</t>
        </is>
      </c>
      <c r="K452" s="2" t="inlineStr">
        <is>
          <t>Chemical Papers</t>
        </is>
      </c>
      <c r="L452" s="2" t="inlineStr">
        <is>
          <t>Chemical Papers</t>
        </is>
      </c>
      <c r="M452" s="2" t="inlineStr"/>
      <c r="N452" s="2" t="inlineStr">
        <is>
          <t>1336-9075</t>
        </is>
      </c>
      <c r="O452" s="2" t="inlineStr">
        <is>
          <t>未取得全文</t>
        </is>
      </c>
      <c r="P452" s="2" t="inlineStr">
        <is>
          <t>否</t>
        </is>
      </c>
      <c r="Q452" s="2" t="inlineStr">
        <is>
          <t>当前无补充材料原件；沿用既有缺失/无附件证据，不据此认定无附件</t>
        </is>
      </c>
      <c r="R452" s="2" t="n">
        <v>2024</v>
      </c>
      <c r="S452" s="2" t="inlineStr">
        <is>
          <t>2025发布版（2024指标年）</t>
        </is>
      </c>
      <c r="T452" s="2" t="inlineStr"/>
      <c r="U452" s="2" t="inlineStr"/>
      <c r="V452" s="2" t="inlineStr">
        <is>
          <t>待核实</t>
        </is>
      </c>
      <c r="W452" s="2" t="inlineStr">
        <is>
          <t>待核实</t>
        </is>
      </c>
      <c r="X452" s="2" t="inlineStr">
        <is>
          <t>否</t>
        </is>
      </c>
      <c r="Y452" s="2" t="inlineStr"/>
      <c r="Z452" s="2" t="inlineStr">
        <is>
          <t>https://api.crossref.org/works/10.2478/s11696-012-0171-1</t>
        </is>
      </c>
      <c r="AA452" s="2" t="inlineStr">
        <is>
          <t>2024指标年JCR分区未核实；空白不能当非Q1。需要2025发布版/2024指标年的JCR全部学科导出。</t>
        </is>
      </c>
      <c r="AB452" s="2" t="inlineStr"/>
      <c r="AC452" s="2" t="inlineStr"/>
      <c r="AD452" s="2" t="inlineStr"/>
    </row>
    <row r="453" ht="48" customHeight="1">
      <c r="A453" s="3" t="inlineStr">
        <is>
          <t>R13870</t>
        </is>
      </c>
      <c r="B453" s="3" t="inlineStr">
        <is>
          <t>Fungal pretreatment of rice straw with Pleurotus ostreatus and Trichoderma reesei to enhance methane production under solid-state anaerobic digestion</t>
        </is>
      </c>
      <c r="C453" s="3" t="inlineStr">
        <is>
          <t>2016</t>
        </is>
      </c>
      <c r="D453" s="3" t="inlineStr">
        <is>
          <t>2016</t>
        </is>
      </c>
      <c r="E453" s="3" t="inlineStr">
        <is>
          <t>10.1016/j.apenergy.2016.07.135</t>
        </is>
      </c>
      <c r="F453" s="3" t="inlineStr">
        <is>
          <t>期刊文章</t>
        </is>
      </c>
      <c r="G453" s="3" t="inlineStr">
        <is>
          <t>5 排除</t>
        </is>
      </c>
      <c r="H453" s="3" t="inlineStr">
        <is>
          <t>否</t>
        </is>
      </c>
      <c r="I453" s="3" t="inlineStr">
        <is>
          <t>研究类</t>
        </is>
      </c>
      <c r="J453" s="3" t="inlineStr">
        <is>
          <t>否</t>
        </is>
      </c>
      <c r="K453" s="3" t="inlineStr">
        <is>
          <t>APPLIED ENERGY</t>
        </is>
      </c>
      <c r="L453" s="3" t="inlineStr">
        <is>
          <t>Applied Energy</t>
        </is>
      </c>
      <c r="M453" s="3" t="inlineStr">
        <is>
          <t>0306-2619</t>
        </is>
      </c>
      <c r="N453" s="3" t="inlineStr"/>
      <c r="O453" s="3" t="inlineStr">
        <is>
          <t>未取得全文</t>
        </is>
      </c>
      <c r="P453" s="3" t="inlineStr">
        <is>
          <t>否</t>
        </is>
      </c>
      <c r="Q453" s="3" t="inlineStr">
        <is>
          <t>当前无补充材料原件；沿用既有缺失/无附件证据，不据此认定无附件</t>
        </is>
      </c>
      <c r="R453" s="3" t="n">
        <v>2024</v>
      </c>
      <c r="S453" s="3" t="inlineStr">
        <is>
          <t>2025发布版（2024指标年）</t>
        </is>
      </c>
      <c r="T453" s="3" t="inlineStr">
        <is>
          <t>ENERGY &amp; FUELS; ENGINEERING, CHEMICAL</t>
        </is>
      </c>
      <c r="U453" s="3" t="inlineStr">
        <is>
          <t>ENERGY &amp; FUELS: Q1; ENGINEERING, CHEMICAL: Q1</t>
        </is>
      </c>
      <c r="V453" s="4" t="inlineStr">
        <is>
          <t>是</t>
        </is>
      </c>
      <c r="W453" s="4" t="inlineStr">
        <is>
          <t>是</t>
        </is>
      </c>
      <c r="X453" s="3" t="inlineStr">
        <is>
          <t>是</t>
        </is>
      </c>
      <c r="Y453" s="3" t="inlineStr">
        <is>
          <t>https://topj.lib.whu.edu.cn/show.asp?cat=sci&amp;id=5830</t>
        </is>
      </c>
      <c r="Z453" s="3" t="inlineStr">
        <is>
          <t>https://api.crossref.org/works/10.1016/j.apenergy.2016.07.135</t>
        </is>
      </c>
      <c r="AA45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53" s="3" t="inlineStr"/>
      <c r="AC453" s="3" t="inlineStr"/>
      <c r="AD453" s="3" t="inlineStr"/>
    </row>
    <row r="454" ht="48" customHeight="1">
      <c r="A454" s="2" t="inlineStr">
        <is>
          <t>R13871</t>
        </is>
      </c>
      <c r="B454" s="2" t="inlineStr">
        <is>
          <t>Application of Microbubbles Generated by Fluidic Oscillation in the Anaerobic Digestion Process</t>
        </is>
      </c>
      <c r="C454" s="2" t="inlineStr">
        <is>
          <t>2013</t>
        </is>
      </c>
      <c r="D454" s="2" t="inlineStr">
        <is>
          <t>2013</t>
        </is>
      </c>
      <c r="E454" s="2" t="inlineStr"/>
      <c r="F454" s="2" t="inlineStr">
        <is>
          <t>博士论文（White Rose仓储索引；授予详情未读原仓储页）</t>
        </is>
      </c>
      <c r="G454" s="2" t="inlineStr">
        <is>
          <t>1 直接向 AD 反应器或内部循环系统供氧</t>
        </is>
      </c>
      <c r="H454" s="2" t="inlineStr">
        <is>
          <t>是</t>
        </is>
      </c>
      <c r="I454" s="2" t="inlineStr">
        <is>
          <t>学位/学生报告</t>
        </is>
      </c>
      <c r="J454" s="2" t="inlineStr">
        <is>
          <t>否</t>
        </is>
      </c>
      <c r="K454" s="2" t="inlineStr">
        <is>
          <t>White Rose eTheses Online (University of Leeds, The University of Sheffield, University of York)</t>
        </is>
      </c>
      <c r="L454" s="2" t="inlineStr">
        <is>
          <t>White Rose eTheses Online (University of Leeds, The University of Sheffield, University of York)</t>
        </is>
      </c>
      <c r="M454" s="2" t="inlineStr"/>
      <c r="N454" s="2" t="inlineStr"/>
      <c r="O454" s="2" t="inlineStr">
        <is>
          <t>已取得核验全文</t>
        </is>
      </c>
      <c r="P454" s="2" t="inlineStr">
        <is>
          <t>是</t>
        </is>
      </c>
      <c r="Q454" s="2" t="inlineStr">
        <is>
          <t>当前无补充材料原件；沿用既有缺失/无附件证据，不据此认定无附件</t>
        </is>
      </c>
      <c r="R454" s="2" t="inlineStr"/>
      <c r="S454" s="2" t="inlineStr"/>
      <c r="T454" s="2" t="inlineStr"/>
      <c r="U454" s="2" t="inlineStr"/>
      <c r="V454" s="2" t="inlineStr">
        <is>
          <t>不适用</t>
        </is>
      </c>
      <c r="W454" s="2" t="inlineStr">
        <is>
          <t>不适用</t>
        </is>
      </c>
      <c r="X454" s="2" t="inlineStr">
        <is>
          <t>不适用</t>
        </is>
      </c>
      <c r="Y454" s="2" t="inlineStr"/>
      <c r="Z454" s="2" t="inlineStr"/>
      <c r="AA454" s="2" t="inlineStr">
        <is>
          <t>非目标期刊论文或类型待核实，不进入JCR分母</t>
        </is>
      </c>
      <c r="AB454" s="2" t="inlineStr">
        <is>
          <t>original_files/R13871/fulltext/fulltext__thesis__aeab3126b6e68775.pdf</t>
        </is>
      </c>
      <c r="AC454" s="2" t="inlineStr"/>
      <c r="AD454" s="2" t="inlineStr">
        <is>
          <t>https://github.com/Colliam-Vermilion/FirstCodex/blob/results/ad-oxygen-literature-20261006/results/ad-oxygen-literature-20261006/original_files/R13871/fulltext/fulltext__thesis__aeab3126b6e68775.pdf</t>
        </is>
      </c>
    </row>
    <row r="455" ht="48" customHeight="1">
      <c r="A455" s="3" t="inlineStr">
        <is>
          <t>R13872</t>
        </is>
      </c>
      <c r="B455" s="3" t="inlineStr">
        <is>
          <t>‘Leidenfrost Like Effect Exhibited by Microbubbles for Biological Systems such as Anaerobic Fermenters’</t>
        </is>
      </c>
      <c r="C455" s="3" t="inlineStr">
        <is>
          <t>2017</t>
        </is>
      </c>
      <c r="D455" s="3" t="inlineStr">
        <is>
          <t>2017</t>
        </is>
      </c>
      <c r="E455" s="3" t="inlineStr"/>
      <c r="F455" s="3" t="inlineStr">
        <is>
          <t>文献类型尚未核实（综述引用线索）</t>
        </is>
      </c>
      <c r="G455" s="3" t="inlineStr">
        <is>
          <t>5 排除</t>
        </is>
      </c>
      <c r="H455" s="3" t="inlineStr">
        <is>
          <t>否</t>
        </is>
      </c>
      <c r="I455" s="3" t="inlineStr">
        <is>
          <t>类型待核实</t>
        </is>
      </c>
      <c r="J455" s="3" t="inlineStr">
        <is>
          <t>否</t>
        </is>
      </c>
      <c r="K455" s="3" t="inlineStr"/>
      <c r="L455" s="3" t="inlineStr"/>
      <c r="M455" s="3" t="inlineStr"/>
      <c r="N455" s="3" t="inlineStr"/>
      <c r="O455" s="3" t="inlineStr">
        <is>
          <t>未取得全文</t>
        </is>
      </c>
      <c r="P455" s="3" t="inlineStr">
        <is>
          <t>否</t>
        </is>
      </c>
      <c r="Q455" s="3" t="inlineStr">
        <is>
          <t>当前无补充材料原件；沿用既有缺失/无附件证据，不据此认定无附件</t>
        </is>
      </c>
      <c r="R455" s="3" t="inlineStr"/>
      <c r="S455" s="3" t="inlineStr"/>
      <c r="T455" s="3" t="inlineStr"/>
      <c r="U455" s="3" t="inlineStr"/>
      <c r="V455" s="3" t="inlineStr">
        <is>
          <t>不适用</t>
        </is>
      </c>
      <c r="W455" s="3" t="inlineStr">
        <is>
          <t>不适用</t>
        </is>
      </c>
      <c r="X455" s="3" t="inlineStr">
        <is>
          <t>不适用</t>
        </is>
      </c>
      <c r="Y455" s="3" t="inlineStr"/>
      <c r="Z455" s="3" t="inlineStr"/>
      <c r="AA455" s="3" t="inlineStr">
        <is>
          <t>期刊/会议或其他载体身份缺少足够凭据，单列待核实，不混入期刊论文分母 | 非目标期刊论文或类型待核实，不进入JCR分母</t>
        </is>
      </c>
      <c r="AB455" s="3" t="inlineStr"/>
      <c r="AC455" s="3" t="inlineStr"/>
      <c r="AD455" s="3" t="inlineStr"/>
    </row>
    <row r="456" ht="48" customHeight="1">
      <c r="A456" s="2" t="inlineStr">
        <is>
          <t>R13873</t>
        </is>
      </c>
      <c r="B456" s="2" t="inlineStr">
        <is>
          <t>Pretreatment of wheat straw with ligninolytic fungi for increased biogas productivity</t>
        </is>
      </c>
      <c r="C456" s="2" t="inlineStr">
        <is>
          <t>2019</t>
        </is>
      </c>
      <c r="D456" s="2" t="inlineStr">
        <is>
          <t>2019</t>
        </is>
      </c>
      <c r="E456" s="2" t="inlineStr">
        <is>
          <t>10.1007/s13762-019-02277-8</t>
        </is>
      </c>
      <c r="F456" s="2" t="inlineStr">
        <is>
          <t>期刊文章</t>
        </is>
      </c>
      <c r="G456" s="2" t="inlineStr">
        <is>
          <t>5 排除</t>
        </is>
      </c>
      <c r="H456" s="2" t="inlineStr">
        <is>
          <t>否</t>
        </is>
      </c>
      <c r="I456" s="2" t="inlineStr">
        <is>
          <t>研究类</t>
        </is>
      </c>
      <c r="J456" s="2" t="inlineStr">
        <is>
          <t>否</t>
        </is>
      </c>
      <c r="K456" s="2" t="inlineStr">
        <is>
          <t>International Journal of Environmental Science and Technology</t>
        </is>
      </c>
      <c r="L456" s="2" t="inlineStr">
        <is>
          <t>International Journal of Environmental Science and Technology</t>
        </is>
      </c>
      <c r="M456" s="2" t="inlineStr">
        <is>
          <t>1735-1472</t>
        </is>
      </c>
      <c r="N456" s="2" t="inlineStr">
        <is>
          <t>1735-2630</t>
        </is>
      </c>
      <c r="O456" s="2" t="inlineStr">
        <is>
          <t>未取得全文</t>
        </is>
      </c>
      <c r="P456" s="2" t="inlineStr">
        <is>
          <t>否</t>
        </is>
      </c>
      <c r="Q456" s="2" t="inlineStr">
        <is>
          <t>当前无补充材料原件；沿用既有缺失/无附件证据，不据此认定无附件</t>
        </is>
      </c>
      <c r="R456" s="2" t="n">
        <v>2024</v>
      </c>
      <c r="S456" s="2" t="inlineStr">
        <is>
          <t>2025发布版（2024指标年）</t>
        </is>
      </c>
      <c r="T456" s="2" t="inlineStr">
        <is>
          <t>ENVIRONMENTAL SCIENCES</t>
        </is>
      </c>
      <c r="U456" s="2" t="inlineStr">
        <is>
          <t>ENVIRONMENTAL SCIENCES: Q2</t>
        </is>
      </c>
      <c r="V456" s="2" t="inlineStr">
        <is>
          <t>否</t>
        </is>
      </c>
      <c r="W456" s="2" t="inlineStr">
        <is>
          <t>否</t>
        </is>
      </c>
      <c r="X456" s="2" t="inlineStr">
        <is>
          <t>是</t>
        </is>
      </c>
      <c r="Y456" s="2" t="inlineStr">
        <is>
          <t>https://topj.lib.whu.edu.cn/show.asp?cat=sci&amp;id=7059</t>
        </is>
      </c>
      <c r="Z456" s="2" t="inlineStr">
        <is>
          <t>https://api.crossref.org/works/10.1007/s13762-019-02277-8</t>
        </is>
      </c>
      <c r="AA45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56" s="2" t="inlineStr"/>
      <c r="AC456" s="2" t="inlineStr"/>
      <c r="AD456" s="2" t="inlineStr"/>
    </row>
    <row r="457" ht="48" customHeight="1">
      <c r="A457" s="3" t="inlineStr">
        <is>
          <t>R13874</t>
        </is>
      </c>
      <c r="B457" s="3" t="inlineStr">
        <is>
          <t>Corn silage fungal-based solid-state pretreatment for enhanced biogas production in anaerobic co-digestion with cow manure.</t>
        </is>
      </c>
      <c r="C457" s="3" t="inlineStr">
        <is>
          <t>2018</t>
        </is>
      </c>
      <c r="D457" s="3" t="inlineStr">
        <is>
          <t>2018</t>
        </is>
      </c>
      <c r="E457" s="3" t="inlineStr">
        <is>
          <t>10.1016/j.biortech.2018.01.037</t>
        </is>
      </c>
      <c r="F457" s="3" t="inlineStr">
        <is>
          <t>期刊文章</t>
        </is>
      </c>
      <c r="G457" s="3" t="inlineStr">
        <is>
          <t>5 排除</t>
        </is>
      </c>
      <c r="H457" s="3" t="inlineStr">
        <is>
          <t>否</t>
        </is>
      </c>
      <c r="I457" s="3" t="inlineStr">
        <is>
          <t>研究类</t>
        </is>
      </c>
      <c r="J457" s="3" t="inlineStr">
        <is>
          <t>否</t>
        </is>
      </c>
      <c r="K457" s="3" t="inlineStr">
        <is>
          <t>BIORESOURCE TECHNOLOGY</t>
        </is>
      </c>
      <c r="L457" s="3" t="inlineStr">
        <is>
          <t>Bioresource technology</t>
        </is>
      </c>
      <c r="M457" s="3" t="inlineStr">
        <is>
          <t>0960-8524</t>
        </is>
      </c>
      <c r="N457" s="3" t="inlineStr"/>
      <c r="O457" s="3" t="inlineStr">
        <is>
          <t>未取得全文</t>
        </is>
      </c>
      <c r="P457" s="3" t="inlineStr">
        <is>
          <t>否</t>
        </is>
      </c>
      <c r="Q457" s="3" t="inlineStr">
        <is>
          <t>当前无补充材料原件；沿用既有缺失/无附件证据，不据此认定无附件</t>
        </is>
      </c>
      <c r="R457" s="3" t="n">
        <v>2024</v>
      </c>
      <c r="S457" s="3" t="inlineStr">
        <is>
          <t>2025发布版（2024指标年）</t>
        </is>
      </c>
      <c r="T457" s="3" t="inlineStr">
        <is>
          <t>AGRICULTURAL ENGINEERING; BIOTECHNOLOGY &amp; APPLIED MICROBIOLOGY; ENERGY &amp; FUELS</t>
        </is>
      </c>
      <c r="U457" s="3" t="inlineStr">
        <is>
          <t>AGRICULTURAL ENGINEERING: Q1; BIOTECHNOLOGY &amp; APPLIED MICROBIOLOGY: Q1; ENERGY &amp; FUELS: Q1</t>
        </is>
      </c>
      <c r="V457" s="4" t="inlineStr">
        <is>
          <t>是</t>
        </is>
      </c>
      <c r="W457" s="4" t="inlineStr">
        <is>
          <t>是</t>
        </is>
      </c>
      <c r="X457" s="3" t="inlineStr">
        <is>
          <t>是</t>
        </is>
      </c>
      <c r="Y457" s="3" t="inlineStr">
        <is>
          <t>https://topj.lib.whu.edu.cn/show.asp?cat=zk&amp;id=3976</t>
        </is>
      </c>
      <c r="Z457" s="3" t="inlineStr">
        <is>
          <t>https://api.crossref.org/works/10.1016/j.biortech.2018.01.037</t>
        </is>
      </c>
      <c r="AA45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57" s="3" t="inlineStr"/>
      <c r="AC457" s="3" t="inlineStr"/>
      <c r="AD457" s="3" t="inlineStr"/>
    </row>
    <row r="458" ht="48" customHeight="1">
      <c r="A458" s="2" t="inlineStr">
        <is>
          <t>R13875</t>
        </is>
      </c>
      <c r="B458" s="2" t="inlineStr">
        <is>
          <t>The potential of oxygen to improve the stability of anaerobic reactors during unbalanced conditions: results from a pilot-scale digester treating sewage sludge.</t>
        </is>
      </c>
      <c r="C458" s="2" t="inlineStr">
        <is>
          <t>2013</t>
        </is>
      </c>
      <c r="D458" s="2" t="inlineStr">
        <is>
          <t>2013</t>
        </is>
      </c>
      <c r="E458" s="2" t="inlineStr">
        <is>
          <t>10.1016/j.biortech.2013.04.066</t>
        </is>
      </c>
      <c r="F458" s="2" t="inlineStr">
        <is>
          <t>期刊文章</t>
        </is>
      </c>
      <c r="G458" s="2" t="inlineStr">
        <is>
          <t>1 直接向 AD 反应器或内部循环系统供氧</t>
        </is>
      </c>
      <c r="H458" s="2" t="inlineStr">
        <is>
          <t>是</t>
        </is>
      </c>
      <c r="I458" s="2" t="inlineStr">
        <is>
          <t>研究类</t>
        </is>
      </c>
      <c r="J458" s="2" t="inlineStr">
        <is>
          <t>是</t>
        </is>
      </c>
      <c r="K458" s="2" t="inlineStr">
        <is>
          <t>BIORESOURCE TECHNOLOGY</t>
        </is>
      </c>
      <c r="L458" s="2" t="inlineStr">
        <is>
          <t>Bioresource technology</t>
        </is>
      </c>
      <c r="M458" s="2" t="inlineStr">
        <is>
          <t>0960-8524</t>
        </is>
      </c>
      <c r="N458" s="2" t="inlineStr"/>
      <c r="O458" s="2" t="inlineStr">
        <is>
          <t>已取得核验全文</t>
        </is>
      </c>
      <c r="P458" s="2" t="inlineStr">
        <is>
          <t>是</t>
        </is>
      </c>
      <c r="Q458" s="2" t="inlineStr">
        <is>
          <t>当前无补充材料原件；沿用既有缺失/无附件证据，不据此认定无附件</t>
        </is>
      </c>
      <c r="R458" s="2" t="n">
        <v>2024</v>
      </c>
      <c r="S458" s="2" t="inlineStr">
        <is>
          <t>2025发布版（2024指标年）</t>
        </is>
      </c>
      <c r="T458" s="2" t="inlineStr">
        <is>
          <t>AGRICULTURAL ENGINEERING; BIOTECHNOLOGY &amp; APPLIED MICROBIOLOGY; ENERGY &amp; FUELS</t>
        </is>
      </c>
      <c r="U458" s="2" t="inlineStr">
        <is>
          <t>AGRICULTURAL ENGINEERING: Q1; BIOTECHNOLOGY &amp; APPLIED MICROBIOLOGY: Q1; ENERGY &amp; FUELS: Q1</t>
        </is>
      </c>
      <c r="V458" s="4" t="inlineStr">
        <is>
          <t>是</t>
        </is>
      </c>
      <c r="W458" s="4" t="inlineStr">
        <is>
          <t>是</t>
        </is>
      </c>
      <c r="X458" s="2" t="inlineStr">
        <is>
          <t>是</t>
        </is>
      </c>
      <c r="Y458" s="2" t="inlineStr">
        <is>
          <t>https://topj.lib.whu.edu.cn/show.asp?cat=zk&amp;id=3976</t>
        </is>
      </c>
      <c r="Z458" s="2" t="inlineStr">
        <is>
          <t>https://api.crossref.org/works/10.1016/j.biortech.2013.04.066</t>
        </is>
      </c>
      <c r="AA45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58" s="2" t="inlineStr">
        <is>
          <t>original_files/R13875/fulltext/fulltext__published__3b988a139cbae3e5.pdf</t>
        </is>
      </c>
      <c r="AC458" s="2" t="inlineStr"/>
      <c r="AD458" s="2" t="inlineStr">
        <is>
          <t>https://github.com/Colliam-Vermilion/FirstCodex/blob/results/ad-oxygen-literature-20261006/results/ad-oxygen-literature-20261006/original_files/R13875/fulltext/fulltext__published__3b988a139cbae3e5.pdf</t>
        </is>
      </c>
    </row>
    <row r="459" ht="48" customHeight="1">
      <c r="A459" s="3" t="inlineStr">
        <is>
          <t>R13876</t>
        </is>
      </c>
      <c r="B459" s="3" t="inlineStr">
        <is>
          <t>Effect of limited air exposure and comparative performance between thermophilic and mesophilic solid-state anaerobic digestion of switchgrass.</t>
        </is>
      </c>
      <c r="C459" s="3" t="inlineStr">
        <is>
          <t>2015</t>
        </is>
      </c>
      <c r="D459" s="3" t="inlineStr">
        <is>
          <t>2015</t>
        </is>
      </c>
      <c r="E459" s="3" t="inlineStr">
        <is>
          <t>10.1016/j.biortech.2015.01.011</t>
        </is>
      </c>
      <c r="F459" s="3" t="inlineStr">
        <is>
          <t>期刊文章</t>
        </is>
      </c>
      <c r="G459" s="3" t="inlineStr">
        <is>
          <t>1 直接向 AD 反应器或内部循环系统供氧</t>
        </is>
      </c>
      <c r="H459" s="3" t="inlineStr">
        <is>
          <t>是</t>
        </is>
      </c>
      <c r="I459" s="3" t="inlineStr">
        <is>
          <t>研究类</t>
        </is>
      </c>
      <c r="J459" s="3" t="inlineStr">
        <is>
          <t>是</t>
        </is>
      </c>
      <c r="K459" s="3" t="inlineStr">
        <is>
          <t>BIORESOURCE TECHNOLOGY</t>
        </is>
      </c>
      <c r="L459" s="3" t="inlineStr">
        <is>
          <t>Bioresource technology</t>
        </is>
      </c>
      <c r="M459" s="3" t="inlineStr">
        <is>
          <t>0960-8524</t>
        </is>
      </c>
      <c r="N459" s="3" t="inlineStr"/>
      <c r="O459" s="3" t="inlineStr">
        <is>
          <t>已取得核验全文</t>
        </is>
      </c>
      <c r="P459" s="3" t="inlineStr">
        <is>
          <t>是</t>
        </is>
      </c>
      <c r="Q459" s="3" t="inlineStr">
        <is>
          <t>当前无补充材料原件；沿用既有缺失/无附件证据，不据此认定无附件</t>
        </is>
      </c>
      <c r="R459" s="3" t="n">
        <v>2024</v>
      </c>
      <c r="S459" s="3" t="inlineStr">
        <is>
          <t>2025发布版（2024指标年）</t>
        </is>
      </c>
      <c r="T459" s="3" t="inlineStr">
        <is>
          <t>AGRICULTURAL ENGINEERING; BIOTECHNOLOGY &amp; APPLIED MICROBIOLOGY; ENERGY &amp; FUELS</t>
        </is>
      </c>
      <c r="U459" s="3" t="inlineStr">
        <is>
          <t>AGRICULTURAL ENGINEERING: Q1; BIOTECHNOLOGY &amp; APPLIED MICROBIOLOGY: Q1; ENERGY &amp; FUELS: Q1</t>
        </is>
      </c>
      <c r="V459" s="4" t="inlineStr">
        <is>
          <t>是</t>
        </is>
      </c>
      <c r="W459" s="4" t="inlineStr">
        <is>
          <t>是</t>
        </is>
      </c>
      <c r="X459" s="3" t="inlineStr">
        <is>
          <t>是</t>
        </is>
      </c>
      <c r="Y459" s="3" t="inlineStr">
        <is>
          <t>https://topj.lib.whu.edu.cn/show.asp?cat=zk&amp;id=3976</t>
        </is>
      </c>
      <c r="Z459" s="3" t="inlineStr">
        <is>
          <t>https://api.crossref.org/works/10.1016/j.biortech.2015.01.011</t>
        </is>
      </c>
      <c r="AA45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59" s="3" t="inlineStr">
        <is>
          <t>original_files/R13876/fulltext/fulltext__published__3a1c1b61498d579e.pdf</t>
        </is>
      </c>
      <c r="AC459" s="3" t="inlineStr"/>
      <c r="AD459" s="3" t="inlineStr">
        <is>
          <t>https://github.com/Colliam-Vermilion/FirstCodex/blob/results/ad-oxygen-literature-20261006/results/ad-oxygen-literature-20261006/original_files/R13876/fulltext/fulltext__published__3a1c1b61498d579e.pdf</t>
        </is>
      </c>
    </row>
    <row r="460" ht="48" customHeight="1">
      <c r="A460" s="2" t="inlineStr">
        <is>
          <t>R13877</t>
        </is>
      </c>
      <c r="B460" s="2" t="inlineStr">
        <is>
          <t>Microbial community response and SDS-PAGE reveal possible mechanism of waste activated sludge acidification enhanced by microaeration coupled thermophilic pretreatment</t>
        </is>
      </c>
      <c r="C460" s="2" t="inlineStr">
        <is>
          <t>2018</t>
        </is>
      </c>
      <c r="D460" s="2" t="inlineStr">
        <is>
          <t>2018</t>
        </is>
      </c>
      <c r="E460" s="2" t="inlineStr">
        <is>
          <t>10.1016/j.procbio.2017.09.010</t>
        </is>
      </c>
      <c r="F460" s="2" t="inlineStr">
        <is>
          <t>期刊文章</t>
        </is>
      </c>
      <c r="G460" s="2" t="inlineStr">
        <is>
          <t>2 向厌氧水解或产酸阶段供氧</t>
        </is>
      </c>
      <c r="H460" s="2" t="inlineStr">
        <is>
          <t>是</t>
        </is>
      </c>
      <c r="I460" s="2" t="inlineStr">
        <is>
          <t>研究类</t>
        </is>
      </c>
      <c r="J460" s="2" t="inlineStr">
        <is>
          <t>是</t>
        </is>
      </c>
      <c r="K460" s="2" t="inlineStr">
        <is>
          <t>PROCESS BIOCHEMISTRY</t>
        </is>
      </c>
      <c r="L460" s="2" t="inlineStr">
        <is>
          <t>Process Biochemistry</t>
        </is>
      </c>
      <c r="M460" s="2" t="inlineStr">
        <is>
          <t>1359-5113</t>
        </is>
      </c>
      <c r="N460" s="2" t="inlineStr"/>
      <c r="O460" s="2" t="inlineStr">
        <is>
          <t>已取得核验全文</t>
        </is>
      </c>
      <c r="P460" s="2" t="inlineStr">
        <is>
          <t>是</t>
        </is>
      </c>
      <c r="Q460" s="2" t="inlineStr">
        <is>
          <t>当前无补充材料原件；沿用既有缺失/无附件证据，不据此认定无附件</t>
        </is>
      </c>
      <c r="R460" s="2" t="n">
        <v>2024</v>
      </c>
      <c r="S460" s="2" t="inlineStr">
        <is>
          <t>2025发布版（2024指标年）</t>
        </is>
      </c>
      <c r="T460" s="2" t="inlineStr">
        <is>
          <t>BIOCHEMISTRY &amp; MOLECULAR BIOLOGY; BIOTECHNOLOGY &amp; APPLIED MICROBIOLOGY; ENGINEERING, CHEMICAL</t>
        </is>
      </c>
      <c r="U460" s="2" t="inlineStr">
        <is>
          <t>BIOCHEMISTRY &amp; MOLECULAR BIOLOGY: Q2; BIOTECHNOLOGY &amp; APPLIED MICROBIOLOGY: Q2; ENGINEERING, CHEMICAL: Q2</t>
        </is>
      </c>
      <c r="V460" s="2" t="inlineStr">
        <is>
          <t>否</t>
        </is>
      </c>
      <c r="W460" s="2" t="inlineStr">
        <is>
          <t>否</t>
        </is>
      </c>
      <c r="X460" s="2" t="inlineStr">
        <is>
          <t>是</t>
        </is>
      </c>
      <c r="Y460" s="2" t="inlineStr">
        <is>
          <t>https://topj.lib.whu.edu.cn/show.asp?cat=sci&amp;id=5869</t>
        </is>
      </c>
      <c r="Z460" s="2" t="inlineStr">
        <is>
          <t>https://api.crossref.org/works/10.1016/j.procbio.2017.09.010</t>
        </is>
      </c>
      <c r="AA46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0" s="2" t="inlineStr">
        <is>
          <t>original_files/R13877/fulltext/fulltext__published__04a76adc76fa9472.pdf</t>
        </is>
      </c>
      <c r="AC460" s="2" t="inlineStr"/>
      <c r="AD460" s="2" t="inlineStr">
        <is>
          <t>https://github.com/Colliam-Vermilion/FirstCodex/blob/results/ad-oxygen-literature-20261006/results/ad-oxygen-literature-20261006/original_files/R13877/fulltext/fulltext__published__04a76adc76fa9472.pdf</t>
        </is>
      </c>
    </row>
    <row r="461" ht="48" customHeight="1">
      <c r="A461" s="3" t="inlineStr">
        <is>
          <t>R13878</t>
        </is>
      </c>
      <c r="B461" s="3" t="inlineStr">
        <is>
          <t>Improved methane production of corn straw by the stimulation of calcium peroxide</t>
        </is>
      </c>
      <c r="C461" s="3" t="inlineStr">
        <is>
          <t>2018</t>
        </is>
      </c>
      <c r="D461" s="3" t="inlineStr">
        <is>
          <t>2018</t>
        </is>
      </c>
      <c r="E461" s="3" t="inlineStr">
        <is>
          <t>10.1016/j.enconman.2018.02.070</t>
        </is>
      </c>
      <c r="F461" s="3" t="inlineStr">
        <is>
          <t>期刊文章</t>
        </is>
      </c>
      <c r="G461" s="3" t="inlineStr">
        <is>
          <t>1 直接向 AD 反应器或内部循环系统供氧</t>
        </is>
      </c>
      <c r="H461" s="3" t="inlineStr">
        <is>
          <t>是</t>
        </is>
      </c>
      <c r="I461" s="3" t="inlineStr">
        <is>
          <t>研究类</t>
        </is>
      </c>
      <c r="J461" s="3" t="inlineStr">
        <is>
          <t>是</t>
        </is>
      </c>
      <c r="K461" s="3" t="inlineStr">
        <is>
          <t>ENERGY CONVERSION AND MANAGEMENT</t>
        </is>
      </c>
      <c r="L461" s="3" t="inlineStr">
        <is>
          <t>Energy Conversion and Management</t>
        </is>
      </c>
      <c r="M461" s="3" t="inlineStr">
        <is>
          <t>0196-8904</t>
        </is>
      </c>
      <c r="N461" s="3" t="inlineStr"/>
      <c r="O461" s="3" t="inlineStr">
        <is>
          <t>已取得核验全文</t>
        </is>
      </c>
      <c r="P461" s="3" t="inlineStr">
        <is>
          <t>是</t>
        </is>
      </c>
      <c r="Q461" s="3" t="inlineStr">
        <is>
          <t>已取得1件原格式补充材料；其中0件唯一关联待核实；完整性未确认</t>
        </is>
      </c>
      <c r="R461" s="3" t="n">
        <v>2024</v>
      </c>
      <c r="S461" s="3" t="inlineStr">
        <is>
          <t>2025发布版（2024指标年）</t>
        </is>
      </c>
      <c r="T461" s="3" t="inlineStr">
        <is>
          <t>THERMODYNAMICS; ENERGY &amp; FUELS; MECHANICS</t>
        </is>
      </c>
      <c r="U461" s="3" t="inlineStr">
        <is>
          <t>THERMODYNAMICS: Q1; ENERGY &amp; FUELS: Q1; MECHANICS: Q1</t>
        </is>
      </c>
      <c r="V461" s="4" t="inlineStr">
        <is>
          <t>是</t>
        </is>
      </c>
      <c r="W461" s="4" t="inlineStr">
        <is>
          <t>是</t>
        </is>
      </c>
      <c r="X461" s="3" t="inlineStr">
        <is>
          <t>是</t>
        </is>
      </c>
      <c r="Y461" s="3" t="inlineStr">
        <is>
          <t>https://topj.lib.whu.edu.cn/show.asp?cat=esi&amp;id=3481</t>
        </is>
      </c>
      <c r="Z461" s="3" t="inlineStr">
        <is>
          <t>https://api.crossref.org/works/10.1016/j.enconman.2018.02.070</t>
        </is>
      </c>
      <c r="AA46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1" s="3" t="inlineStr">
        <is>
          <t>original_files/R13878/fulltext/fulltext__published__2eb6f71281844f77.pdf</t>
        </is>
      </c>
      <c r="AC461" s="3" t="inlineStr">
        <is>
          <t>original_files/R13878/supplementary/supplementary__f5892bd1508fb3d1.doc</t>
        </is>
      </c>
      <c r="AD461" s="3" t="inlineStr">
        <is>
          <t>https://github.com/Colliam-Vermilion/FirstCodex/blob/results/ad-oxygen-literature-20261006/results/ad-oxygen-literature-20261006/original_files/R13878/fulltext/fulltext__published__2eb6f71281844f77.pdf</t>
        </is>
      </c>
    </row>
    <row r="462" ht="48" customHeight="1">
      <c r="A462" s="2" t="inlineStr">
        <is>
          <t>R13879</t>
        </is>
      </c>
      <c r="B462" s="2" t="inlineStr">
        <is>
          <t>Improved anaerobic digestion performance of Miscanthus floridulus by different pretreatment methods and preliminary economic analysis</t>
        </is>
      </c>
      <c r="C462" s="2" t="inlineStr">
        <is>
          <t>2018</t>
        </is>
      </c>
      <c r="D462" s="2" t="inlineStr">
        <is>
          <t>2018</t>
        </is>
      </c>
      <c r="E462" s="2" t="inlineStr">
        <is>
          <t>10.1016/j.enconman.2018.01.014</t>
        </is>
      </c>
      <c r="F462" s="2" t="inlineStr">
        <is>
          <t>期刊文章</t>
        </is>
      </c>
      <c r="G462" s="2" t="inlineStr">
        <is>
          <t>3 独立好氧或微好氧预处理</t>
        </is>
      </c>
      <c r="H462" s="2" t="inlineStr">
        <is>
          <t>是</t>
        </is>
      </c>
      <c r="I462" s="2" t="inlineStr">
        <is>
          <t>研究类</t>
        </is>
      </c>
      <c r="J462" s="2" t="inlineStr">
        <is>
          <t>是</t>
        </is>
      </c>
      <c r="K462" s="2" t="inlineStr">
        <is>
          <t>ENERGY CONVERSION AND MANAGEMENT</t>
        </is>
      </c>
      <c r="L462" s="2" t="inlineStr">
        <is>
          <t>Energy Conversion and Management</t>
        </is>
      </c>
      <c r="M462" s="2" t="inlineStr">
        <is>
          <t>0196-8904</t>
        </is>
      </c>
      <c r="N462" s="2" t="inlineStr"/>
      <c r="O462" s="2" t="inlineStr">
        <is>
          <t>已取得核验全文</t>
        </is>
      </c>
      <c r="P462" s="2" t="inlineStr">
        <is>
          <t>是</t>
        </is>
      </c>
      <c r="Q462" s="2" t="inlineStr">
        <is>
          <t>已取得1件原格式补充材料；其中1件唯一关联待核实；完整性未确认</t>
        </is>
      </c>
      <c r="R462" s="2" t="n">
        <v>2024</v>
      </c>
      <c r="S462" s="2" t="inlineStr">
        <is>
          <t>2025发布版（2024指标年）</t>
        </is>
      </c>
      <c r="T462" s="2" t="inlineStr">
        <is>
          <t>THERMODYNAMICS; ENERGY &amp; FUELS; MECHANICS</t>
        </is>
      </c>
      <c r="U462" s="2" t="inlineStr">
        <is>
          <t>THERMODYNAMICS: Q1; ENERGY &amp; FUELS: Q1; MECHANICS: Q1</t>
        </is>
      </c>
      <c r="V462" s="4" t="inlineStr">
        <is>
          <t>是</t>
        </is>
      </c>
      <c r="W462" s="4" t="inlineStr">
        <is>
          <t>是</t>
        </is>
      </c>
      <c r="X462" s="2" t="inlineStr">
        <is>
          <t>是</t>
        </is>
      </c>
      <c r="Y462" s="2" t="inlineStr">
        <is>
          <t>https://topj.lib.whu.edu.cn/show.asp?cat=esi&amp;id=3481</t>
        </is>
      </c>
      <c r="Z462" s="2" t="inlineStr">
        <is>
          <t>https://api.crossref.org/works/10.1016/j.enconman.2018.01.014</t>
        </is>
      </c>
      <c r="AA46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2" s="2" t="inlineStr">
        <is>
          <t>original_files/R13879/fulltext/fulltext__published__5bfea725303d30c1.pdf</t>
        </is>
      </c>
      <c r="AC462" s="2" t="inlineStr">
        <is>
          <t>original_files/R13879/supplementary/supplementary__5f449d5947bff00b.pdf</t>
        </is>
      </c>
      <c r="AD462" s="2" t="inlineStr">
        <is>
          <t>https://github.com/Colliam-Vermilion/FirstCodex/blob/results/ad-oxygen-literature-20261006/results/ad-oxygen-literature-20261006/original_files/R13879/fulltext/fulltext__published__5bfea725303d30c1.pdf</t>
        </is>
      </c>
    </row>
    <row r="463" ht="48" customHeight="1">
      <c r="A463" s="3" t="inlineStr">
        <is>
          <t>R13880</t>
        </is>
      </c>
      <c r="B463" s="3" t="inlineStr">
        <is>
          <t>Alleviation of ammonia inhibition via nano-bubble water supplementation during anaerobic digestion of ammonia-rich swine manure: Buffering capacity promotion and methane production enhancement</t>
        </is>
      </c>
      <c r="C463" s="3" t="inlineStr">
        <is>
          <t>2021</t>
        </is>
      </c>
      <c r="D463" s="3" t="inlineStr">
        <is>
          <t>2021</t>
        </is>
      </c>
      <c r="E463" s="3" t="inlineStr">
        <is>
          <t>10.1016/j.biortech.2021.125131</t>
        </is>
      </c>
      <c r="F463" s="3" t="inlineStr">
        <is>
          <t>期刊文章</t>
        </is>
      </c>
      <c r="G463" s="3" t="inlineStr">
        <is>
          <t>1 直接向 AD 反应器或内部循环系统供氧</t>
        </is>
      </c>
      <c r="H463" s="3" t="inlineStr">
        <is>
          <t>是</t>
        </is>
      </c>
      <c r="I463" s="3" t="inlineStr">
        <is>
          <t>研究类</t>
        </is>
      </c>
      <c r="J463" s="3" t="inlineStr">
        <is>
          <t>是</t>
        </is>
      </c>
      <c r="K463" s="3" t="inlineStr">
        <is>
          <t>BIORESOURCE TECHNOLOGY</t>
        </is>
      </c>
      <c r="L463" s="3" t="inlineStr">
        <is>
          <t>Bioresource Technology</t>
        </is>
      </c>
      <c r="M463" s="3" t="inlineStr">
        <is>
          <t>0960-8524</t>
        </is>
      </c>
      <c r="N463" s="3" t="inlineStr"/>
      <c r="O463" s="3" t="inlineStr">
        <is>
          <t>已取得核验全文</t>
        </is>
      </c>
      <c r="P463" s="3" t="inlineStr">
        <is>
          <t>是</t>
        </is>
      </c>
      <c r="Q463" s="3" t="inlineStr">
        <is>
          <t>当前无补充材料原件；沿用既有缺失/无附件证据，不据此认定无附件</t>
        </is>
      </c>
      <c r="R463" s="3" t="n">
        <v>2024</v>
      </c>
      <c r="S463" s="3" t="inlineStr">
        <is>
          <t>2025发布版（2024指标年）</t>
        </is>
      </c>
      <c r="T463" s="3" t="inlineStr">
        <is>
          <t>AGRICULTURAL ENGINEERING; BIOTECHNOLOGY &amp; APPLIED MICROBIOLOGY; ENERGY &amp; FUELS</t>
        </is>
      </c>
      <c r="U463" s="3" t="inlineStr">
        <is>
          <t>AGRICULTURAL ENGINEERING: Q1; BIOTECHNOLOGY &amp; APPLIED MICROBIOLOGY: Q1; ENERGY &amp; FUELS: Q1</t>
        </is>
      </c>
      <c r="V463" s="4" t="inlineStr">
        <is>
          <t>是</t>
        </is>
      </c>
      <c r="W463" s="4" t="inlineStr">
        <is>
          <t>是</t>
        </is>
      </c>
      <c r="X463" s="3" t="inlineStr">
        <is>
          <t>是</t>
        </is>
      </c>
      <c r="Y463" s="3" t="inlineStr">
        <is>
          <t>https://topj.lib.whu.edu.cn/show.asp?cat=zk&amp;id=3976</t>
        </is>
      </c>
      <c r="Z463" s="3" t="inlineStr">
        <is>
          <t>https://api.crossref.org/works/10.1016/j.biortech.2021.125131</t>
        </is>
      </c>
      <c r="AA46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3" s="3" t="inlineStr">
        <is>
          <t>original_files/R13880/fulltext/fulltext__published__8c8b7f714742c1a3.pdf</t>
        </is>
      </c>
      <c r="AC463" s="3" t="inlineStr"/>
      <c r="AD463" s="3" t="inlineStr">
        <is>
          <t>https://github.com/Colliam-Vermilion/FirstCodex/blob/results/ad-oxygen-literature-20261006/results/ad-oxygen-literature-20261006/original_files/R13880/fulltext/fulltext__published__8c8b7f714742c1a3.pdf</t>
        </is>
      </c>
    </row>
    <row r="464" ht="48" customHeight="1">
      <c r="A464" s="2" t="inlineStr">
        <is>
          <t>R13881</t>
        </is>
      </c>
      <c r="B464" s="2" t="inlineStr">
        <is>
          <t>Investigation of hydrolysis acidification process during anaerobic treatment of coal gasification wastewater (CGW): Evolution of dissolved organic matter and biotoxicity.</t>
        </is>
      </c>
      <c r="C464" s="2" t="inlineStr">
        <is>
          <t>2020</t>
        </is>
      </c>
      <c r="D464" s="2" t="inlineStr">
        <is>
          <t>2020</t>
        </is>
      </c>
      <c r="E464" s="2" t="inlineStr">
        <is>
          <t>10.1016/j.scitotenv.2020.137995</t>
        </is>
      </c>
      <c r="F464" s="2" t="inlineStr">
        <is>
          <t>期刊文章</t>
        </is>
      </c>
      <c r="G464" s="2" t="inlineStr">
        <is>
          <t>2 向厌氧水解或产酸阶段供氧</t>
        </is>
      </c>
      <c r="H464" s="2" t="inlineStr">
        <is>
          <t>是</t>
        </is>
      </c>
      <c r="I464" s="2" t="inlineStr">
        <is>
          <t>研究类</t>
        </is>
      </c>
      <c r="J464" s="2" t="inlineStr">
        <is>
          <t>是</t>
        </is>
      </c>
      <c r="K464" s="2" t="inlineStr">
        <is>
          <t>Science of The Total Environment</t>
        </is>
      </c>
      <c r="L464" s="2" t="inlineStr">
        <is>
          <t>The Science of the total environment</t>
        </is>
      </c>
      <c r="M464" s="2" t="inlineStr">
        <is>
          <t>0048-9697</t>
        </is>
      </c>
      <c r="N464" s="2" t="inlineStr"/>
      <c r="O464" s="2" t="inlineStr">
        <is>
          <t>已取得核验全文</t>
        </is>
      </c>
      <c r="P464" s="2" t="inlineStr">
        <is>
          <t>是</t>
        </is>
      </c>
      <c r="Q464" s="2" t="inlineStr">
        <is>
          <t>已取得1件原格式补充材料；其中0件唯一关联待核实；完整性未确认</t>
        </is>
      </c>
      <c r="R464" s="2" t="n">
        <v>2024</v>
      </c>
      <c r="S464" s="2" t="inlineStr">
        <is>
          <t>2025发布版（2024指标年）</t>
        </is>
      </c>
      <c r="T464" s="2" t="inlineStr">
        <is>
          <t>ENVIRONMENTAL SCIENCES</t>
        </is>
      </c>
      <c r="U464" s="2" t="inlineStr">
        <is>
          <t>ENVIRONMENTAL SCIENCES: Q1</t>
        </is>
      </c>
      <c r="V464" s="4" t="inlineStr">
        <is>
          <t>是</t>
        </is>
      </c>
      <c r="W464" s="4" t="inlineStr">
        <is>
          <t>是</t>
        </is>
      </c>
      <c r="X464" s="2" t="inlineStr">
        <is>
          <t>是</t>
        </is>
      </c>
      <c r="Y464" s="2" t="inlineStr">
        <is>
          <t>https://topj.lib.whu.edu.cn/show.asp?cat=zk&amp;id=4001</t>
        </is>
      </c>
      <c r="Z464" s="2" t="inlineStr">
        <is>
          <t>https://api.crossref.org/works/10.1016/j.scitotenv.2020.137995</t>
        </is>
      </c>
      <c r="AA46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4" s="2" t="inlineStr">
        <is>
          <t>original_files/R13881/fulltext/fulltext__published__7e6895c8c38bd638.pdf</t>
        </is>
      </c>
      <c r="AC464" s="2" t="inlineStr">
        <is>
          <t>original_files/R13881/supplementary/supplementary__6fabdf1b018b5279.docx</t>
        </is>
      </c>
      <c r="AD464" s="2" t="inlineStr">
        <is>
          <t>https://github.com/Colliam-Vermilion/FirstCodex/blob/results/ad-oxygen-literature-20261006/results/ad-oxygen-literature-20261006/original_files/R13881/fulltext/fulltext__published__7e6895c8c38bd638.pdf</t>
        </is>
      </c>
    </row>
    <row r="465" ht="48" customHeight="1">
      <c r="A465" s="3" t="inlineStr">
        <is>
          <t>R13882</t>
        </is>
      </c>
      <c r="B465" s="3" t="inlineStr">
        <is>
          <t>Practical approaches for retrofitting plug flow digester and process control to maximize hydrolysis and methane yield from piggery waste</t>
        </is>
      </c>
      <c r="C465" s="3" t="inlineStr">
        <is>
          <t>2021</t>
        </is>
      </c>
      <c r="D465" s="3" t="inlineStr">
        <is>
          <t>2021</t>
        </is>
      </c>
      <c r="E465" s="3" t="inlineStr">
        <is>
          <t>10.1016/j.jece.2021.105620</t>
        </is>
      </c>
      <c r="F465" s="3" t="inlineStr">
        <is>
          <t>期刊文章</t>
        </is>
      </c>
      <c r="G465" s="3" t="inlineStr">
        <is>
          <t>2 向厌氧水解或产酸阶段供氧</t>
        </is>
      </c>
      <c r="H465" s="3" t="inlineStr">
        <is>
          <t>是</t>
        </is>
      </c>
      <c r="I465" s="3" t="inlineStr">
        <is>
          <t>研究类</t>
        </is>
      </c>
      <c r="J465" s="3" t="inlineStr">
        <is>
          <t>是</t>
        </is>
      </c>
      <c r="K465" s="3" t="inlineStr">
        <is>
          <t>Journal of Environmental Chemical Engineering</t>
        </is>
      </c>
      <c r="L465" s="3" t="inlineStr">
        <is>
          <t>Journal of Environmental Chemical Engineering</t>
        </is>
      </c>
      <c r="M465" s="3" t="inlineStr">
        <is>
          <t>2213-2929</t>
        </is>
      </c>
      <c r="N465" s="3" t="inlineStr"/>
      <c r="O465" s="3" t="inlineStr">
        <is>
          <t>已取得核验全文</t>
        </is>
      </c>
      <c r="P465" s="3" t="inlineStr">
        <is>
          <t>是</t>
        </is>
      </c>
      <c r="Q465" s="3" t="inlineStr">
        <is>
          <t>已取得1件原格式补充材料；其中1件唯一关联待核实；完整性未确认</t>
        </is>
      </c>
      <c r="R465" s="3" t="n">
        <v>2024</v>
      </c>
      <c r="S465" s="3" t="inlineStr">
        <is>
          <t>2025发布版（2024指标年）</t>
        </is>
      </c>
      <c r="T465" s="3" t="inlineStr">
        <is>
          <t>ENGINEERING, CHEMICAL; ENGINEERING, ENVIRONMENTAL</t>
        </is>
      </c>
      <c r="U465" s="3" t="inlineStr">
        <is>
          <t>ENGINEERING, CHEMICAL: Q1; ENGINEERING, ENVIRONMENTAL: Q1</t>
        </is>
      </c>
      <c r="V465" s="4" t="inlineStr">
        <is>
          <t>是</t>
        </is>
      </c>
      <c r="W465" s="4" t="inlineStr">
        <is>
          <t>是</t>
        </is>
      </c>
      <c r="X465" s="3" t="inlineStr">
        <is>
          <t>是</t>
        </is>
      </c>
      <c r="Y465" s="3" t="inlineStr">
        <is>
          <t>https://topj.lib.whu.edu.cn/show.asp?cat=zk&amp;id=5142</t>
        </is>
      </c>
      <c r="Z465" s="3" t="inlineStr"/>
      <c r="AA465" s="3" t="inlineStr">
        <is>
          <t>既有DOI未由Crossref返回可用元数据（可能为DataCite/JaLC等）；不据此否认记录身份 | 机构JCR栏：搜索索引可核验；原页面直连未成功；非Clarivate账户导出 | 全部Q1仅指本表全部已核实学科；无官方完整学科导出，不承诺没有未显示学科</t>
        </is>
      </c>
      <c r="AB465" s="3" t="inlineStr">
        <is>
          <t>original_files/R13882/fulltext/fulltext__published__eda4f24c51907cc0.pdf</t>
        </is>
      </c>
      <c r="AC465" s="3" t="inlineStr">
        <is>
          <t>original_files/R13882/supplementary/supplementary__44717b3d77657d0a.doc</t>
        </is>
      </c>
      <c r="AD465" s="3" t="inlineStr">
        <is>
          <t>https://github.com/Colliam-Vermilion/FirstCodex/blob/results/ad-oxygen-literature-20261006/results/ad-oxygen-literature-20261006/original_files/R13882/fulltext/fulltext__published__eda4f24c51907cc0.pdf</t>
        </is>
      </c>
    </row>
    <row r="466" ht="48" customHeight="1">
      <c r="A466" s="2" t="inlineStr">
        <is>
          <t>R13883</t>
        </is>
      </c>
      <c r="B466" s="2" t="inlineStr">
        <is>
          <t>Mesophilic aerobic digestion: An efficient and inexpensive biological pretreatment to improve biogas production from highly-recalcitrant pinewood</t>
        </is>
      </c>
      <c r="C466" s="2" t="inlineStr">
        <is>
          <t>2022</t>
        </is>
      </c>
      <c r="D466" s="2" t="inlineStr">
        <is>
          <t>2022</t>
        </is>
      </c>
      <c r="E466" s="2" t="inlineStr">
        <is>
          <t>10.1016/j.energy.2021.122361</t>
        </is>
      </c>
      <c r="F466" s="2" t="inlineStr">
        <is>
          <t>期刊文章</t>
        </is>
      </c>
      <c r="G466" s="2" t="inlineStr">
        <is>
          <t>3 独立好氧或微好氧预处理</t>
        </is>
      </c>
      <c r="H466" s="2" t="inlineStr">
        <is>
          <t>是</t>
        </is>
      </c>
      <c r="I466" s="2" t="inlineStr">
        <is>
          <t>研究类</t>
        </is>
      </c>
      <c r="J466" s="2" t="inlineStr">
        <is>
          <t>是</t>
        </is>
      </c>
      <c r="K466" s="2" t="inlineStr">
        <is>
          <t>Energy</t>
        </is>
      </c>
      <c r="L466" s="2" t="inlineStr">
        <is>
          <t>Energy</t>
        </is>
      </c>
      <c r="M466" s="2" t="inlineStr">
        <is>
          <t>0360-5442</t>
        </is>
      </c>
      <c r="N466" s="2" t="inlineStr"/>
      <c r="O466" s="2" t="inlineStr">
        <is>
          <t>已取得核验全文</t>
        </is>
      </c>
      <c r="P466" s="2" t="inlineStr">
        <is>
          <t>是</t>
        </is>
      </c>
      <c r="Q466" s="2" t="inlineStr">
        <is>
          <t>当前无补充材料原件；沿用既有缺失/无附件证据，不据此认定无附件</t>
        </is>
      </c>
      <c r="R466" s="2" t="n">
        <v>2024</v>
      </c>
      <c r="S466" s="2" t="inlineStr">
        <is>
          <t>2025发布版（2024指标年）</t>
        </is>
      </c>
      <c r="T466" s="2" t="inlineStr">
        <is>
          <t>THERMODYNAMICS; ENERGY &amp; FUELS</t>
        </is>
      </c>
      <c r="U466" s="2" t="inlineStr">
        <is>
          <t>THERMODYNAMICS: Q1; ENERGY &amp; FUELS: Q1</t>
        </is>
      </c>
      <c r="V466" s="4" t="inlineStr">
        <is>
          <t>是</t>
        </is>
      </c>
      <c r="W466" s="4" t="inlineStr">
        <is>
          <t>是</t>
        </is>
      </c>
      <c r="X466" s="2" t="inlineStr">
        <is>
          <t>是</t>
        </is>
      </c>
      <c r="Y466" s="2" t="inlineStr">
        <is>
          <t>https://topj.lib.whu.edu.cn/show.asp?cat=sci&amp;id=218</t>
        </is>
      </c>
      <c r="Z466" s="2" t="inlineStr">
        <is>
          <t>https://api.crossref.org/works/10.1016/j.energy.2021.122361</t>
        </is>
      </c>
      <c r="AA46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6" s="2" t="inlineStr">
        <is>
          <t>original_files/R13883/fulltext/fulltext__published__fb6094b00ff3138f.pdf</t>
        </is>
      </c>
      <c r="AC466" s="2" t="inlineStr"/>
      <c r="AD466" s="2" t="inlineStr">
        <is>
          <t>https://github.com/Colliam-Vermilion/FirstCodex/blob/results/ad-oxygen-literature-20261006/results/ad-oxygen-literature-20261006/original_files/R13883/fulltext/fulltext__published__fb6094b00ff3138f.pdf</t>
        </is>
      </c>
    </row>
    <row r="467" ht="48" customHeight="1">
      <c r="A467" s="3" t="inlineStr">
        <is>
          <t>R13884</t>
        </is>
      </c>
      <c r="B467" s="3" t="inlineStr">
        <is>
          <t>Performance evaluation of methanogenic digester using kitchen waste for validation of optimized hydrolysis conditions for reduction in ammonia accumulation</t>
        </is>
      </c>
      <c r="C467" s="3" t="inlineStr">
        <is>
          <t>2019</t>
        </is>
      </c>
      <c r="D467" s="3" t="inlineStr">
        <is>
          <t>2019</t>
        </is>
      </c>
      <c r="E467" s="3" t="inlineStr">
        <is>
          <t>10.1016/j.renene.2019.02.023</t>
        </is>
      </c>
      <c r="F467" s="3" t="inlineStr">
        <is>
          <t>期刊文章</t>
        </is>
      </c>
      <c r="G467" s="3" t="inlineStr">
        <is>
          <t>2 向厌氧水解或产酸阶段供氧</t>
        </is>
      </c>
      <c r="H467" s="3" t="inlineStr">
        <is>
          <t>是</t>
        </is>
      </c>
      <c r="I467" s="3" t="inlineStr">
        <is>
          <t>研究类</t>
        </is>
      </c>
      <c r="J467" s="3" t="inlineStr">
        <is>
          <t>是</t>
        </is>
      </c>
      <c r="K467" s="3" t="inlineStr">
        <is>
          <t>Renewable Energy</t>
        </is>
      </c>
      <c r="L467" s="3" t="inlineStr">
        <is>
          <t>Renewable Energy</t>
        </is>
      </c>
      <c r="M467" s="3" t="inlineStr">
        <is>
          <t>0960-1481</t>
        </is>
      </c>
      <c r="N467" s="3" t="inlineStr"/>
      <c r="O467" s="3" t="inlineStr">
        <is>
          <t>已取得核验全文</t>
        </is>
      </c>
      <c r="P467" s="3" t="inlineStr">
        <is>
          <t>是</t>
        </is>
      </c>
      <c r="Q467" s="3" t="inlineStr">
        <is>
          <t>已取得1件原格式补充材料；其中1件唯一关联待核实；完整性未确认</t>
        </is>
      </c>
      <c r="R467" s="3" t="n">
        <v>2024</v>
      </c>
      <c r="S467" s="3" t="inlineStr">
        <is>
          <t>2025发布版（2024指标年）</t>
        </is>
      </c>
      <c r="T467" s="3" t="inlineStr">
        <is>
          <t>ENERGY &amp; FUELS; GREEN &amp; SUSTAINABLE SCIENCE &amp; TECHNOLOGY</t>
        </is>
      </c>
      <c r="U467" s="3" t="inlineStr">
        <is>
          <t>ENERGY &amp; FUELS: Q1; GREEN &amp; SUSTAINABLE SCIENCE &amp; TECHNOLOGY: Q1</t>
        </is>
      </c>
      <c r="V467" s="4" t="inlineStr">
        <is>
          <t>是</t>
        </is>
      </c>
      <c r="W467" s="4" t="inlineStr">
        <is>
          <t>是</t>
        </is>
      </c>
      <c r="X467" s="3" t="inlineStr">
        <is>
          <t>是</t>
        </is>
      </c>
      <c r="Y467" s="3" t="inlineStr">
        <is>
          <t>https://topj.lib.whu.edu.cn/show.asp?cat=sci&amp;id=8240</t>
        </is>
      </c>
      <c r="Z467" s="3" t="inlineStr">
        <is>
          <t>https://api.crossref.org/works/10.1016/j.renene.2019.02.023</t>
        </is>
      </c>
      <c r="AA46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7" s="3" t="inlineStr">
        <is>
          <t>original_files/R13884/fulltext/fulltext__published__ad63f5dc897000a1.pdf</t>
        </is>
      </c>
      <c r="AC467" s="3" t="inlineStr">
        <is>
          <t>original_files/R13884/supplementary/supplementary__6ff25c5becbbfcff.docx</t>
        </is>
      </c>
      <c r="AD467" s="3" t="inlineStr">
        <is>
          <t>https://github.com/Colliam-Vermilion/FirstCodex/blob/results/ad-oxygen-literature-20261006/results/ad-oxygen-literature-20261006/original_files/R13884/fulltext/fulltext__published__ad63f5dc897000a1.pdf</t>
        </is>
      </c>
    </row>
    <row r="468" ht="48" customHeight="1">
      <c r="A468" s="2" t="inlineStr">
        <is>
          <t>R13885</t>
        </is>
      </c>
      <c r="B468" s="2" t="inlineStr">
        <is>
          <t>Multi-functional of TiO2@Ag core–shell nanostructure to prevent hydrogen sulfide formation during anaerobic digestion of sewage sludge with boosting of bio-CH4 production</t>
        </is>
      </c>
      <c r="C468" s="2" t="inlineStr">
        <is>
          <t>2023</t>
        </is>
      </c>
      <c r="D468" s="2" t="inlineStr">
        <is>
          <t>2023</t>
        </is>
      </c>
      <c r="E468" s="2" t="inlineStr">
        <is>
          <t>10.1016/j.fuel.2022.126608</t>
        </is>
      </c>
      <c r="F468" s="2" t="inlineStr">
        <is>
          <t>期刊文章</t>
        </is>
      </c>
      <c r="G468" s="2" t="inlineStr">
        <is>
          <t>5 排除</t>
        </is>
      </c>
      <c r="H468" s="2" t="inlineStr">
        <is>
          <t>否</t>
        </is>
      </c>
      <c r="I468" s="2" t="inlineStr">
        <is>
          <t>研究类</t>
        </is>
      </c>
      <c r="J468" s="2" t="inlineStr">
        <is>
          <t>否</t>
        </is>
      </c>
      <c r="K468" s="2" t="inlineStr">
        <is>
          <t>Fuel</t>
        </is>
      </c>
      <c r="L468" s="2" t="inlineStr">
        <is>
          <t>Fuel</t>
        </is>
      </c>
      <c r="M468" s="2" t="inlineStr">
        <is>
          <t>0016-2361</t>
        </is>
      </c>
      <c r="N468" s="2" t="inlineStr"/>
      <c r="O468" s="2" t="inlineStr">
        <is>
          <t>未取得全文</t>
        </is>
      </c>
      <c r="P468" s="2" t="inlineStr">
        <is>
          <t>否</t>
        </is>
      </c>
      <c r="Q468" s="2" t="inlineStr">
        <is>
          <t>当前无补充材料原件；沿用既有缺失/无附件证据，不据此认定无附件</t>
        </is>
      </c>
      <c r="R468" s="2" t="n">
        <v>2024</v>
      </c>
      <c r="S468" s="2" t="inlineStr">
        <is>
          <t>2025发布版（2024指标年）</t>
        </is>
      </c>
      <c r="T468" s="2" t="inlineStr">
        <is>
          <t>ENERGY &amp; FUELS; ENGINEERING, CHEMICAL</t>
        </is>
      </c>
      <c r="U468" s="2" t="inlineStr">
        <is>
          <t>ENERGY &amp; FUELS: Q1; ENGINEERING, CHEMICAL: Q1</t>
        </is>
      </c>
      <c r="V468" s="4" t="inlineStr">
        <is>
          <t>是</t>
        </is>
      </c>
      <c r="W468" s="4" t="inlineStr">
        <is>
          <t>是</t>
        </is>
      </c>
      <c r="X468" s="2" t="inlineStr">
        <is>
          <t>是</t>
        </is>
      </c>
      <c r="Y468" s="2" t="inlineStr">
        <is>
          <t>https://topj.lib.whu.edu.cn/show.asp?cat=sci&amp;id=5597</t>
        </is>
      </c>
      <c r="Z468" s="2" t="inlineStr">
        <is>
          <t>https://api.crossref.org/works/10.1016/j.fuel.2022.126608</t>
        </is>
      </c>
      <c r="AA46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8" s="2" t="inlineStr"/>
      <c r="AC468" s="2" t="inlineStr"/>
      <c r="AD468" s="2" t="inlineStr"/>
    </row>
    <row r="469" ht="48" customHeight="1">
      <c r="A469" s="3" t="inlineStr">
        <is>
          <t>R13886</t>
        </is>
      </c>
      <c r="B469" s="3" t="inlineStr">
        <is>
          <t>Effect of air mixing on high-solids anaerobic digestion of cow manure: Performance and mechanism.</t>
        </is>
      </c>
      <c r="C469" s="3" t="inlineStr">
        <is>
          <t>2023</t>
        </is>
      </c>
      <c r="D469" s="3" t="inlineStr">
        <is>
          <t>2023</t>
        </is>
      </c>
      <c r="E469" s="3" t="inlineStr">
        <is>
          <t>10.1016/j.biortech.2022.128545</t>
        </is>
      </c>
      <c r="F469" s="3" t="inlineStr">
        <is>
          <t>期刊文章</t>
        </is>
      </c>
      <c r="G469" s="3" t="inlineStr">
        <is>
          <t>1 直接向 AD 反应器或内部循环系统供氧</t>
        </is>
      </c>
      <c r="H469" s="3" t="inlineStr">
        <is>
          <t>是</t>
        </is>
      </c>
      <c r="I469" s="3" t="inlineStr">
        <is>
          <t>研究类</t>
        </is>
      </c>
      <c r="J469" s="3" t="inlineStr">
        <is>
          <t>是</t>
        </is>
      </c>
      <c r="K469" s="3" t="inlineStr">
        <is>
          <t>BIORESOURCE TECHNOLOGY</t>
        </is>
      </c>
      <c r="L469" s="3" t="inlineStr">
        <is>
          <t>Bioresource technology</t>
        </is>
      </c>
      <c r="M469" s="3" t="inlineStr">
        <is>
          <t>0960-8524</t>
        </is>
      </c>
      <c r="N469" s="3" t="inlineStr"/>
      <c r="O469" s="3" t="inlineStr">
        <is>
          <t>已取得核验全文</t>
        </is>
      </c>
      <c r="P469" s="3" t="inlineStr">
        <is>
          <t>是</t>
        </is>
      </c>
      <c r="Q469" s="3" t="inlineStr">
        <is>
          <t>已取得1件原格式补充材料；其中0件唯一关联待核实；完整性未确认</t>
        </is>
      </c>
      <c r="R469" s="3" t="n">
        <v>2024</v>
      </c>
      <c r="S469" s="3" t="inlineStr">
        <is>
          <t>2025发布版（2024指标年）</t>
        </is>
      </c>
      <c r="T469" s="3" t="inlineStr">
        <is>
          <t>AGRICULTURAL ENGINEERING; BIOTECHNOLOGY &amp; APPLIED MICROBIOLOGY; ENERGY &amp; FUELS</t>
        </is>
      </c>
      <c r="U469" s="3" t="inlineStr">
        <is>
          <t>AGRICULTURAL ENGINEERING: Q1; BIOTECHNOLOGY &amp; APPLIED MICROBIOLOGY: Q1; ENERGY &amp; FUELS: Q1</t>
        </is>
      </c>
      <c r="V469" s="4" t="inlineStr">
        <is>
          <t>是</t>
        </is>
      </c>
      <c r="W469" s="4" t="inlineStr">
        <is>
          <t>是</t>
        </is>
      </c>
      <c r="X469" s="3" t="inlineStr">
        <is>
          <t>是</t>
        </is>
      </c>
      <c r="Y469" s="3" t="inlineStr">
        <is>
          <t>https://topj.lib.whu.edu.cn/show.asp?cat=zk&amp;id=3976</t>
        </is>
      </c>
      <c r="Z469" s="3" t="inlineStr">
        <is>
          <t>https://api.crossref.org/works/10.1016/j.biortech.2022.128545</t>
        </is>
      </c>
      <c r="AA46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69" s="3" t="inlineStr">
        <is>
          <t>original_files/R13886/fulltext/fulltext__published__6a6cab884b6fd785.pdf</t>
        </is>
      </c>
      <c r="AC469" s="3" t="inlineStr">
        <is>
          <t>original_files/R13886/supplementary/supplementary__dbcb001df0c98d90.docx</t>
        </is>
      </c>
      <c r="AD469" s="3" t="inlineStr">
        <is>
          <t>https://github.com/Colliam-Vermilion/FirstCodex/blob/results/ad-oxygen-literature-20261006/results/ad-oxygen-literature-20261006/original_files/R13886/fulltext/fulltext__published__6a6cab884b6fd785.pdf</t>
        </is>
      </c>
    </row>
    <row r="470" ht="48" customHeight="1">
      <c r="A470" s="2" t="inlineStr">
        <is>
          <t>R13887</t>
        </is>
      </c>
      <c r="B470" s="2" t="inlineStr">
        <is>
          <t>Enhanced solubilization of solid organics and methane production by anaerobic digestion of swine manure under nano-bubble water addition</t>
        </is>
      </c>
      <c r="C470" s="2" t="inlineStr">
        <is>
          <t>2020</t>
        </is>
      </c>
      <c r="D470" s="2" t="inlineStr">
        <is>
          <t>2020</t>
        </is>
      </c>
      <c r="E470" s="2" t="inlineStr">
        <is>
          <t>10.1016/j.biortech.2019.122512</t>
        </is>
      </c>
      <c r="F470" s="2" t="inlineStr">
        <is>
          <t>期刊文章</t>
        </is>
      </c>
      <c r="G470" s="2" t="inlineStr">
        <is>
          <t>1 直接向 AD 反应器或内部循环系统供氧</t>
        </is>
      </c>
      <c r="H470" s="2" t="inlineStr">
        <is>
          <t>是</t>
        </is>
      </c>
      <c r="I470" s="2" t="inlineStr">
        <is>
          <t>研究类</t>
        </is>
      </c>
      <c r="J470" s="2" t="inlineStr">
        <is>
          <t>是</t>
        </is>
      </c>
      <c r="K470" s="2" t="inlineStr">
        <is>
          <t>BIORESOURCE TECHNOLOGY</t>
        </is>
      </c>
      <c r="L470" s="2" t="inlineStr">
        <is>
          <t>Bioresource Technology</t>
        </is>
      </c>
      <c r="M470" s="2" t="inlineStr">
        <is>
          <t>0960-8524</t>
        </is>
      </c>
      <c r="N470" s="2" t="inlineStr"/>
      <c r="O470" s="2" t="inlineStr">
        <is>
          <t>已取得核验全文</t>
        </is>
      </c>
      <c r="P470" s="2" t="inlineStr">
        <is>
          <t>是</t>
        </is>
      </c>
      <c r="Q470" s="2" t="inlineStr">
        <is>
          <t>已取得1件原格式补充材料；其中0件唯一关联待核实；完整性未确认</t>
        </is>
      </c>
      <c r="R470" s="2" t="n">
        <v>2024</v>
      </c>
      <c r="S470" s="2" t="inlineStr">
        <is>
          <t>2025发布版（2024指标年）</t>
        </is>
      </c>
      <c r="T470" s="2" t="inlineStr">
        <is>
          <t>AGRICULTURAL ENGINEERING; BIOTECHNOLOGY &amp; APPLIED MICROBIOLOGY; ENERGY &amp; FUELS</t>
        </is>
      </c>
      <c r="U470" s="2" t="inlineStr">
        <is>
          <t>AGRICULTURAL ENGINEERING: Q1; BIOTECHNOLOGY &amp; APPLIED MICROBIOLOGY: Q1; ENERGY &amp; FUELS: Q1</t>
        </is>
      </c>
      <c r="V470" s="4" t="inlineStr">
        <is>
          <t>是</t>
        </is>
      </c>
      <c r="W470" s="4" t="inlineStr">
        <is>
          <t>是</t>
        </is>
      </c>
      <c r="X470" s="2" t="inlineStr">
        <is>
          <t>是</t>
        </is>
      </c>
      <c r="Y470" s="2" t="inlineStr">
        <is>
          <t>https://topj.lib.whu.edu.cn/show.asp?cat=zk&amp;id=3976</t>
        </is>
      </c>
      <c r="Z470" s="2" t="inlineStr">
        <is>
          <t>https://api.crossref.org/works/10.1016/j.biortech.2019.122512</t>
        </is>
      </c>
      <c r="AA47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70" s="2" t="inlineStr">
        <is>
          <t>original_files/R13887/fulltext/fulltext__published__03bc9c011e292e23.pdf</t>
        </is>
      </c>
      <c r="AC470" s="2" t="inlineStr">
        <is>
          <t>original_files/R13887/supplementary/supplementary__3c0fec7df4bed4a1.docx</t>
        </is>
      </c>
      <c r="AD470" s="2" t="inlineStr">
        <is>
          <t>https://github.com/Colliam-Vermilion/FirstCodex/blob/results/ad-oxygen-literature-20261006/results/ad-oxygen-literature-20261006/original_files/R13887/fulltext/fulltext__published__03bc9c011e292e23.pdf</t>
        </is>
      </c>
    </row>
    <row r="471" ht="48" customHeight="1">
      <c r="A471" s="3" t="inlineStr">
        <is>
          <t>R13888</t>
        </is>
      </c>
      <c r="B471" s="3" t="inlineStr">
        <is>
          <t>Influence of thermophilic aerobic digestion as a sludge pre-treatment and solids retention time of mesophilic anaerobic digestion on the methane production, sludge digestion and microbial communities in a sequential digestion process</t>
        </is>
      </c>
      <c r="C471" s="3" t="inlineStr">
        <is>
          <t>2014</t>
        </is>
      </c>
      <c r="D471" s="3" t="inlineStr">
        <is>
          <t>2014</t>
        </is>
      </c>
      <c r="E471" s="3" t="inlineStr">
        <is>
          <t>10.1016/j.watres.2013.06.041</t>
        </is>
      </c>
      <c r="F471" s="3" t="inlineStr">
        <is>
          <t>期刊文章</t>
        </is>
      </c>
      <c r="G471" s="3" t="inlineStr">
        <is>
          <t>3 独立好氧或微好氧预处理</t>
        </is>
      </c>
      <c r="H471" s="3" t="inlineStr">
        <is>
          <t>是</t>
        </is>
      </c>
      <c r="I471" s="3" t="inlineStr">
        <is>
          <t>研究类</t>
        </is>
      </c>
      <c r="J471" s="3" t="inlineStr">
        <is>
          <t>是</t>
        </is>
      </c>
      <c r="K471" s="3" t="inlineStr">
        <is>
          <t>WATER RESEARCH</t>
        </is>
      </c>
      <c r="L471" s="3" t="inlineStr">
        <is>
          <t>Water Research</t>
        </is>
      </c>
      <c r="M471" s="3" t="inlineStr">
        <is>
          <t>0043-1354</t>
        </is>
      </c>
      <c r="N471" s="3" t="inlineStr"/>
      <c r="O471" s="3" t="inlineStr">
        <is>
          <t>已取得核验全文</t>
        </is>
      </c>
      <c r="P471" s="3" t="inlineStr">
        <is>
          <t>是</t>
        </is>
      </c>
      <c r="Q471" s="3" t="inlineStr">
        <is>
          <t>当前无补充材料原件；沿用既有缺失/无附件证据，不据此认定无附件</t>
        </is>
      </c>
      <c r="R471" s="3" t="n">
        <v>2024</v>
      </c>
      <c r="S471" s="3" t="inlineStr">
        <is>
          <t>2025发布版（2024指标年）</t>
        </is>
      </c>
      <c r="T471" s="3" t="inlineStr">
        <is>
          <t>WATER RESOURCES; ENGINEERING, ENVIRONMENTAL; ENVIRONMENTAL SCIENCES</t>
        </is>
      </c>
      <c r="U471" s="3" t="inlineStr">
        <is>
          <t>WATER RESOURCES: Q1; ENGINEERING, ENVIRONMENTAL: Q1; ENVIRONMENTAL SCIENCES: Q1</t>
        </is>
      </c>
      <c r="V471" s="4" t="inlineStr">
        <is>
          <t>是</t>
        </is>
      </c>
      <c r="W471" s="4" t="inlineStr">
        <is>
          <t>是</t>
        </is>
      </c>
      <c r="X471" s="3" t="inlineStr">
        <is>
          <t>是</t>
        </is>
      </c>
      <c r="Y471" s="3" t="inlineStr">
        <is>
          <t>https://topj.lib.whu.edu.cn/show.asp?cat=zk&amp;id=3962</t>
        </is>
      </c>
      <c r="Z471" s="3" t="inlineStr">
        <is>
          <t>https://api.crossref.org/works/10.1016/j.watres.2013.06.041</t>
        </is>
      </c>
      <c r="AA47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71" s="3" t="inlineStr">
        <is>
          <t>original_files/R13888/fulltext/fulltext__published__93351455d27e8f99.pdf</t>
        </is>
      </c>
      <c r="AC471" s="3" t="inlineStr"/>
      <c r="AD471" s="3" t="inlineStr">
        <is>
          <t>https://github.com/Colliam-Vermilion/FirstCodex/blob/results/ad-oxygen-literature-20261006/results/ad-oxygen-literature-20261006/original_files/R13888/fulltext/fulltext__published__93351455d27e8f99.pdf</t>
        </is>
      </c>
    </row>
    <row r="472" ht="48" customHeight="1">
      <c r="A472" s="2" t="inlineStr">
        <is>
          <t>R13889</t>
        </is>
      </c>
      <c r="B472" s="2" t="inlineStr">
        <is>
          <t>Increase in biogas production in anaerobic sludge digestion by combining aerobic hydrolysis and addition of metallic wastes</t>
        </is>
      </c>
      <c r="C472" s="2" t="inlineStr">
        <is>
          <t>2018</t>
        </is>
      </c>
      <c r="D472" s="2" t="inlineStr">
        <is>
          <t>2018</t>
        </is>
      </c>
      <c r="E472" s="2" t="inlineStr">
        <is>
          <t>10.1016/j.renene.2018.02.004</t>
        </is>
      </c>
      <c r="F472" s="2" t="inlineStr">
        <is>
          <t>期刊文章</t>
        </is>
      </c>
      <c r="G472" s="2" t="inlineStr">
        <is>
          <t>3 独立好氧或微好氧预处理</t>
        </is>
      </c>
      <c r="H472" s="2" t="inlineStr">
        <is>
          <t>是</t>
        </is>
      </c>
      <c r="I472" s="2" t="inlineStr">
        <is>
          <t>研究类</t>
        </is>
      </c>
      <c r="J472" s="2" t="inlineStr">
        <is>
          <t>是</t>
        </is>
      </c>
      <c r="K472" s="2" t="inlineStr">
        <is>
          <t>Renewable Energy</t>
        </is>
      </c>
      <c r="L472" s="2" t="inlineStr">
        <is>
          <t>Renewable Energy</t>
        </is>
      </c>
      <c r="M472" s="2" t="inlineStr">
        <is>
          <t>0960-1481</t>
        </is>
      </c>
      <c r="N472" s="2" t="inlineStr"/>
      <c r="O472" s="2" t="inlineStr">
        <is>
          <t>已取得核验全文</t>
        </is>
      </c>
      <c r="P472" s="2" t="inlineStr">
        <is>
          <t>是</t>
        </is>
      </c>
      <c r="Q472" s="2" t="inlineStr">
        <is>
          <t>当前无补充材料原件；沿用既有缺失/无附件证据，不据此认定无附件</t>
        </is>
      </c>
      <c r="R472" s="2" t="n">
        <v>2024</v>
      </c>
      <c r="S472" s="2" t="inlineStr">
        <is>
          <t>2025发布版（2024指标年）</t>
        </is>
      </c>
      <c r="T472" s="2" t="inlineStr">
        <is>
          <t>ENERGY &amp; FUELS; GREEN &amp; SUSTAINABLE SCIENCE &amp; TECHNOLOGY</t>
        </is>
      </c>
      <c r="U472" s="2" t="inlineStr">
        <is>
          <t>ENERGY &amp; FUELS: Q1; GREEN &amp; SUSTAINABLE SCIENCE &amp; TECHNOLOGY: Q1</t>
        </is>
      </c>
      <c r="V472" s="4" t="inlineStr">
        <is>
          <t>是</t>
        </is>
      </c>
      <c r="W472" s="4" t="inlineStr">
        <is>
          <t>是</t>
        </is>
      </c>
      <c r="X472" s="2" t="inlineStr">
        <is>
          <t>是</t>
        </is>
      </c>
      <c r="Y472" s="2" t="inlineStr">
        <is>
          <t>https://topj.lib.whu.edu.cn/show.asp?cat=sci&amp;id=8240</t>
        </is>
      </c>
      <c r="Z472" s="2" t="inlineStr">
        <is>
          <t>https://api.crossref.org/works/10.1016/j.renene.2018.02.004</t>
        </is>
      </c>
      <c r="AA47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72" s="2" t="inlineStr">
        <is>
          <t>original_files/R13889/fulltext/fulltext__version_unverified__8db0dcdf434e876e.pdf</t>
        </is>
      </c>
      <c r="AC472" s="2" t="inlineStr"/>
      <c r="AD472" s="2" t="inlineStr">
        <is>
          <t>https://github.com/Colliam-Vermilion/FirstCodex/blob/results/ad-oxygen-literature-20261006/results/ad-oxygen-literature-20261006/original_files/R13889/fulltext/fulltext__version_unverified__8db0dcdf434e876e.pdf</t>
        </is>
      </c>
    </row>
    <row r="473" ht="48" customHeight="1">
      <c r="A473" s="3" t="inlineStr">
        <is>
          <t>R13890</t>
        </is>
      </c>
      <c r="B473" s="3" t="inlineStr">
        <is>
          <t>Biogas Production and Microbial Communities in the Anaerobic Digestion of Sewage Sludge Under Hydrothermal Pretreatment with Air and a Catalyst</t>
        </is>
      </c>
      <c r="C473" s="3" t="inlineStr">
        <is>
          <t>2021</t>
        </is>
      </c>
      <c r="D473" s="3" t="inlineStr">
        <is>
          <t>2021</t>
        </is>
      </c>
      <c r="E473" s="3" t="inlineStr">
        <is>
          <t>10.1007/s12155-020-10199-4</t>
        </is>
      </c>
      <c r="F473" s="3" t="inlineStr">
        <is>
          <t>期刊文章</t>
        </is>
      </c>
      <c r="G473" s="3" t="inlineStr">
        <is>
          <t>3 独立好氧或微好氧预处理</t>
        </is>
      </c>
      <c r="H473" s="3" t="inlineStr">
        <is>
          <t>是</t>
        </is>
      </c>
      <c r="I473" s="3" t="inlineStr">
        <is>
          <t>研究类</t>
        </is>
      </c>
      <c r="J473" s="3" t="inlineStr">
        <is>
          <t>是</t>
        </is>
      </c>
      <c r="K473" s="3" t="inlineStr">
        <is>
          <t>BIOENERGY RESEARCH</t>
        </is>
      </c>
      <c r="L473" s="3" t="inlineStr">
        <is>
          <t>BioEnergy Research</t>
        </is>
      </c>
      <c r="M473" s="3" t="inlineStr">
        <is>
          <t>1939-1234</t>
        </is>
      </c>
      <c r="N473" s="3" t="inlineStr">
        <is>
          <t>1939-1242</t>
        </is>
      </c>
      <c r="O473" s="3" t="inlineStr">
        <is>
          <t>已取得核验全文</t>
        </is>
      </c>
      <c r="P473" s="3" t="inlineStr">
        <is>
          <t>是</t>
        </is>
      </c>
      <c r="Q473" s="3" t="inlineStr">
        <is>
          <t>已取得1件原格式补充材料；其中0件唯一关联待核实；完整性未确认</t>
        </is>
      </c>
      <c r="R473" s="3" t="n">
        <v>2024</v>
      </c>
      <c r="S473" s="3" t="inlineStr">
        <is>
          <t>2025发布版（2024指标年）</t>
        </is>
      </c>
      <c r="T473" s="3" t="inlineStr">
        <is>
          <t>ENERGY &amp; FUELS; ENVIRONMENTAL SCIENCES</t>
        </is>
      </c>
      <c r="U473" s="3" t="inlineStr">
        <is>
          <t>ENERGY &amp; FUELS: Q3; ENVIRONMENTAL SCIENCES: Q3</t>
        </is>
      </c>
      <c r="V473" s="3" t="inlineStr">
        <is>
          <t>否</t>
        </is>
      </c>
      <c r="W473" s="3" t="inlineStr">
        <is>
          <t>否</t>
        </is>
      </c>
      <c r="X473" s="3" t="inlineStr">
        <is>
          <t>是</t>
        </is>
      </c>
      <c r="Y473" s="3" t="inlineStr">
        <is>
          <t>https://topj.lib.whu.edu.cn/search.asp?cat=esi&amp;ordertype=desc&amp;page=7&amp;q=&amp;xk=19</t>
        </is>
      </c>
      <c r="Z473" s="3" t="inlineStr">
        <is>
          <t>https://api.crossref.org/works/10.1007/s12155-020-10199-4</t>
        </is>
      </c>
      <c r="AA47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473" s="3" t="inlineStr">
        <is>
          <t>original_files/R13890/fulltext/fulltext__published__af6ee11377a5113d.pdf</t>
        </is>
      </c>
      <c r="AC473" s="3" t="inlineStr">
        <is>
          <t>original_files/R13890/supplementary/supplementary__6d0da539d17d895d.docx</t>
        </is>
      </c>
      <c r="AD473" s="3" t="inlineStr">
        <is>
          <t>https://github.com/Colliam-Vermilion/FirstCodex/blob/results/ad-oxygen-literature-20261006/results/ad-oxygen-literature-20261006/original_files/R13890/fulltext/fulltext__published__af6ee11377a5113d.pdf</t>
        </is>
      </c>
    </row>
    <row r="474" ht="48" customHeight="1">
      <c r="A474" s="2" t="inlineStr">
        <is>
          <t>R13891</t>
        </is>
      </c>
      <c r="B474" s="2" t="inlineStr">
        <is>
          <t>Enhancement of high-solid chicken manure anaerobic digestion: Insights into ammonia air stripping pretreatment for microbial resilience and hydraulic retention stabilization</t>
        </is>
      </c>
      <c r="C474" s="2" t="inlineStr">
        <is>
          <t>2025</t>
        </is>
      </c>
      <c r="D474" s="2" t="inlineStr">
        <is>
          <t>2025</t>
        </is>
      </c>
      <c r="E474" s="2" t="inlineStr">
        <is>
          <t>10.1016/j.biombioe.2025.108098</t>
        </is>
      </c>
      <c r="F474" s="2" t="inlineStr">
        <is>
          <t>期刊文章</t>
        </is>
      </c>
      <c r="G474" s="2" t="inlineStr">
        <is>
          <t>3 独立好氧或微好氧预处理</t>
        </is>
      </c>
      <c r="H474" s="2" t="inlineStr">
        <is>
          <t>是</t>
        </is>
      </c>
      <c r="I474" s="2" t="inlineStr">
        <is>
          <t>研究类</t>
        </is>
      </c>
      <c r="J474" s="2" t="inlineStr">
        <is>
          <t>是</t>
        </is>
      </c>
      <c r="K474" s="2" t="inlineStr">
        <is>
          <t>BIOMASS &amp; BIOENERGY</t>
        </is>
      </c>
      <c r="L474" s="2" t="inlineStr">
        <is>
          <t>Biomass and Bioenergy</t>
        </is>
      </c>
      <c r="M474" s="2" t="inlineStr">
        <is>
          <t>0961-9534</t>
        </is>
      </c>
      <c r="N474" s="2" t="inlineStr"/>
      <c r="O474" s="2" t="inlineStr">
        <is>
          <t>已取得核验全文</t>
        </is>
      </c>
      <c r="P474" s="2" t="inlineStr">
        <is>
          <t>是</t>
        </is>
      </c>
      <c r="Q474" s="2" t="inlineStr">
        <is>
          <t>已取得1件原格式补充材料；其中1件唯一关联待核实；完整性未确认</t>
        </is>
      </c>
      <c r="R474" s="2" t="n">
        <v>2024</v>
      </c>
      <c r="S474" s="2" t="inlineStr">
        <is>
          <t>2025发布版（2024指标年）</t>
        </is>
      </c>
      <c r="T474" s="2" t="inlineStr">
        <is>
          <t>AGRICULTURAL ENGINEERING; BIOTECHNOLOGY &amp; APPLIED MICROBIOLOGY; ENERGY &amp; FUELS</t>
        </is>
      </c>
      <c r="U474" s="2" t="inlineStr">
        <is>
          <t>AGRICULTURAL ENGINEERING: Q1; BIOTECHNOLOGY &amp; APPLIED MICROBIOLOGY: Q1; ENERGY &amp; FUELS: Q2</t>
        </is>
      </c>
      <c r="V474" s="4" t="inlineStr">
        <is>
          <t>是</t>
        </is>
      </c>
      <c r="W474" s="2" t="inlineStr">
        <is>
          <t>否</t>
        </is>
      </c>
      <c r="X474" s="2" t="inlineStr">
        <is>
          <t>是</t>
        </is>
      </c>
      <c r="Y474" s="2" t="inlineStr">
        <is>
          <t>https://topj.lib.whu.edu.cn/show.asp?cat=sci&amp;id=5613</t>
        </is>
      </c>
      <c r="Z474" s="2" t="inlineStr">
        <is>
          <t>https://api.crossref.org/works/10.1016/j.biombioe.2025.108098</t>
        </is>
      </c>
      <c r="AA47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74" s="2" t="inlineStr">
        <is>
          <t>original_files/R13891/fulltext/fulltext__published__013fa70d540059aa.pdf</t>
        </is>
      </c>
      <c r="AC474" s="2" t="inlineStr">
        <is>
          <t>original_files/R13891/supplementary/supplementary__6c2b13c51dc6d090.doc</t>
        </is>
      </c>
      <c r="AD474" s="2" t="inlineStr">
        <is>
          <t>https://github.com/Colliam-Vermilion/FirstCodex/blob/results/ad-oxygen-literature-20261006/results/ad-oxygen-literature-20261006/original_files/R13891/fulltext/fulltext__published__013fa70d540059aa.pdf</t>
        </is>
      </c>
    </row>
    <row r="475" ht="48" customHeight="1">
      <c r="A475" s="3" t="inlineStr">
        <is>
          <t>R13892</t>
        </is>
      </c>
      <c r="B475" s="3" t="inlineStr">
        <is>
          <t>Bioconversion of bamboo shoot shell to methane assisted by microwave irradiation and fungus metabolism.</t>
        </is>
      </c>
      <c r="C475" s="3" t="inlineStr">
        <is>
          <t>2020</t>
        </is>
      </c>
      <c r="D475" s="3" t="inlineStr">
        <is>
          <t>2020</t>
        </is>
      </c>
      <c r="E475" s="3" t="inlineStr">
        <is>
          <t>10.1016/j.scitotenv.2020.138268</t>
        </is>
      </c>
      <c r="F475" s="3" t="inlineStr">
        <is>
          <t>期刊文章</t>
        </is>
      </c>
      <c r="G475" s="3" t="inlineStr">
        <is>
          <t>5 排除</t>
        </is>
      </c>
      <c r="H475" s="3" t="inlineStr">
        <is>
          <t>否</t>
        </is>
      </c>
      <c r="I475" s="3" t="inlineStr">
        <is>
          <t>研究类</t>
        </is>
      </c>
      <c r="J475" s="3" t="inlineStr">
        <is>
          <t>否</t>
        </is>
      </c>
      <c r="K475" s="3" t="inlineStr">
        <is>
          <t>Science of The Total Environment</t>
        </is>
      </c>
      <c r="L475" s="3" t="inlineStr">
        <is>
          <t>The Science of the total environment</t>
        </is>
      </c>
      <c r="M475" s="3" t="inlineStr">
        <is>
          <t>0048-9697</t>
        </is>
      </c>
      <c r="N475" s="3" t="inlineStr"/>
      <c r="O475" s="3" t="inlineStr">
        <is>
          <t>未取得全文</t>
        </is>
      </c>
      <c r="P475" s="3" t="inlineStr">
        <is>
          <t>否</t>
        </is>
      </c>
      <c r="Q475" s="3" t="inlineStr">
        <is>
          <t>当前无补充材料原件；沿用既有缺失/无附件证据，不据此认定无附件</t>
        </is>
      </c>
      <c r="R475" s="3" t="n">
        <v>2024</v>
      </c>
      <c r="S475" s="3" t="inlineStr">
        <is>
          <t>2025发布版（2024指标年）</t>
        </is>
      </c>
      <c r="T475" s="3" t="inlineStr">
        <is>
          <t>ENVIRONMENTAL SCIENCES</t>
        </is>
      </c>
      <c r="U475" s="3" t="inlineStr">
        <is>
          <t>ENVIRONMENTAL SCIENCES: Q1</t>
        </is>
      </c>
      <c r="V475" s="4" t="inlineStr">
        <is>
          <t>是</t>
        </is>
      </c>
      <c r="W475" s="4" t="inlineStr">
        <is>
          <t>是</t>
        </is>
      </c>
      <c r="X475" s="3" t="inlineStr">
        <is>
          <t>是</t>
        </is>
      </c>
      <c r="Y475" s="3" t="inlineStr">
        <is>
          <t>https://topj.lib.whu.edu.cn/show.asp?cat=zk&amp;id=4001</t>
        </is>
      </c>
      <c r="Z475" s="3" t="inlineStr">
        <is>
          <t>https://api.crossref.org/works/10.1016/j.scitotenv.2020.138268</t>
        </is>
      </c>
      <c r="AA47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75" s="3" t="inlineStr"/>
      <c r="AC475" s="3" t="inlineStr"/>
      <c r="AD475" s="3" t="inlineStr"/>
    </row>
    <row r="476" ht="48" customHeight="1">
      <c r="A476" s="2" t="inlineStr">
        <is>
          <t>R13893</t>
        </is>
      </c>
      <c r="B476" s="2" t="inlineStr">
        <is>
          <t>Alleviation of volatile fatty acids inhibition in anaerobic digestion of swine manure with nano-bubble water supplementation</t>
        </is>
      </c>
      <c r="C476" s="2" t="inlineStr">
        <is>
          <t>2024</t>
        </is>
      </c>
      <c r="D476" s="2" t="inlineStr">
        <is>
          <t>2024</t>
        </is>
      </c>
      <c r="E476" s="2" t="inlineStr">
        <is>
          <t>10.1016/j.biortech.2024.131304</t>
        </is>
      </c>
      <c r="F476" s="2" t="inlineStr">
        <is>
          <t>期刊文章</t>
        </is>
      </c>
      <c r="G476" s="2" t="inlineStr">
        <is>
          <t>1 直接向 AD 反应器或内部循环系统供氧</t>
        </is>
      </c>
      <c r="H476" s="2" t="inlineStr">
        <is>
          <t>是</t>
        </is>
      </c>
      <c r="I476" s="2" t="inlineStr">
        <is>
          <t>研究类</t>
        </is>
      </c>
      <c r="J476" s="2" t="inlineStr">
        <is>
          <t>是</t>
        </is>
      </c>
      <c r="K476" s="2" t="inlineStr">
        <is>
          <t>BIORESOURCE TECHNOLOGY</t>
        </is>
      </c>
      <c r="L476" s="2" t="inlineStr">
        <is>
          <t>Bioresource Technology</t>
        </is>
      </c>
      <c r="M476" s="2" t="inlineStr">
        <is>
          <t>0960-8524</t>
        </is>
      </c>
      <c r="N476" s="2" t="inlineStr"/>
      <c r="O476" s="2" t="inlineStr">
        <is>
          <t>已取得核验全文</t>
        </is>
      </c>
      <c r="P476" s="2" t="inlineStr">
        <is>
          <t>是</t>
        </is>
      </c>
      <c r="Q476" s="2" t="inlineStr">
        <is>
          <t>当前无补充材料原件；沿用既有缺失/无附件证据，不据此认定无附件</t>
        </is>
      </c>
      <c r="R476" s="2" t="n">
        <v>2024</v>
      </c>
      <c r="S476" s="2" t="inlineStr">
        <is>
          <t>2025发布版（2024指标年）</t>
        </is>
      </c>
      <c r="T476" s="2" t="inlineStr">
        <is>
          <t>AGRICULTURAL ENGINEERING; BIOTECHNOLOGY &amp; APPLIED MICROBIOLOGY; ENERGY &amp; FUELS</t>
        </is>
      </c>
      <c r="U476" s="2" t="inlineStr">
        <is>
          <t>AGRICULTURAL ENGINEERING: Q1; BIOTECHNOLOGY &amp; APPLIED MICROBIOLOGY: Q1; ENERGY &amp; FUELS: Q1</t>
        </is>
      </c>
      <c r="V476" s="4" t="inlineStr">
        <is>
          <t>是</t>
        </is>
      </c>
      <c r="W476" s="4" t="inlineStr">
        <is>
          <t>是</t>
        </is>
      </c>
      <c r="X476" s="2" t="inlineStr">
        <is>
          <t>是</t>
        </is>
      </c>
      <c r="Y476" s="2" t="inlineStr">
        <is>
          <t>https://topj.lib.whu.edu.cn/show.asp?cat=zk&amp;id=3976</t>
        </is>
      </c>
      <c r="Z476" s="2" t="inlineStr">
        <is>
          <t>https://api.crossref.org/works/10.1016/j.biortech.2024.131304</t>
        </is>
      </c>
      <c r="AA47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76" s="2" t="inlineStr">
        <is>
          <t>original_files/R13893/fulltext/fulltext__published__bbd65f61b2c8443e.pdf</t>
        </is>
      </c>
      <c r="AC476" s="2" t="inlineStr"/>
      <c r="AD476" s="2" t="inlineStr">
        <is>
          <t>https://github.com/Colliam-Vermilion/FirstCodex/blob/results/ad-oxygen-literature-20261006/results/ad-oxygen-literature-20261006/original_files/R13893/fulltext/fulltext__published__bbd65f61b2c8443e.pdf</t>
        </is>
      </c>
    </row>
    <row r="477" ht="48" customHeight="1">
      <c r="A477" s="3" t="inlineStr">
        <is>
          <t>R13894</t>
        </is>
      </c>
      <c r="B477" s="3" t="inlineStr">
        <is>
          <t>Effects of Aerobic Pre-Treatment on Anaerobic Batch Digestion of Corn Straw</t>
        </is>
      </c>
      <c r="C477" s="3" t="inlineStr">
        <is>
          <t>2017</t>
        </is>
      </c>
      <c r="D477" s="3" t="inlineStr">
        <is>
          <t>2017</t>
        </is>
      </c>
      <c r="E477" s="3" t="inlineStr">
        <is>
          <t>10.1166/jbmb.2017.1716</t>
        </is>
      </c>
      <c r="F477" s="3" t="inlineStr">
        <is>
          <t>期刊原始研究</t>
        </is>
      </c>
      <c r="G477" s="3" t="inlineStr">
        <is>
          <t>3 独立好氧或微好氧预处理</t>
        </is>
      </c>
      <c r="H477" s="3" t="inlineStr">
        <is>
          <t>是</t>
        </is>
      </c>
      <c r="I477" s="3" t="inlineStr">
        <is>
          <t>研究类</t>
        </is>
      </c>
      <c r="J477" s="3" t="inlineStr">
        <is>
          <t>是</t>
        </is>
      </c>
      <c r="K477" s="3" t="inlineStr">
        <is>
          <t>Journal of Biobased Materials and Bioenergy</t>
        </is>
      </c>
      <c r="L477" s="3" t="inlineStr">
        <is>
          <t>Journal of Biobased Materials and Bioenergy</t>
        </is>
      </c>
      <c r="M477" s="3" t="inlineStr">
        <is>
          <t>1556-6560</t>
        </is>
      </c>
      <c r="N477" s="3" t="inlineStr"/>
      <c r="O477" s="3" t="inlineStr">
        <is>
          <t>未取得全文</t>
        </is>
      </c>
      <c r="P477" s="3" t="inlineStr">
        <is>
          <t>否</t>
        </is>
      </c>
      <c r="Q477" s="3" t="inlineStr">
        <is>
          <t>当前无补充材料原件；沿用既有缺失/无附件证据，不据此认定无附件</t>
        </is>
      </c>
      <c r="R477" s="3" t="n">
        <v>2024</v>
      </c>
      <c r="S477" s="3" t="inlineStr">
        <is>
          <t>2025发布版（2024指标年）</t>
        </is>
      </c>
      <c r="T477" s="3" t="inlineStr"/>
      <c r="U477" s="3" t="inlineStr"/>
      <c r="V477" s="3" t="inlineStr">
        <is>
          <t>待核实</t>
        </is>
      </c>
      <c r="W477" s="3" t="inlineStr">
        <is>
          <t>待核实</t>
        </is>
      </c>
      <c r="X477" s="3" t="inlineStr">
        <is>
          <t>否</t>
        </is>
      </c>
      <c r="Y477" s="3" t="inlineStr"/>
      <c r="Z477" s="3" t="inlineStr">
        <is>
          <t>https://api.crossref.org/works/10.1166/jbmb.2017.1716</t>
        </is>
      </c>
      <c r="AA477" s="3" t="inlineStr">
        <is>
          <t>2024指标年JCR分区未核实；空白不能当非Q1。需要2025发布版/2024指标年的JCR全部学科导出。</t>
        </is>
      </c>
      <c r="AB477" s="3" t="inlineStr"/>
      <c r="AC477" s="3" t="inlineStr"/>
      <c r="AD477" s="3" t="inlineStr"/>
    </row>
    <row r="478" ht="48" customHeight="1">
      <c r="A478" s="2" t="inlineStr">
        <is>
          <t>R13895</t>
        </is>
      </c>
      <c r="B478" s="2" t="inlineStr">
        <is>
          <t>Enhancement of anaerobic batch digestion of spineless cacti (Opuntia ficus indica) feedstock by aerobic pre-treatment</t>
        </is>
      </c>
      <c r="C478" s="2" t="inlineStr">
        <is>
          <t>2019</t>
        </is>
      </c>
      <c r="D478" s="2" t="inlineStr">
        <is>
          <t>2019</t>
        </is>
      </c>
      <c r="E478" s="2" t="inlineStr">
        <is>
          <t>10.5897/ajb2018.16652</t>
        </is>
      </c>
      <c r="F478" s="2" t="inlineStr">
        <is>
          <t>期刊原始研究</t>
        </is>
      </c>
      <c r="G478" s="2" t="inlineStr">
        <is>
          <t>3 独立好氧或微好氧预处理</t>
        </is>
      </c>
      <c r="H478" s="2" t="inlineStr">
        <is>
          <t>是</t>
        </is>
      </c>
      <c r="I478" s="2" t="inlineStr">
        <is>
          <t>研究类</t>
        </is>
      </c>
      <c r="J478" s="2" t="inlineStr">
        <is>
          <t>是</t>
        </is>
      </c>
      <c r="K478" s="2" t="inlineStr">
        <is>
          <t>African Journal of Biotechnology</t>
        </is>
      </c>
      <c r="L478" s="2" t="inlineStr">
        <is>
          <t>African Journal of Biotechnology</t>
        </is>
      </c>
      <c r="M478" s="2" t="inlineStr"/>
      <c r="N478" s="2" t="inlineStr">
        <is>
          <t>1684-5315</t>
        </is>
      </c>
      <c r="O478" s="2" t="inlineStr">
        <is>
          <t>已取得核验全文</t>
        </is>
      </c>
      <c r="P478" s="2" t="inlineStr">
        <is>
          <t>是</t>
        </is>
      </c>
      <c r="Q478" s="2" t="inlineStr">
        <is>
          <t>当前无补充材料原件；沿用既有缺失/无附件证据，不据此认定无附件</t>
        </is>
      </c>
      <c r="R478" s="2" t="n">
        <v>2024</v>
      </c>
      <c r="S478" s="2" t="inlineStr">
        <is>
          <t>2025发布版（2024指标年）</t>
        </is>
      </c>
      <c r="T478" s="2" t="inlineStr"/>
      <c r="U478" s="2" t="inlineStr"/>
      <c r="V478" s="2" t="inlineStr">
        <is>
          <t>待核实</t>
        </is>
      </c>
      <c r="W478" s="2" t="inlineStr">
        <is>
          <t>待核实</t>
        </is>
      </c>
      <c r="X478" s="2" t="inlineStr">
        <is>
          <t>否</t>
        </is>
      </c>
      <c r="Y478" s="2" t="inlineStr"/>
      <c r="Z478" s="2" t="inlineStr">
        <is>
          <t>https://api.crossref.org/works/10.5897/ajb2018.16652</t>
        </is>
      </c>
      <c r="AA478" s="2" t="inlineStr">
        <is>
          <t>2024指标年JCR分区未核实；空白不能当非Q1。需要2025发布版/2024指标年的JCR全部学科导出。</t>
        </is>
      </c>
      <c r="AB478" s="2" t="inlineStr">
        <is>
          <t>original_files/R13895/fulltext/fulltext__published__106f8aa2d37135c5.pdf</t>
        </is>
      </c>
      <c r="AC478" s="2" t="inlineStr"/>
      <c r="AD478" s="2" t="inlineStr">
        <is>
          <t>https://github.com/Colliam-Vermilion/FirstCodex/blob/results/ad-oxygen-literature-20261006/results/ad-oxygen-literature-20261006/original_files/R13895/fulltext/fulltext__published__106f8aa2d37135c5.pdf</t>
        </is>
      </c>
    </row>
    <row r="479" ht="48" customHeight="1">
      <c r="A479" s="3" t="inlineStr">
        <is>
          <t>R13896</t>
        </is>
      </c>
      <c r="B479" s="3" t="inlineStr">
        <is>
          <t>Effect of aeration pretreatment on anaerobic digestion of swine manure</t>
        </is>
      </c>
      <c r="C479" s="3" t="inlineStr">
        <is>
          <t>2025</t>
        </is>
      </c>
      <c r="D479" s="3" t="inlineStr">
        <is>
          <t>2025</t>
        </is>
      </c>
      <c r="E479" s="3" t="inlineStr">
        <is>
          <t>10.1080/09593330.2024.2416094</t>
        </is>
      </c>
      <c r="F479" s="3" t="inlineStr">
        <is>
          <t>期刊原始研究</t>
        </is>
      </c>
      <c r="G479" s="3" t="inlineStr">
        <is>
          <t>3 独立好氧或微好氧预处理</t>
        </is>
      </c>
      <c r="H479" s="3" t="inlineStr">
        <is>
          <t>是</t>
        </is>
      </c>
      <c r="I479" s="3" t="inlineStr">
        <is>
          <t>研究类</t>
        </is>
      </c>
      <c r="J479" s="3" t="inlineStr">
        <is>
          <t>是</t>
        </is>
      </c>
      <c r="K479" s="3" t="inlineStr">
        <is>
          <t>ENVIRONMENTAL TECHNOLOGY</t>
        </is>
      </c>
      <c r="L479" s="3" t="inlineStr">
        <is>
          <t>Environmental Technology</t>
        </is>
      </c>
      <c r="M479" s="3" t="inlineStr">
        <is>
          <t>0959-3330</t>
        </is>
      </c>
      <c r="N479" s="3" t="inlineStr">
        <is>
          <t>1479-487X</t>
        </is>
      </c>
      <c r="O479" s="3" t="inlineStr">
        <is>
          <t>已取得核验全文</t>
        </is>
      </c>
      <c r="P479" s="3" t="inlineStr">
        <is>
          <t>是</t>
        </is>
      </c>
      <c r="Q479" s="3" t="inlineStr">
        <is>
          <t>当前无补充材料原件；沿用既有缺失/无附件证据，不据此认定无附件</t>
        </is>
      </c>
      <c r="R479" s="3" t="n">
        <v>2024</v>
      </c>
      <c r="S479" s="3" t="inlineStr">
        <is>
          <t>2025发布版（2024指标年）</t>
        </is>
      </c>
      <c r="T479" s="3" t="inlineStr">
        <is>
          <t>ENVIRONMENTAL SCIENCES</t>
        </is>
      </c>
      <c r="U479" s="3" t="inlineStr">
        <is>
          <t>ENVIRONMENTAL SCIENCES: Q3</t>
        </is>
      </c>
      <c r="V479" s="3" t="inlineStr">
        <is>
          <t>否</t>
        </is>
      </c>
      <c r="W479" s="3" t="inlineStr">
        <is>
          <t>否</t>
        </is>
      </c>
      <c r="X479" s="3" t="inlineStr">
        <is>
          <t>是</t>
        </is>
      </c>
      <c r="Y479" s="3" t="inlineStr">
        <is>
          <t>https://topj.lib.whu.edu.cn/searchxk1.asp?ordertype=desc&amp;page=11&amp;q=&amp;xk=488</t>
        </is>
      </c>
      <c r="Z479" s="3" t="inlineStr">
        <is>
          <t>https://api.crossref.org/works/10.1080/09593330.2024.2416094</t>
        </is>
      </c>
      <c r="AA479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479" s="3" t="inlineStr">
        <is>
          <t>original_files/R13896/fulltext/fulltext__published__335ebc47cd2604a5.pdf</t>
        </is>
      </c>
      <c r="AC479" s="3" t="inlineStr"/>
      <c r="AD479" s="3" t="inlineStr">
        <is>
          <t>https://github.com/Colliam-Vermilion/FirstCodex/blob/results/ad-oxygen-literature-20261006/results/ad-oxygen-literature-20261006/original_files/R13896/fulltext/fulltext__published__335ebc47cd2604a5.pdf</t>
        </is>
      </c>
    </row>
    <row r="480" ht="48" customHeight="1">
      <c r="A480" s="2" t="inlineStr">
        <is>
          <t>R13897</t>
        </is>
      </c>
      <c r="B480" s="2" t="inlineStr">
        <is>
          <t>Anaerobic digestion of corn straw pretreated by ultrasonic combined with aerobic hydrolysis</t>
        </is>
      </c>
      <c r="C480" s="2" t="inlineStr">
        <is>
          <t>2021</t>
        </is>
      </c>
      <c r="D480" s="2" t="inlineStr">
        <is>
          <t>2021</t>
        </is>
      </c>
      <c r="E480" s="2" t="inlineStr">
        <is>
          <t>10.1016/j.biortech.2021.125826</t>
        </is>
      </c>
      <c r="F480" s="2" t="inlineStr">
        <is>
          <t>期刊原始研究</t>
        </is>
      </c>
      <c r="G480" s="2" t="inlineStr">
        <is>
          <t>3 独立好氧或微好氧预处理</t>
        </is>
      </c>
      <c r="H480" s="2" t="inlineStr">
        <is>
          <t>是</t>
        </is>
      </c>
      <c r="I480" s="2" t="inlineStr">
        <is>
          <t>研究类</t>
        </is>
      </c>
      <c r="J480" s="2" t="inlineStr">
        <is>
          <t>是</t>
        </is>
      </c>
      <c r="K480" s="2" t="inlineStr">
        <is>
          <t>BIORESOURCE TECHNOLOGY</t>
        </is>
      </c>
      <c r="L480" s="2" t="inlineStr">
        <is>
          <t>Bioresource Technology</t>
        </is>
      </c>
      <c r="M480" s="2" t="inlineStr">
        <is>
          <t>0960-8524</t>
        </is>
      </c>
      <c r="N480" s="2" t="inlineStr"/>
      <c r="O480" s="2" t="inlineStr">
        <is>
          <t>已取得核验全文</t>
        </is>
      </c>
      <c r="P480" s="2" t="inlineStr">
        <is>
          <t>是</t>
        </is>
      </c>
      <c r="Q480" s="2" t="inlineStr">
        <is>
          <t>当前无补充材料原件；沿用既有缺失/无附件证据，不据此认定无附件</t>
        </is>
      </c>
      <c r="R480" s="2" t="n">
        <v>2024</v>
      </c>
      <c r="S480" s="2" t="inlineStr">
        <is>
          <t>2025发布版（2024指标年）</t>
        </is>
      </c>
      <c r="T480" s="2" t="inlineStr">
        <is>
          <t>AGRICULTURAL ENGINEERING; BIOTECHNOLOGY &amp; APPLIED MICROBIOLOGY; ENERGY &amp; FUELS</t>
        </is>
      </c>
      <c r="U480" s="2" t="inlineStr">
        <is>
          <t>AGRICULTURAL ENGINEERING: Q1; BIOTECHNOLOGY &amp; APPLIED MICROBIOLOGY: Q1; ENERGY &amp; FUELS: Q1</t>
        </is>
      </c>
      <c r="V480" s="4" t="inlineStr">
        <is>
          <t>是</t>
        </is>
      </c>
      <c r="W480" s="4" t="inlineStr">
        <is>
          <t>是</t>
        </is>
      </c>
      <c r="X480" s="2" t="inlineStr">
        <is>
          <t>是</t>
        </is>
      </c>
      <c r="Y480" s="2" t="inlineStr">
        <is>
          <t>https://topj.lib.whu.edu.cn/show.asp?cat=zk&amp;id=3976</t>
        </is>
      </c>
      <c r="Z480" s="2" t="inlineStr">
        <is>
          <t>https://api.crossref.org/works/10.1016/j.biortech.2021.125826</t>
        </is>
      </c>
      <c r="AA48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80" s="2" t="inlineStr">
        <is>
          <t>original_files/R13897/fulltext/fulltext__published__e7ee99bccd476c19.pdf</t>
        </is>
      </c>
      <c r="AC480" s="2" t="inlineStr"/>
      <c r="AD480" s="2" t="inlineStr">
        <is>
          <t>https://github.com/Colliam-Vermilion/FirstCodex/blob/results/ad-oxygen-literature-20261006/results/ad-oxygen-literature-20261006/original_files/R13897/fulltext/fulltext__published__e7ee99bccd476c19.pdf</t>
        </is>
      </c>
    </row>
    <row r="481" ht="48" customHeight="1">
      <c r="A481" s="3" t="inlineStr">
        <is>
          <t>R13898</t>
        </is>
      </c>
      <c r="B481" s="3" t="inlineStr">
        <is>
          <t>Effect of different aerobic hydrolysis time on the anaerobic digestion characteristics and energy consumption analysis</t>
        </is>
      </c>
      <c r="C481" s="3" t="inlineStr">
        <is>
          <t>2021</t>
        </is>
      </c>
      <c r="D481" s="3" t="inlineStr">
        <is>
          <t>2021</t>
        </is>
      </c>
      <c r="E481" s="3" t="inlineStr">
        <is>
          <t>10.1016/j.biortech.2020.124332</t>
        </is>
      </c>
      <c r="F481" s="3" t="inlineStr">
        <is>
          <t>期刊原始研究</t>
        </is>
      </c>
      <c r="G481" s="3" t="inlineStr">
        <is>
          <t>3 独立好氧或微好氧预处理</t>
        </is>
      </c>
      <c r="H481" s="3" t="inlineStr">
        <is>
          <t>是</t>
        </is>
      </c>
      <c r="I481" s="3" t="inlineStr">
        <is>
          <t>研究类</t>
        </is>
      </c>
      <c r="J481" s="3" t="inlineStr">
        <is>
          <t>是</t>
        </is>
      </c>
      <c r="K481" s="3" t="inlineStr">
        <is>
          <t>BIORESOURCE TECHNOLOGY</t>
        </is>
      </c>
      <c r="L481" s="3" t="inlineStr">
        <is>
          <t>Bioresource Technology</t>
        </is>
      </c>
      <c r="M481" s="3" t="inlineStr">
        <is>
          <t>0960-8524</t>
        </is>
      </c>
      <c r="N481" s="3" t="inlineStr"/>
      <c r="O481" s="3" t="inlineStr">
        <is>
          <t>已取得核验全文</t>
        </is>
      </c>
      <c r="P481" s="3" t="inlineStr">
        <is>
          <t>是</t>
        </is>
      </c>
      <c r="Q481" s="3" t="inlineStr">
        <is>
          <t>已取得1件原格式补充材料；其中0件唯一关联待核实；完整性未确认</t>
        </is>
      </c>
      <c r="R481" s="3" t="n">
        <v>2024</v>
      </c>
      <c r="S481" s="3" t="inlineStr">
        <is>
          <t>2025发布版（2024指标年）</t>
        </is>
      </c>
      <c r="T481" s="3" t="inlineStr">
        <is>
          <t>AGRICULTURAL ENGINEERING; BIOTECHNOLOGY &amp; APPLIED MICROBIOLOGY; ENERGY &amp; FUELS</t>
        </is>
      </c>
      <c r="U481" s="3" t="inlineStr">
        <is>
          <t>AGRICULTURAL ENGINEERING: Q1; BIOTECHNOLOGY &amp; APPLIED MICROBIOLOGY: Q1; ENERGY &amp; FUELS: Q1</t>
        </is>
      </c>
      <c r="V481" s="4" t="inlineStr">
        <is>
          <t>是</t>
        </is>
      </c>
      <c r="W481" s="4" t="inlineStr">
        <is>
          <t>是</t>
        </is>
      </c>
      <c r="X481" s="3" t="inlineStr">
        <is>
          <t>是</t>
        </is>
      </c>
      <c r="Y481" s="3" t="inlineStr">
        <is>
          <t>https://topj.lib.whu.edu.cn/show.asp?cat=zk&amp;id=3976</t>
        </is>
      </c>
      <c r="Z481" s="3" t="inlineStr">
        <is>
          <t>https://api.crossref.org/works/10.1016/j.biortech.2020.124332</t>
        </is>
      </c>
      <c r="AA48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81" s="3" t="inlineStr">
        <is>
          <t>original_files/R13898/fulltext/fulltext__published__1547352d8c4bac92.pdf</t>
        </is>
      </c>
      <c r="AC481" s="3" t="inlineStr">
        <is>
          <t>original_files/R13898/supplementary/supplementary__40cc579a0dfba6b0.doc</t>
        </is>
      </c>
      <c r="AD481" s="3" t="inlineStr">
        <is>
          <t>https://github.com/Colliam-Vermilion/FirstCodex/blob/results/ad-oxygen-literature-20261006/results/ad-oxygen-literature-20261006/original_files/R13898/fulltext/fulltext__published__1547352d8c4bac92.pdf</t>
        </is>
      </c>
    </row>
    <row r="482" ht="48" customHeight="1">
      <c r="A482" s="2" t="inlineStr">
        <is>
          <t>R13899</t>
        </is>
      </c>
      <c r="B482" s="2" t="inlineStr">
        <is>
          <t>Effect of aerobic pretreatment of waste on the rate of anaerobic treatment processes</t>
        </is>
      </c>
      <c r="C482" s="2" t="inlineStr">
        <is>
          <t>2013</t>
        </is>
      </c>
      <c r="D482" s="2" t="inlineStr">
        <is>
          <t>2013</t>
        </is>
      </c>
      <c r="E482" s="2" t="inlineStr">
        <is>
          <t>10.1007/s10163-012-0100-y</t>
        </is>
      </c>
      <c r="F482" s="2" t="inlineStr">
        <is>
          <t>期刊原始研究</t>
        </is>
      </c>
      <c r="G482" s="2" t="inlineStr">
        <is>
          <t>3 独立好氧或微好氧预处理</t>
        </is>
      </c>
      <c r="H482" s="2" t="inlineStr">
        <is>
          <t>是</t>
        </is>
      </c>
      <c r="I482" s="2" t="inlineStr">
        <is>
          <t>研究类</t>
        </is>
      </c>
      <c r="J482" s="2" t="inlineStr">
        <is>
          <t>是</t>
        </is>
      </c>
      <c r="K482" s="2" t="inlineStr">
        <is>
          <t>Journal of Material Cycles and Waste Management</t>
        </is>
      </c>
      <c r="L482" s="2" t="inlineStr">
        <is>
          <t>Journal of Material Cycles and Waste Management</t>
        </is>
      </c>
      <c r="M482" s="2" t="inlineStr">
        <is>
          <t>1438-4957</t>
        </is>
      </c>
      <c r="N482" s="2" t="inlineStr">
        <is>
          <t>1611-8227</t>
        </is>
      </c>
      <c r="O482" s="2" t="inlineStr">
        <is>
          <t>已取得核验全文</t>
        </is>
      </c>
      <c r="P482" s="2" t="inlineStr">
        <is>
          <t>是</t>
        </is>
      </c>
      <c r="Q482" s="2" t="inlineStr">
        <is>
          <t>当前无补充材料原件；沿用既有缺失/无附件证据，不据此认定无附件</t>
        </is>
      </c>
      <c r="R482" s="2" t="n">
        <v>2024</v>
      </c>
      <c r="S482" s="2" t="inlineStr">
        <is>
          <t>2025发布版（2024指标年）</t>
        </is>
      </c>
      <c r="T482" s="2" t="inlineStr">
        <is>
          <t>ENVIRONMENTAL SCIENCES</t>
        </is>
      </c>
      <c r="U482" s="2" t="inlineStr">
        <is>
          <t>ENVIRONMENTAL SCIENCES: Q3</t>
        </is>
      </c>
      <c r="V482" s="2" t="inlineStr">
        <is>
          <t>否</t>
        </is>
      </c>
      <c r="W482" s="2" t="inlineStr">
        <is>
          <t>否</t>
        </is>
      </c>
      <c r="X482" s="2" t="inlineStr">
        <is>
          <t>是</t>
        </is>
      </c>
      <c r="Y482" s="2" t="inlineStr">
        <is>
          <t>https://topj.lib.whu.edu.cn/show.asp?cat=zk&amp;id=4243</t>
        </is>
      </c>
      <c r="Z482" s="2" t="inlineStr">
        <is>
          <t>https://api.crossref.org/works/10.1007/s10163-012-0100-y</t>
        </is>
      </c>
      <c r="AA48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82" s="2" t="inlineStr">
        <is>
          <t>original_files/R13899/fulltext/fulltext__published__19143e56fa77ce99.pdf</t>
        </is>
      </c>
      <c r="AC482" s="2" t="inlineStr"/>
      <c r="AD482" s="2" t="inlineStr">
        <is>
          <t>https://github.com/Colliam-Vermilion/FirstCodex/blob/results/ad-oxygen-literature-20261006/results/ad-oxygen-literature-20261006/original_files/R13899/fulltext/fulltext__published__19143e56fa77ce99.pdf</t>
        </is>
      </c>
    </row>
    <row r="483" ht="48" customHeight="1">
      <c r="A483" s="3" t="inlineStr">
        <is>
          <t>R13900</t>
        </is>
      </c>
      <c r="B483" s="3" t="inlineStr">
        <is>
          <t>Effectiveness of aerobic pretreatment of municipal solid waste for accelerating biogas generation during simulated landfilling</t>
        </is>
      </c>
      <c r="C483" s="3" t="inlineStr">
        <is>
          <t>2018</t>
        </is>
      </c>
      <c r="D483" s="3" t="inlineStr">
        <is>
          <t>2018</t>
        </is>
      </c>
      <c r="E483" s="3" t="inlineStr">
        <is>
          <t>10.1007/s11783-018-1031-1</t>
        </is>
      </c>
      <c r="F483" s="3" t="inlineStr">
        <is>
          <t>期刊原始研究</t>
        </is>
      </c>
      <c r="G483" s="3" t="inlineStr">
        <is>
          <t>3 独立好氧或微好氧预处理</t>
        </is>
      </c>
      <c r="H483" s="3" t="inlineStr">
        <is>
          <t>是</t>
        </is>
      </c>
      <c r="I483" s="3" t="inlineStr">
        <is>
          <t>研究类</t>
        </is>
      </c>
      <c r="J483" s="3" t="inlineStr">
        <is>
          <t>是</t>
        </is>
      </c>
      <c r="K483" s="3" t="inlineStr">
        <is>
          <t>Frontiers of Environmental Science &amp; Engineering</t>
        </is>
      </c>
      <c r="L483" s="3" t="inlineStr">
        <is>
          <t>Frontiers of Environmental Science &amp;amp; Engineering</t>
        </is>
      </c>
      <c r="M483" s="3" t="inlineStr">
        <is>
          <t>2095-2201</t>
        </is>
      </c>
      <c r="N483" s="3" t="inlineStr">
        <is>
          <t>2095-221X</t>
        </is>
      </c>
      <c r="O483" s="3" t="inlineStr">
        <is>
          <t>已取得核验全文</t>
        </is>
      </c>
      <c r="P483" s="3" t="inlineStr">
        <is>
          <t>是</t>
        </is>
      </c>
      <c r="Q483" s="3" t="inlineStr">
        <is>
          <t>当前无补充材料原件；沿用既有缺失/无附件证据，不据此认定无附件</t>
        </is>
      </c>
      <c r="R483" s="3" t="n">
        <v>2024</v>
      </c>
      <c r="S483" s="3" t="inlineStr">
        <is>
          <t>2025发布版（2024指标年）</t>
        </is>
      </c>
      <c r="T483" s="3" t="inlineStr"/>
      <c r="U483" s="3" t="inlineStr"/>
      <c r="V483" s="3" t="inlineStr">
        <is>
          <t>待核实</t>
        </is>
      </c>
      <c r="W483" s="3" t="inlineStr">
        <is>
          <t>待核实</t>
        </is>
      </c>
      <c r="X483" s="3" t="inlineStr">
        <is>
          <t>否</t>
        </is>
      </c>
      <c r="Y483" s="3" t="inlineStr"/>
      <c r="Z483" s="3" t="inlineStr">
        <is>
          <t>https://api.crossref.org/works/10.1007/s11783-018-1031-1</t>
        </is>
      </c>
      <c r="AA483" s="3" t="inlineStr">
        <is>
          <t>2024指标年JCR分区未核实；空白不能当非Q1。需要2025发布版/2024指标年的JCR全部学科导出。</t>
        </is>
      </c>
      <c r="AB483" s="3" t="inlineStr">
        <is>
          <t>original_files/R13900/fulltext/fulltext__published__b2ba7df8c04ab66c.pdf</t>
        </is>
      </c>
      <c r="AC483" s="3" t="inlineStr"/>
      <c r="AD483" s="3" t="inlineStr">
        <is>
          <t>https://github.com/Colliam-Vermilion/FirstCodex/blob/results/ad-oxygen-literature-20261006/results/ad-oxygen-literature-20261006/original_files/R13900/fulltext/fulltext__published__b2ba7df8c04ab66c.pdf</t>
        </is>
      </c>
    </row>
    <row r="484" ht="48" customHeight="1">
      <c r="A484" s="2" t="inlineStr">
        <is>
          <t>R13901</t>
        </is>
      </c>
      <c r="B484" s="2" t="inlineStr">
        <is>
          <t>Effect of Aerobic Hydrolysis on Anaerobic Fermentation Characteristics of Various Parts of Corn Stover and the Scum Layer</t>
        </is>
      </c>
      <c r="C484" s="2" t="inlineStr">
        <is>
          <t>2019</t>
        </is>
      </c>
      <c r="D484" s="2" t="inlineStr">
        <is>
          <t>2019</t>
        </is>
      </c>
      <c r="E484" s="2" t="inlineStr">
        <is>
          <t>10.3390/en12030381</t>
        </is>
      </c>
      <c r="F484" s="2" t="inlineStr">
        <is>
          <t>期刊原始研究</t>
        </is>
      </c>
      <c r="G484" s="2" t="inlineStr">
        <is>
          <t>3 独立好氧或微好氧预处理</t>
        </is>
      </c>
      <c r="H484" s="2" t="inlineStr">
        <is>
          <t>是</t>
        </is>
      </c>
      <c r="I484" s="2" t="inlineStr">
        <is>
          <t>研究类</t>
        </is>
      </c>
      <c r="J484" s="2" t="inlineStr">
        <is>
          <t>是</t>
        </is>
      </c>
      <c r="K484" s="2" t="inlineStr">
        <is>
          <t>Energies</t>
        </is>
      </c>
      <c r="L484" s="2" t="inlineStr">
        <is>
          <t>Energies</t>
        </is>
      </c>
      <c r="M484" s="2" t="inlineStr"/>
      <c r="N484" s="2" t="inlineStr">
        <is>
          <t>1996-1073</t>
        </is>
      </c>
      <c r="O484" s="2" t="inlineStr">
        <is>
          <t>已取得核验全文</t>
        </is>
      </c>
      <c r="P484" s="2" t="inlineStr">
        <is>
          <t>是</t>
        </is>
      </c>
      <c r="Q484" s="2" t="inlineStr">
        <is>
          <t>当前无补充材料原件；沿用既有缺失/无附件证据，不据此认定无附件</t>
        </is>
      </c>
      <c r="R484" s="2" t="n">
        <v>2024</v>
      </c>
      <c r="S484" s="2" t="inlineStr">
        <is>
          <t>2025发布版（2024指标年）</t>
        </is>
      </c>
      <c r="T484" s="2" t="inlineStr"/>
      <c r="U484" s="2" t="inlineStr"/>
      <c r="V484" s="2" t="inlineStr">
        <is>
          <t>待核实</t>
        </is>
      </c>
      <c r="W484" s="2" t="inlineStr">
        <is>
          <t>待核实</t>
        </is>
      </c>
      <c r="X484" s="2" t="inlineStr">
        <is>
          <t>否</t>
        </is>
      </c>
      <c r="Y484" s="2" t="inlineStr"/>
      <c r="Z484" s="2" t="inlineStr">
        <is>
          <t>https://api.crossref.org/works/10.3390/en12030381</t>
        </is>
      </c>
      <c r="AA484" s="2" t="inlineStr">
        <is>
          <t>2024指标年JCR分区未核实；空白不能当非Q1。需要2025发布版/2024指标年的JCR全部学科导出。</t>
        </is>
      </c>
      <c r="AB484" s="2" t="inlineStr">
        <is>
          <t>original_files/R13901/fulltext/fulltext__published__391926b6cc0c70ed.pdf</t>
        </is>
      </c>
      <c r="AC484" s="2" t="inlineStr"/>
      <c r="AD484" s="2" t="inlineStr">
        <is>
          <t>https://github.com/Colliam-Vermilion/FirstCodex/blob/results/ad-oxygen-literature-20261006/results/ad-oxygen-literature-20261006/original_files/R13901/fulltext/fulltext__published__391926b6cc0c70ed.pdf</t>
        </is>
      </c>
    </row>
    <row r="485" ht="48" customHeight="1">
      <c r="A485" s="3" t="inlineStr">
        <is>
          <t>R13902</t>
        </is>
      </c>
      <c r="B485" s="3" t="inlineStr">
        <is>
          <t>Investigating the Effects of Aerobic Hydrolysis on Scum Layer Formation during the Anaerobic Digestion of Corn Stalk Particles</t>
        </is>
      </c>
      <c r="C485" s="3" t="inlineStr">
        <is>
          <t>2022</t>
        </is>
      </c>
      <c r="D485" s="3" t="inlineStr">
        <is>
          <t>2022</t>
        </is>
      </c>
      <c r="E485" s="3" t="inlineStr">
        <is>
          <t>10.3390/su14116497</t>
        </is>
      </c>
      <c r="F485" s="3" t="inlineStr">
        <is>
          <t>期刊原始研究</t>
        </is>
      </c>
      <c r="G485" s="3" t="inlineStr">
        <is>
          <t>3 独立好氧或微好氧预处理</t>
        </is>
      </c>
      <c r="H485" s="3" t="inlineStr">
        <is>
          <t>是</t>
        </is>
      </c>
      <c r="I485" s="3" t="inlineStr">
        <is>
          <t>研究类</t>
        </is>
      </c>
      <c r="J485" s="3" t="inlineStr">
        <is>
          <t>是</t>
        </is>
      </c>
      <c r="K485" s="3" t="inlineStr">
        <is>
          <t>Sustainability</t>
        </is>
      </c>
      <c r="L485" s="3" t="inlineStr">
        <is>
          <t>Sustainability</t>
        </is>
      </c>
      <c r="M485" s="3" t="inlineStr"/>
      <c r="N485" s="3" t="inlineStr">
        <is>
          <t>2071-1050</t>
        </is>
      </c>
      <c r="O485" s="3" t="inlineStr">
        <is>
          <t>已取得核验全文</t>
        </is>
      </c>
      <c r="P485" s="3" t="inlineStr">
        <is>
          <t>是</t>
        </is>
      </c>
      <c r="Q485" s="3" t="inlineStr">
        <is>
          <t>当前无补充材料原件；沿用既有缺失/无附件证据，不据此认定无附件</t>
        </is>
      </c>
      <c r="R485" s="3" t="n">
        <v>2024</v>
      </c>
      <c r="S485" s="3" t="inlineStr">
        <is>
          <t>2025发布版（2024指标年）</t>
        </is>
      </c>
      <c r="T485" s="3" t="inlineStr"/>
      <c r="U485" s="3" t="inlineStr"/>
      <c r="V485" s="3" t="inlineStr">
        <is>
          <t>待核实</t>
        </is>
      </c>
      <c r="W485" s="3" t="inlineStr">
        <is>
          <t>待核实</t>
        </is>
      </c>
      <c r="X485" s="3" t="inlineStr">
        <is>
          <t>否</t>
        </is>
      </c>
      <c r="Y485" s="3" t="inlineStr"/>
      <c r="Z485" s="3" t="inlineStr">
        <is>
          <t>https://api.crossref.org/works/10.3390/su14116497</t>
        </is>
      </c>
      <c r="AA485" s="3" t="inlineStr">
        <is>
          <t>2024指标年JCR分区未核实；空白不能当非Q1。需要2025发布版/2024指标年的JCR全部学科导出。</t>
        </is>
      </c>
      <c r="AB485" s="3" t="inlineStr">
        <is>
          <t>original_files/R13902/fulltext/fulltext__published__48b83d115db6ba97.pdf</t>
        </is>
      </c>
      <c r="AC485" s="3" t="inlineStr"/>
      <c r="AD485" s="3" t="inlineStr">
        <is>
          <t>https://github.com/Colliam-Vermilion/FirstCodex/blob/results/ad-oxygen-literature-20261006/results/ad-oxygen-literature-20261006/original_files/R13902/fulltext/fulltext__published__48b83d115db6ba97.pdf</t>
        </is>
      </c>
    </row>
    <row r="486" ht="48" customHeight="1">
      <c r="A486" s="2" t="inlineStr">
        <is>
          <t>R13903</t>
        </is>
      </c>
      <c r="B486" s="2" t="inlineStr">
        <is>
          <t>Effect of vacuum negative pressure aerobic hydrolysis pretreatment on corn stover anaerobic fermentation</t>
        </is>
      </c>
      <c r="C486" s="2" t="inlineStr">
        <is>
          <t>2023</t>
        </is>
      </c>
      <c r="D486" s="2" t="inlineStr">
        <is>
          <t>2023</t>
        </is>
      </c>
      <c r="E486" s="2" t="inlineStr">
        <is>
          <t>10.25165/j.ijabe.20231602.7975</t>
        </is>
      </c>
      <c r="F486" s="2" t="inlineStr">
        <is>
          <t>期刊原始研究</t>
        </is>
      </c>
      <c r="G486" s="2" t="inlineStr">
        <is>
          <t>3 独立好氧或微好氧预处理</t>
        </is>
      </c>
      <c r="H486" s="2" t="inlineStr">
        <is>
          <t>是</t>
        </is>
      </c>
      <c r="I486" s="2" t="inlineStr">
        <is>
          <t>研究类</t>
        </is>
      </c>
      <c r="J486" s="2" t="inlineStr">
        <is>
          <t>是</t>
        </is>
      </c>
      <c r="K486" s="2" t="inlineStr">
        <is>
          <t>International Journal of Agricultural and Biological Engineering</t>
        </is>
      </c>
      <c r="L486" s="2" t="inlineStr">
        <is>
          <t>International Journal of Agricultural and Biological Engineering</t>
        </is>
      </c>
      <c r="M486" s="2" t="inlineStr">
        <is>
          <t>1934-6344</t>
        </is>
      </c>
      <c r="N486" s="2" t="inlineStr"/>
      <c r="O486" s="2" t="inlineStr">
        <is>
          <t>已取得核验全文</t>
        </is>
      </c>
      <c r="P486" s="2" t="inlineStr">
        <is>
          <t>是</t>
        </is>
      </c>
      <c r="Q486" s="2" t="inlineStr">
        <is>
          <t>当前无补充材料原件；沿用既有缺失/无附件证据，不据此认定无附件</t>
        </is>
      </c>
      <c r="R486" s="2" t="n">
        <v>2024</v>
      </c>
      <c r="S486" s="2" t="inlineStr">
        <is>
          <t>2025发布版（2024指标年）</t>
        </is>
      </c>
      <c r="T486" s="2" t="inlineStr"/>
      <c r="U486" s="2" t="inlineStr"/>
      <c r="V486" s="2" t="inlineStr">
        <is>
          <t>待核实</t>
        </is>
      </c>
      <c r="W486" s="2" t="inlineStr">
        <is>
          <t>待核实</t>
        </is>
      </c>
      <c r="X486" s="2" t="inlineStr">
        <is>
          <t>否</t>
        </is>
      </c>
      <c r="Y486" s="2" t="inlineStr"/>
      <c r="Z486" s="2" t="inlineStr">
        <is>
          <t>https://api.crossref.org/works/10.25165/j.ijabe.20231602.7975</t>
        </is>
      </c>
      <c r="AA486" s="2" t="inlineStr">
        <is>
          <t>2024指标年JCR分区未核实；空白不能当非Q1。需要2025发布版/2024指标年的JCR全部学科导出。</t>
        </is>
      </c>
      <c r="AB486" s="2" t="inlineStr">
        <is>
          <t>original_files/R13903/fulltext/fulltext__published__2cd9e7b409250e7b.pdf</t>
        </is>
      </c>
      <c r="AC486" s="2" t="inlineStr"/>
      <c r="AD486" s="2" t="inlineStr">
        <is>
          <t>https://github.com/Colliam-Vermilion/FirstCodex/blob/results/ad-oxygen-literature-20261006/results/ad-oxygen-literature-20261006/original_files/R13903/fulltext/fulltext__published__2cd9e7b409250e7b.pdf</t>
        </is>
      </c>
    </row>
    <row r="487" ht="48" customHeight="1">
      <c r="A487" s="3" t="inlineStr">
        <is>
          <t>R13904</t>
        </is>
      </c>
      <c r="B487" s="3" t="inlineStr">
        <is>
          <t>Short-term aerobic pretreatment of swine manure enhances short-chain fatty acid production in anaerobic fermentation: performance and mechanisms</t>
        </is>
      </c>
      <c r="C487" s="3" t="inlineStr">
        <is>
          <t>2026</t>
        </is>
      </c>
      <c r="D487" s="3" t="inlineStr">
        <is>
          <t>2026</t>
        </is>
      </c>
      <c r="E487" s="3" t="inlineStr">
        <is>
          <t>10.1007/s00449-026-03401-y</t>
        </is>
      </c>
      <c r="F487" s="3" t="inlineStr">
        <is>
          <t>期刊原始研究</t>
        </is>
      </c>
      <c r="G487" s="3" t="inlineStr">
        <is>
          <t>3 独立好氧或微好氧预处理</t>
        </is>
      </c>
      <c r="H487" s="3" t="inlineStr">
        <is>
          <t>是</t>
        </is>
      </c>
      <c r="I487" s="3" t="inlineStr">
        <is>
          <t>研究类</t>
        </is>
      </c>
      <c r="J487" s="3" t="inlineStr">
        <is>
          <t>是</t>
        </is>
      </c>
      <c r="K487" s="3" t="inlineStr">
        <is>
          <t>BIOPROCESS AND BIOSYSTEMS ENGINEERING</t>
        </is>
      </c>
      <c r="L487" s="3" t="inlineStr">
        <is>
          <t>Bioprocess and Biosystems Engineering</t>
        </is>
      </c>
      <c r="M487" s="3" t="inlineStr">
        <is>
          <t>1615-7591</t>
        </is>
      </c>
      <c r="N487" s="3" t="inlineStr">
        <is>
          <t>1615-7605</t>
        </is>
      </c>
      <c r="O487" s="3" t="inlineStr">
        <is>
          <t>已取得核验全文</t>
        </is>
      </c>
      <c r="P487" s="3" t="inlineStr">
        <is>
          <t>是</t>
        </is>
      </c>
      <c r="Q487" s="3" t="inlineStr">
        <is>
          <t>已取得1件原格式补充材料；其中0件唯一关联待核实；完整性未确认</t>
        </is>
      </c>
      <c r="R487" s="3" t="n">
        <v>2024</v>
      </c>
      <c r="S487" s="3" t="inlineStr">
        <is>
          <t>2025发布版（2024指标年）</t>
        </is>
      </c>
      <c r="T487" s="3" t="inlineStr">
        <is>
          <t>BIOTECHNOLOGY &amp; APPLIED MICROBIOLOGY; ENGINEERING, CHEMICAL</t>
        </is>
      </c>
      <c r="U487" s="3" t="inlineStr">
        <is>
          <t>BIOTECHNOLOGY &amp; APPLIED MICROBIOLOGY: Q2; ENGINEERING, CHEMICAL: Q2</t>
        </is>
      </c>
      <c r="V487" s="3" t="inlineStr">
        <is>
          <t>否</t>
        </is>
      </c>
      <c r="W487" s="3" t="inlineStr">
        <is>
          <t>否</t>
        </is>
      </c>
      <c r="X487" s="3" t="inlineStr">
        <is>
          <t>是</t>
        </is>
      </c>
      <c r="Y487" s="3" t="inlineStr">
        <is>
          <t>https://topj.lib.whu.edu.cn/show.asp?cat=sci&amp;id=5879</t>
        </is>
      </c>
      <c r="Z487" s="3" t="inlineStr">
        <is>
          <t>https://api.crossref.org/works/10.1007/s00449-026-03401-y</t>
        </is>
      </c>
      <c r="AA48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87" s="3" t="inlineStr">
        <is>
          <t>original_files/R13904/fulltext/fulltext__published__16094176f2327e81.pdf</t>
        </is>
      </c>
      <c r="AC487" s="3" t="inlineStr">
        <is>
          <t>original_files/R13904/supplementary/supplementary__36600127b1333dd2.docx</t>
        </is>
      </c>
      <c r="AD487" s="3" t="inlineStr">
        <is>
          <t>https://github.com/Colliam-Vermilion/FirstCodex/blob/results/ad-oxygen-literature-20261006/results/ad-oxygen-literature-20261006/original_files/R13904/fulltext/fulltext__published__16094176f2327e81.pdf</t>
        </is>
      </c>
    </row>
    <row r="488" ht="48" customHeight="1">
      <c r="A488" s="2" t="inlineStr">
        <is>
          <t>R13905</t>
        </is>
      </c>
      <c r="B488" s="2" t="inlineStr">
        <is>
          <t>The Effect of a Short Term Aerobic Pretreatment Step on the Anaerobic Co-digestion of the Organic Fraction of Municipal Solid Wastes: Liquid Extract Addition Versus Solid Phase Addition</t>
        </is>
      </c>
      <c r="C488" s="2" t="inlineStr">
        <is>
          <t>2017</t>
        </is>
      </c>
      <c r="D488" s="2" t="inlineStr">
        <is>
          <t>2017</t>
        </is>
      </c>
      <c r="E488" s="2" t="inlineStr">
        <is>
          <t>10.1007/s12649-016-9743-6</t>
        </is>
      </c>
      <c r="F488" s="2" t="inlineStr">
        <is>
          <t>期刊原始研究</t>
        </is>
      </c>
      <c r="G488" s="2" t="inlineStr">
        <is>
          <t>3 独立好氧或微好氧预处理</t>
        </is>
      </c>
      <c r="H488" s="2" t="inlineStr">
        <is>
          <t>是</t>
        </is>
      </c>
      <c r="I488" s="2" t="inlineStr">
        <is>
          <t>研究类</t>
        </is>
      </c>
      <c r="J488" s="2" t="inlineStr">
        <is>
          <t>是</t>
        </is>
      </c>
      <c r="K488" s="2" t="inlineStr">
        <is>
          <t>Waste and Biomass Valorization</t>
        </is>
      </c>
      <c r="L488" s="2" t="inlineStr">
        <is>
          <t>Waste and Biomass Valorization</t>
        </is>
      </c>
      <c r="M488" s="2" t="inlineStr">
        <is>
          <t>1877-2641</t>
        </is>
      </c>
      <c r="N488" s="2" t="inlineStr">
        <is>
          <t>1877-265X</t>
        </is>
      </c>
      <c r="O488" s="2" t="inlineStr">
        <is>
          <t>已取得核验全文</t>
        </is>
      </c>
      <c r="P488" s="2" t="inlineStr">
        <is>
          <t>是</t>
        </is>
      </c>
      <c r="Q488" s="2" t="inlineStr">
        <is>
          <t>当前无补充材料原件；沿用既有缺失/无附件证据，不据此认定无附件</t>
        </is>
      </c>
      <c r="R488" s="2" t="n">
        <v>2024</v>
      </c>
      <c r="S488" s="2" t="inlineStr">
        <is>
          <t>2025发布版（2024指标年）</t>
        </is>
      </c>
      <c r="T488" s="2" t="inlineStr">
        <is>
          <t>ENVIRONMENTAL SCIENCES</t>
        </is>
      </c>
      <c r="U488" s="2" t="inlineStr">
        <is>
          <t>ENVIRONMENTAL SCIENCES: Q3</t>
        </is>
      </c>
      <c r="V488" s="2" t="inlineStr">
        <is>
          <t>否</t>
        </is>
      </c>
      <c r="W488" s="2" t="inlineStr">
        <is>
          <t>否</t>
        </is>
      </c>
      <c r="X488" s="2" t="inlineStr">
        <is>
          <t>是</t>
        </is>
      </c>
      <c r="Y488" s="2" t="inlineStr">
        <is>
          <t>https://topj.lib.whu.edu.cn/show.asp?cat=zk&amp;id=4277</t>
        </is>
      </c>
      <c r="Z488" s="2" t="inlineStr">
        <is>
          <t>https://api.crossref.org/works/10.1007/s12649-016-9743-6</t>
        </is>
      </c>
      <c r="AA48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88" s="2" t="inlineStr">
        <is>
          <t>original_files/R13905/fulltext/fulltext__version_unverified__c75b5084c2545bd9.pdf</t>
        </is>
      </c>
      <c r="AC488" s="2" t="inlineStr"/>
      <c r="AD488" s="2" t="inlineStr">
        <is>
          <t>https://github.com/Colliam-Vermilion/FirstCodex/blob/results/ad-oxygen-literature-20261006/results/ad-oxygen-literature-20261006/original_files/R13905/fulltext/fulltext__version_unverified__c75b5084c2545bd9.pdf</t>
        </is>
      </c>
    </row>
    <row r="489" ht="48" customHeight="1">
      <c r="A489" s="3" t="inlineStr">
        <is>
          <t>R13906</t>
        </is>
      </c>
      <c r="B489" s="3" t="inlineStr">
        <is>
          <t>Production of Biogas by Using Different Pretreatments of Rice Straw Under Aerobic and Semi Aerobic Conditions.</t>
        </is>
      </c>
      <c r="C489" s="3" t="inlineStr">
        <is>
          <t>2021</t>
        </is>
      </c>
      <c r="D489" s="3" t="inlineStr">
        <is>
          <t>2021</t>
        </is>
      </c>
      <c r="E489" s="3" t="inlineStr">
        <is>
          <t>10.21608/assjm.2021.194823</t>
        </is>
      </c>
      <c r="F489" s="3" t="inlineStr">
        <is>
          <t>期刊原始研究</t>
        </is>
      </c>
      <c r="G489" s="3" t="inlineStr">
        <is>
          <t>3 独立好氧或微好氧预处理</t>
        </is>
      </c>
      <c r="H489" s="3" t="inlineStr">
        <is>
          <t>是</t>
        </is>
      </c>
      <c r="I489" s="3" t="inlineStr">
        <is>
          <t>类型待核实</t>
        </is>
      </c>
      <c r="J489" s="3" t="inlineStr">
        <is>
          <t>否</t>
        </is>
      </c>
      <c r="K489" s="3" t="inlineStr">
        <is>
          <t>Annals of Agricultural Science, Moshtohor</t>
        </is>
      </c>
      <c r="L489" s="3" t="inlineStr">
        <is>
          <t>Annals of Agricultural Science, Moshtohor</t>
        </is>
      </c>
      <c r="M489" s="3" t="inlineStr"/>
      <c r="N489" s="3" t="inlineStr">
        <is>
          <t>1110-0419</t>
        </is>
      </c>
      <c r="O489" s="3" t="inlineStr">
        <is>
          <t>已取得核验全文</t>
        </is>
      </c>
      <c r="P489" s="3" t="inlineStr">
        <is>
          <t>是</t>
        </is>
      </c>
      <c r="Q489" s="3" t="inlineStr">
        <is>
          <t>当前无补充材料原件；沿用既有缺失/无附件证据，不据此认定无附件</t>
        </is>
      </c>
      <c r="R489" s="3" t="inlineStr"/>
      <c r="S489" s="3" t="inlineStr"/>
      <c r="T489" s="3" t="inlineStr"/>
      <c r="U489" s="3" t="inlineStr"/>
      <c r="V489" s="3" t="inlineStr">
        <is>
          <t>不适用</t>
        </is>
      </c>
      <c r="W489" s="3" t="inlineStr">
        <is>
          <t>不适用</t>
        </is>
      </c>
      <c r="X489" s="3" t="inlineStr">
        <is>
          <t>不适用</t>
        </is>
      </c>
      <c r="Y489" s="3" t="inlineStr"/>
      <c r="Z489" s="3" t="inlineStr">
        <is>
          <t>https://api.crossref.org/works/10.21608/assjm.2021.194823</t>
        </is>
      </c>
      <c r="AA489" s="3" t="inlineStr">
        <is>
          <t>期刊/会议或其他载体身份缺少足够凭据，单列待核实，不混入期刊论文分母 | PDF标注ICBAA会议，Crossref类型journal-article；会议专刊性质待核实，暂不混入期刊论文分母 | 非目标期刊论文或类型待核实，不进入JCR分母</t>
        </is>
      </c>
      <c r="AB489" s="3" t="inlineStr">
        <is>
          <t>original_files/R13906/fulltext/fulltext__version_unverified__afe47132ea57e2c3.pdf</t>
        </is>
      </c>
      <c r="AC489" s="3" t="inlineStr"/>
      <c r="AD489" s="3" t="inlineStr">
        <is>
          <t>https://github.com/Colliam-Vermilion/FirstCodex/blob/results/ad-oxygen-literature-20261006/results/ad-oxygen-literature-20261006/original_files/R13906/fulltext/fulltext__version_unverified__afe47132ea57e2c3.pdf</t>
        </is>
      </c>
    </row>
    <row r="490" ht="48" customHeight="1">
      <c r="A490" s="2" t="inlineStr">
        <is>
          <t>R13907</t>
        </is>
      </c>
      <c r="B490" s="2" t="inlineStr">
        <is>
          <t>Effect of organic compositions of aerobically pretreated municipal solid waste on non-methane organic compound emissions during anaerobic degradation</t>
        </is>
      </c>
      <c r="C490" s="2" t="inlineStr">
        <is>
          <t>2012</t>
        </is>
      </c>
      <c r="D490" s="2" t="inlineStr">
        <is>
          <t>2012</t>
        </is>
      </c>
      <c r="E490" s="2" t="inlineStr">
        <is>
          <t>10.1016/j.wasman.2012.01.005</t>
        </is>
      </c>
      <c r="F490" s="2" t="inlineStr">
        <is>
          <t>期刊原始研究</t>
        </is>
      </c>
      <c r="G490" s="2" t="inlineStr">
        <is>
          <t>3 独立好氧或微好氧预处理</t>
        </is>
      </c>
      <c r="H490" s="2" t="inlineStr">
        <is>
          <t>是</t>
        </is>
      </c>
      <c r="I490" s="2" t="inlineStr">
        <is>
          <t>研究类</t>
        </is>
      </c>
      <c r="J490" s="2" t="inlineStr">
        <is>
          <t>是</t>
        </is>
      </c>
      <c r="K490" s="2" t="inlineStr">
        <is>
          <t>Waste Management</t>
        </is>
      </c>
      <c r="L490" s="2" t="inlineStr">
        <is>
          <t>Waste Management</t>
        </is>
      </c>
      <c r="M490" s="2" t="inlineStr">
        <is>
          <t>0956-053X</t>
        </is>
      </c>
      <c r="N490" s="2" t="inlineStr"/>
      <c r="O490" s="2" t="inlineStr">
        <is>
          <t>已取得核验全文</t>
        </is>
      </c>
      <c r="P490" s="2" t="inlineStr">
        <is>
          <t>是</t>
        </is>
      </c>
      <c r="Q490" s="2" t="inlineStr">
        <is>
          <t>当前无补充材料原件；沿用既有缺失/无附件证据，不据此认定无附件</t>
        </is>
      </c>
      <c r="R490" s="2" t="n">
        <v>2024</v>
      </c>
      <c r="S490" s="2" t="inlineStr">
        <is>
          <t>2025发布版（2024指标年）</t>
        </is>
      </c>
      <c r="T490" s="2" t="inlineStr">
        <is>
          <t>ENGINEERING, ENVIRONMENTAL; ENVIRONMENTAL SCIENCES</t>
        </is>
      </c>
      <c r="U490" s="2" t="inlineStr">
        <is>
          <t>ENGINEERING, ENVIRONMENTAL: Q1; ENVIRONMENTAL SCIENCES: Q1</t>
        </is>
      </c>
      <c r="V490" s="4" t="inlineStr">
        <is>
          <t>是</t>
        </is>
      </c>
      <c r="W490" s="4" t="inlineStr">
        <is>
          <t>是</t>
        </is>
      </c>
      <c r="X490" s="2" t="inlineStr">
        <is>
          <t>是</t>
        </is>
      </c>
      <c r="Y490" s="2" t="inlineStr">
        <is>
          <t>https://topj.lib.whu.edu.cn/show.asp?cat=zk&amp;id=4000</t>
        </is>
      </c>
      <c r="Z490" s="2" t="inlineStr">
        <is>
          <t>https://api.crossref.org/works/10.1016/j.wasman.2012.01.005</t>
        </is>
      </c>
      <c r="AA49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90" s="2" t="inlineStr">
        <is>
          <t>original_files/R13907/fulltext/fulltext__published__73fabc2a3e301ee0.pdf</t>
        </is>
      </c>
      <c r="AC490" s="2" t="inlineStr"/>
      <c r="AD490" s="2" t="inlineStr">
        <is>
          <t>https://github.com/Colliam-Vermilion/FirstCodex/blob/results/ad-oxygen-literature-20261006/results/ad-oxygen-literature-20261006/original_files/R13907/fulltext/fulltext__published__73fabc2a3e301ee0.pdf</t>
        </is>
      </c>
    </row>
    <row r="491" ht="48" customHeight="1">
      <c r="A491" s="3" t="inlineStr">
        <is>
          <t>R13908</t>
        </is>
      </c>
      <c r="B491" s="3" t="inlineStr">
        <is>
          <t>Release of non-methane organic compounds during simulated landfilling of aerobically pretreated municipal solid waste</t>
        </is>
      </c>
      <c r="C491" s="3" t="inlineStr">
        <is>
          <t>2012</t>
        </is>
      </c>
      <c r="D491" s="3" t="inlineStr">
        <is>
          <t>2012</t>
        </is>
      </c>
      <c r="E491" s="3" t="inlineStr">
        <is>
          <t>10.1016/j.jenvman.2011.10.018</t>
        </is>
      </c>
      <c r="F491" s="3" t="inlineStr">
        <is>
          <t>期刊原始研究</t>
        </is>
      </c>
      <c r="G491" s="3" t="inlineStr">
        <is>
          <t>3 独立好氧或微好氧预处理</t>
        </is>
      </c>
      <c r="H491" s="3" t="inlineStr">
        <is>
          <t>是</t>
        </is>
      </c>
      <c r="I491" s="3" t="inlineStr">
        <is>
          <t>研究类</t>
        </is>
      </c>
      <c r="J491" s="3" t="inlineStr">
        <is>
          <t>是</t>
        </is>
      </c>
      <c r="K491" s="3" t="inlineStr">
        <is>
          <t>Journal of Environmental Management</t>
        </is>
      </c>
      <c r="L491" s="3" t="inlineStr">
        <is>
          <t>Journal of Environmental Management</t>
        </is>
      </c>
      <c r="M491" s="3" t="inlineStr">
        <is>
          <t>0301-4797</t>
        </is>
      </c>
      <c r="N491" s="3" t="inlineStr"/>
      <c r="O491" s="3" t="inlineStr">
        <is>
          <t>已取得核验全文</t>
        </is>
      </c>
      <c r="P491" s="3" t="inlineStr">
        <is>
          <t>是</t>
        </is>
      </c>
      <c r="Q491" s="3" t="inlineStr">
        <is>
          <t>当前无补充材料原件；沿用既有缺失/无附件证据，不据此认定无附件</t>
        </is>
      </c>
      <c r="R491" s="3" t="n">
        <v>2024</v>
      </c>
      <c r="S491" s="3" t="inlineStr">
        <is>
          <t>2025发布版（2024指标年）</t>
        </is>
      </c>
      <c r="T491" s="3" t="inlineStr">
        <is>
          <t>ENVIRONMENTAL SCIENCES</t>
        </is>
      </c>
      <c r="U491" s="3" t="inlineStr">
        <is>
          <t>ENVIRONMENTAL SCIENCES: Q1</t>
        </is>
      </c>
      <c r="V491" s="4" t="inlineStr">
        <is>
          <t>是</t>
        </is>
      </c>
      <c r="W491" s="4" t="inlineStr">
        <is>
          <t>是</t>
        </is>
      </c>
      <c r="X491" s="3" t="inlineStr">
        <is>
          <t>是</t>
        </is>
      </c>
      <c r="Y491" s="3" t="inlineStr">
        <is>
          <t>https://topj.lib.whu.edu.cn/show.asp?cat=sci&amp;id=6965</t>
        </is>
      </c>
      <c r="Z491" s="3" t="inlineStr">
        <is>
          <t>https://api.crossref.org/works/10.1016/j.jenvman.2011.10.018</t>
        </is>
      </c>
      <c r="AA49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91" s="3" t="inlineStr">
        <is>
          <t>original_files/R13908/fulltext/fulltext__published__0103a7ae6472da6d.pdf</t>
        </is>
      </c>
      <c r="AC491" s="3" t="inlineStr"/>
      <c r="AD491" s="3" t="inlineStr">
        <is>
          <t>https://github.com/Colliam-Vermilion/FirstCodex/blob/results/ad-oxygen-literature-20261006/results/ad-oxygen-literature-20261006/original_files/R13908/fulltext/fulltext__published__0103a7ae6472da6d.pdf</t>
        </is>
      </c>
    </row>
    <row r="492" ht="48" customHeight="1">
      <c r="A492" s="2" t="inlineStr">
        <is>
          <t>R13909</t>
        </is>
      </c>
      <c r="B492" s="2" t="inlineStr">
        <is>
          <t>The S.An.A.® concept: Semi-aerobic, Anaerobic, Aerated bioreactor landfill</t>
        </is>
      </c>
      <c r="C492" s="2" t="inlineStr">
        <is>
          <t>2017</t>
        </is>
      </c>
      <c r="D492" s="2" t="inlineStr">
        <is>
          <t>2017</t>
        </is>
      </c>
      <c r="E492" s="2" t="inlineStr">
        <is>
          <t>10.1016/j.wasman.2017.05.006</t>
        </is>
      </c>
      <c r="F492" s="2" t="inlineStr">
        <is>
          <t>期刊原始研究</t>
        </is>
      </c>
      <c r="G492" s="2" t="inlineStr">
        <is>
          <t>3 独立好氧或微好氧预处理</t>
        </is>
      </c>
      <c r="H492" s="2" t="inlineStr">
        <is>
          <t>是</t>
        </is>
      </c>
      <c r="I492" s="2" t="inlineStr">
        <is>
          <t>研究类</t>
        </is>
      </c>
      <c r="J492" s="2" t="inlineStr">
        <is>
          <t>是</t>
        </is>
      </c>
      <c r="K492" s="2" t="inlineStr">
        <is>
          <t>Waste Management</t>
        </is>
      </c>
      <c r="L492" s="2" t="inlineStr">
        <is>
          <t>Waste Management</t>
        </is>
      </c>
      <c r="M492" s="2" t="inlineStr">
        <is>
          <t>0956-053X</t>
        </is>
      </c>
      <c r="N492" s="2" t="inlineStr"/>
      <c r="O492" s="2" t="inlineStr">
        <is>
          <t>已取得核验全文</t>
        </is>
      </c>
      <c r="P492" s="2" t="inlineStr">
        <is>
          <t>是</t>
        </is>
      </c>
      <c r="Q492" s="2" t="inlineStr">
        <is>
          <t>当前无补充材料原件；沿用既有缺失/无附件证据，不据此认定无附件</t>
        </is>
      </c>
      <c r="R492" s="2" t="n">
        <v>2024</v>
      </c>
      <c r="S492" s="2" t="inlineStr">
        <is>
          <t>2025发布版（2024指标年）</t>
        </is>
      </c>
      <c r="T492" s="2" t="inlineStr">
        <is>
          <t>ENGINEERING, ENVIRONMENTAL; ENVIRONMENTAL SCIENCES</t>
        </is>
      </c>
      <c r="U492" s="2" t="inlineStr">
        <is>
          <t>ENGINEERING, ENVIRONMENTAL: Q1; ENVIRONMENTAL SCIENCES: Q1</t>
        </is>
      </c>
      <c r="V492" s="4" t="inlineStr">
        <is>
          <t>是</t>
        </is>
      </c>
      <c r="W492" s="4" t="inlineStr">
        <is>
          <t>是</t>
        </is>
      </c>
      <c r="X492" s="2" t="inlineStr">
        <is>
          <t>是</t>
        </is>
      </c>
      <c r="Y492" s="2" t="inlineStr">
        <is>
          <t>https://topj.lib.whu.edu.cn/show.asp?cat=zk&amp;id=4000</t>
        </is>
      </c>
      <c r="Z492" s="2" t="inlineStr">
        <is>
          <t>https://api.crossref.org/works/10.1016/j.wasman.2017.05.006</t>
        </is>
      </c>
      <c r="AA49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92" s="2" t="inlineStr">
        <is>
          <t>original_files/R13909/fulltext/fulltext__published__5d6c0de12ad9e8f9.pdf</t>
        </is>
      </c>
      <c r="AC492" s="2" t="inlineStr"/>
      <c r="AD492" s="2" t="inlineStr">
        <is>
          <t>https://github.com/Colliam-Vermilion/FirstCodex/blob/results/ad-oxygen-literature-20261006/results/ad-oxygen-literature-20261006/original_files/R13909/fulltext/fulltext__published__5d6c0de12ad9e8f9.pdf</t>
        </is>
      </c>
    </row>
    <row r="493" ht="48" customHeight="1">
      <c r="A493" s="3" t="inlineStr">
        <is>
          <t>R13910</t>
        </is>
      </c>
      <c r="B493" s="3" t="inlineStr">
        <is>
          <t>Effects of Ammonia Stripping and Other Physico-Chemical Pretreatments on Anaerobic Digestion of Swine Wastewater</t>
        </is>
      </c>
      <c r="C493" s="3" t="inlineStr">
        <is>
          <t>2020</t>
        </is>
      </c>
      <c r="D493" s="3" t="inlineStr">
        <is>
          <t>2020</t>
        </is>
      </c>
      <c r="E493" s="3" t="inlineStr">
        <is>
          <t>10.3390/en13133413</t>
        </is>
      </c>
      <c r="F493" s="3" t="inlineStr">
        <is>
          <t>期刊原始研究</t>
        </is>
      </c>
      <c r="G493" s="3" t="inlineStr">
        <is>
          <t>3 独立好氧或微好氧预处理</t>
        </is>
      </c>
      <c r="H493" s="3" t="inlineStr">
        <is>
          <t>是</t>
        </is>
      </c>
      <c r="I493" s="3" t="inlineStr">
        <is>
          <t>研究类</t>
        </is>
      </c>
      <c r="J493" s="3" t="inlineStr">
        <is>
          <t>是</t>
        </is>
      </c>
      <c r="K493" s="3" t="inlineStr">
        <is>
          <t>Energies</t>
        </is>
      </c>
      <c r="L493" s="3" t="inlineStr">
        <is>
          <t>Energies</t>
        </is>
      </c>
      <c r="M493" s="3" t="inlineStr"/>
      <c r="N493" s="3" t="inlineStr">
        <is>
          <t>1996-1073</t>
        </is>
      </c>
      <c r="O493" s="3" t="inlineStr">
        <is>
          <t>已取得核验全文</t>
        </is>
      </c>
      <c r="P493" s="3" t="inlineStr">
        <is>
          <t>是</t>
        </is>
      </c>
      <c r="Q493" s="3" t="inlineStr">
        <is>
          <t>当前无补充材料原件；沿用既有缺失/无附件证据，不据此认定无附件</t>
        </is>
      </c>
      <c r="R493" s="3" t="n">
        <v>2024</v>
      </c>
      <c r="S493" s="3" t="inlineStr">
        <is>
          <t>2025发布版（2024指标年）</t>
        </is>
      </c>
      <c r="T493" s="3" t="inlineStr"/>
      <c r="U493" s="3" t="inlineStr"/>
      <c r="V493" s="3" t="inlineStr">
        <is>
          <t>待核实</t>
        </is>
      </c>
      <c r="W493" s="3" t="inlineStr">
        <is>
          <t>待核实</t>
        </is>
      </c>
      <c r="X493" s="3" t="inlineStr">
        <is>
          <t>否</t>
        </is>
      </c>
      <c r="Y493" s="3" t="inlineStr"/>
      <c r="Z493" s="3" t="inlineStr">
        <is>
          <t>https://api.crossref.org/works/10.3390/en13133413</t>
        </is>
      </c>
      <c r="AA493" s="3" t="inlineStr">
        <is>
          <t>2024指标年JCR分区未核实；空白不能当非Q1。需要2025发布版/2024指标年的JCR全部学科导出。</t>
        </is>
      </c>
      <c r="AB493" s="3" t="inlineStr">
        <is>
          <t>original_files/R13910/fulltext/fulltext__published__4d03064db7853736.pdf</t>
        </is>
      </c>
      <c r="AC493" s="3" t="inlineStr"/>
      <c r="AD493" s="3" t="inlineStr">
        <is>
          <t>https://github.com/Colliam-Vermilion/FirstCodex/blob/results/ad-oxygen-literature-20261006/results/ad-oxygen-literature-20261006/original_files/R13910/fulltext/fulltext__published__4d03064db7853736.pdf</t>
        </is>
      </c>
    </row>
    <row r="494" ht="48" customHeight="1">
      <c r="A494" s="2" t="inlineStr">
        <is>
          <t>R13911</t>
        </is>
      </c>
      <c r="B494" s="2" t="inlineStr">
        <is>
          <t>Effects of nanobubble water on digestate soaking hydrolysis of rice straw</t>
        </is>
      </c>
      <c r="C494" s="2" t="inlineStr">
        <is>
          <t>2024</t>
        </is>
      </c>
      <c r="D494" s="2" t="inlineStr">
        <is>
          <t>2024</t>
        </is>
      </c>
      <c r="E494" s="2" t="inlineStr">
        <is>
          <t>10.1016/j.biortech.2024.130893</t>
        </is>
      </c>
      <c r="F494" s="2" t="inlineStr">
        <is>
          <t>期刊原始研究</t>
        </is>
      </c>
      <c r="G494" s="2" t="inlineStr">
        <is>
          <t>3 独立好氧或微好氧预处理</t>
        </is>
      </c>
      <c r="H494" s="2" t="inlineStr">
        <is>
          <t>是</t>
        </is>
      </c>
      <c r="I494" s="2" t="inlineStr">
        <is>
          <t>研究类</t>
        </is>
      </c>
      <c r="J494" s="2" t="inlineStr">
        <is>
          <t>是</t>
        </is>
      </c>
      <c r="K494" s="2" t="inlineStr">
        <is>
          <t>BIORESOURCE TECHNOLOGY</t>
        </is>
      </c>
      <c r="L494" s="2" t="inlineStr">
        <is>
          <t>Bioresource Technology</t>
        </is>
      </c>
      <c r="M494" s="2" t="inlineStr">
        <is>
          <t>0960-8524</t>
        </is>
      </c>
      <c r="N494" s="2" t="inlineStr"/>
      <c r="O494" s="2" t="inlineStr">
        <is>
          <t>已取得核验全文</t>
        </is>
      </c>
      <c r="P494" s="2" t="inlineStr">
        <is>
          <t>是</t>
        </is>
      </c>
      <c r="Q494" s="2" t="inlineStr">
        <is>
          <t>当前无补充材料原件；沿用既有缺失/无附件证据，不据此认定无附件</t>
        </is>
      </c>
      <c r="R494" s="2" t="n">
        <v>2024</v>
      </c>
      <c r="S494" s="2" t="inlineStr">
        <is>
          <t>2025发布版（2024指标年）</t>
        </is>
      </c>
      <c r="T494" s="2" t="inlineStr">
        <is>
          <t>AGRICULTURAL ENGINEERING; BIOTECHNOLOGY &amp; APPLIED MICROBIOLOGY; ENERGY &amp; FUELS</t>
        </is>
      </c>
      <c r="U494" s="2" t="inlineStr">
        <is>
          <t>AGRICULTURAL ENGINEERING: Q1; BIOTECHNOLOGY &amp; APPLIED MICROBIOLOGY: Q1; ENERGY &amp; FUELS: Q1</t>
        </is>
      </c>
      <c r="V494" s="4" t="inlineStr">
        <is>
          <t>是</t>
        </is>
      </c>
      <c r="W494" s="4" t="inlineStr">
        <is>
          <t>是</t>
        </is>
      </c>
      <c r="X494" s="2" t="inlineStr">
        <is>
          <t>是</t>
        </is>
      </c>
      <c r="Y494" s="2" t="inlineStr">
        <is>
          <t>https://topj.lib.whu.edu.cn/show.asp?cat=zk&amp;id=3976</t>
        </is>
      </c>
      <c r="Z494" s="2" t="inlineStr">
        <is>
          <t>https://api.crossref.org/works/10.1016/j.biortech.2024.130893</t>
        </is>
      </c>
      <c r="AA49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94" s="2" t="inlineStr">
        <is>
          <t>original_files/R13911/fulltext/fulltext__accepted__f69f672561ec4076.pdf</t>
        </is>
      </c>
      <c r="AC494" s="2" t="inlineStr"/>
      <c r="AD494" s="2" t="inlineStr">
        <is>
          <t>https://github.com/Colliam-Vermilion/FirstCodex/blob/results/ad-oxygen-literature-20261006/results/ad-oxygen-literature-20261006/original_files/R13911/fulltext/fulltext__accepted__f69f672561ec4076.pdf</t>
        </is>
      </c>
    </row>
    <row r="495" ht="48" customHeight="1">
      <c r="A495" s="3" t="inlineStr">
        <is>
          <t>R13912</t>
        </is>
      </c>
      <c r="B495" s="3" t="inlineStr">
        <is>
          <t>The effects and underlying mechanisms of composting and extrusion pretreatment on anaerobic biogas production from wheat straw</t>
        </is>
      </c>
      <c r="C495" s="3" t="inlineStr">
        <is>
          <t>2026</t>
        </is>
      </c>
      <c r="D495" s="3" t="inlineStr">
        <is>
          <t>2026</t>
        </is>
      </c>
      <c r="E495" s="3" t="inlineStr">
        <is>
          <t>10.1080/09593330.2026.2727085</t>
        </is>
      </c>
      <c r="F495" s="3" t="inlineStr">
        <is>
          <t>期刊原始研究</t>
        </is>
      </c>
      <c r="G495" s="3" t="inlineStr">
        <is>
          <t>3 独立好氧或微好氧预处理</t>
        </is>
      </c>
      <c r="H495" s="3" t="inlineStr">
        <is>
          <t>是</t>
        </is>
      </c>
      <c r="I495" s="3" t="inlineStr">
        <is>
          <t>研究类</t>
        </is>
      </c>
      <c r="J495" s="3" t="inlineStr">
        <is>
          <t>是</t>
        </is>
      </c>
      <c r="K495" s="3" t="inlineStr">
        <is>
          <t>ENVIRONMENTAL TECHNOLOGY</t>
        </is>
      </c>
      <c r="L495" s="3" t="inlineStr">
        <is>
          <t>Environmental Technology</t>
        </is>
      </c>
      <c r="M495" s="3" t="inlineStr">
        <is>
          <t>0959-3330</t>
        </is>
      </c>
      <c r="N495" s="3" t="inlineStr">
        <is>
          <t>1479-487X</t>
        </is>
      </c>
      <c r="O495" s="3" t="inlineStr">
        <is>
          <t>已取得核验全文</t>
        </is>
      </c>
      <c r="P495" s="3" t="inlineStr">
        <is>
          <t>是</t>
        </is>
      </c>
      <c r="Q495" s="3" t="inlineStr">
        <is>
          <t>已取得1件原格式补充材料；其中1件唯一关联待核实；完整性未确认</t>
        </is>
      </c>
      <c r="R495" s="3" t="n">
        <v>2024</v>
      </c>
      <c r="S495" s="3" t="inlineStr">
        <is>
          <t>2025发布版（2024指标年）</t>
        </is>
      </c>
      <c r="T495" s="3" t="inlineStr">
        <is>
          <t>ENVIRONMENTAL SCIENCES</t>
        </is>
      </c>
      <c r="U495" s="3" t="inlineStr">
        <is>
          <t>ENVIRONMENTAL SCIENCES: Q3</t>
        </is>
      </c>
      <c r="V495" s="3" t="inlineStr">
        <is>
          <t>否</t>
        </is>
      </c>
      <c r="W495" s="3" t="inlineStr">
        <is>
          <t>否</t>
        </is>
      </c>
      <c r="X495" s="3" t="inlineStr">
        <is>
          <t>是</t>
        </is>
      </c>
      <c r="Y495" s="3" t="inlineStr">
        <is>
          <t>https://topj.lib.whu.edu.cn/searchxk1.asp?ordertype=desc&amp;page=11&amp;q=&amp;xk=488</t>
        </is>
      </c>
      <c r="Z495" s="3" t="inlineStr">
        <is>
          <t>https://api.crossref.org/works/10.1080/09593330.2026.2727085</t>
        </is>
      </c>
      <c r="AA495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495" s="3" t="inlineStr">
        <is>
          <t>original_files/R13912/fulltext/fulltext__published__edc88a607abf1aae.pdf</t>
        </is>
      </c>
      <c r="AC495" s="3" t="inlineStr">
        <is>
          <t>original_files/R13912/supplementary/supplementary__9ba1382da92c8f4d.docx</t>
        </is>
      </c>
      <c r="AD495" s="3" t="inlineStr">
        <is>
          <t>https://github.com/Colliam-Vermilion/FirstCodex/blob/results/ad-oxygen-literature-20261006/results/ad-oxygen-literature-20261006/original_files/R13912/fulltext/fulltext__published__edc88a607abf1aae.pdf</t>
        </is>
      </c>
    </row>
    <row r="496" ht="48" customHeight="1">
      <c r="A496" s="2" t="inlineStr">
        <is>
          <t>R13913</t>
        </is>
      </c>
      <c r="B496" s="2" t="inlineStr">
        <is>
          <t>Microaerobic bio-pretreatment of straw with fermentation broth as inoculum: Enhancing hydrolysis-acidification efficiency</t>
        </is>
      </c>
      <c r="C496" s="2" t="inlineStr">
        <is>
          <t>2026</t>
        </is>
      </c>
      <c r="D496" s="2" t="inlineStr">
        <is>
          <t>2026</t>
        </is>
      </c>
      <c r="E496" s="2" t="inlineStr">
        <is>
          <t>10.1016/j.procbio.2026.01.005</t>
        </is>
      </c>
      <c r="F496" s="2" t="inlineStr">
        <is>
          <t>期刊原始研究</t>
        </is>
      </c>
      <c r="G496" s="2" t="inlineStr">
        <is>
          <t>3 独立好氧或微好氧预处理</t>
        </is>
      </c>
      <c r="H496" s="2" t="inlineStr">
        <is>
          <t>是</t>
        </is>
      </c>
      <c r="I496" s="2" t="inlineStr">
        <is>
          <t>研究类</t>
        </is>
      </c>
      <c r="J496" s="2" t="inlineStr">
        <is>
          <t>是</t>
        </is>
      </c>
      <c r="K496" s="2" t="inlineStr">
        <is>
          <t>PROCESS BIOCHEMISTRY</t>
        </is>
      </c>
      <c r="L496" s="2" t="inlineStr">
        <is>
          <t>Process Biochemistry</t>
        </is>
      </c>
      <c r="M496" s="2" t="inlineStr">
        <is>
          <t>1359-5113</t>
        </is>
      </c>
      <c r="N496" s="2" t="inlineStr"/>
      <c r="O496" s="2" t="inlineStr">
        <is>
          <t>已取得核验全文</t>
        </is>
      </c>
      <c r="P496" s="2" t="inlineStr">
        <is>
          <t>是</t>
        </is>
      </c>
      <c r="Q496" s="2" t="inlineStr">
        <is>
          <t>已取得1件原格式补充材料；其中1件唯一关联待核实；完整性未确认</t>
        </is>
      </c>
      <c r="R496" s="2" t="n">
        <v>2024</v>
      </c>
      <c r="S496" s="2" t="inlineStr">
        <is>
          <t>2025发布版（2024指标年）</t>
        </is>
      </c>
      <c r="T496" s="2" t="inlineStr">
        <is>
          <t>BIOCHEMISTRY &amp; MOLECULAR BIOLOGY; BIOTECHNOLOGY &amp; APPLIED MICROBIOLOGY; ENGINEERING, CHEMICAL</t>
        </is>
      </c>
      <c r="U496" s="2" t="inlineStr">
        <is>
          <t>BIOCHEMISTRY &amp; MOLECULAR BIOLOGY: Q2; BIOTECHNOLOGY &amp; APPLIED MICROBIOLOGY: Q2; ENGINEERING, CHEMICAL: Q2</t>
        </is>
      </c>
      <c r="V496" s="2" t="inlineStr">
        <is>
          <t>否</t>
        </is>
      </c>
      <c r="W496" s="2" t="inlineStr">
        <is>
          <t>否</t>
        </is>
      </c>
      <c r="X496" s="2" t="inlineStr">
        <is>
          <t>是</t>
        </is>
      </c>
      <c r="Y496" s="2" t="inlineStr">
        <is>
          <t>https://topj.lib.whu.edu.cn/show.asp?cat=sci&amp;id=5869</t>
        </is>
      </c>
      <c r="Z496" s="2" t="inlineStr">
        <is>
          <t>https://api.crossref.org/works/10.1016/j.procbio.2026.01.005</t>
        </is>
      </c>
      <c r="AA49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96" s="2" t="inlineStr">
        <is>
          <t>original_files/R13913/fulltext/fulltext__published__1a8a79e68ae38c5c.pdf</t>
        </is>
      </c>
      <c r="AC496" s="2" t="inlineStr">
        <is>
          <t>original_files/R13913/supplementary/supplementary__eac1ff89e5ac698b.docx</t>
        </is>
      </c>
      <c r="AD496" s="2" t="inlineStr">
        <is>
          <t>https://github.com/Colliam-Vermilion/FirstCodex/blob/results/ad-oxygen-literature-20261006/results/ad-oxygen-literature-20261006/original_files/R13913/fulltext/fulltext__published__1a8a79e68ae38c5c.pdf</t>
        </is>
      </c>
    </row>
    <row r="497" ht="48" customHeight="1">
      <c r="A497" s="3" t="inlineStr">
        <is>
          <t>R13914</t>
        </is>
      </c>
      <c r="B497" s="3" t="inlineStr">
        <is>
          <t>Development of aerobic methane oxidation, denitrification coupled to methanogenesis (AMODM) in a microaerophilic expanded granular sludge blanket biofilm reactor</t>
        </is>
      </c>
      <c r="C497" s="3" t="inlineStr">
        <is>
          <t>2020</t>
        </is>
      </c>
      <c r="D497" s="3" t="inlineStr">
        <is>
          <t>2020</t>
        </is>
      </c>
      <c r="E497" s="3" t="inlineStr">
        <is>
          <t>10.1016/j.jenvman.2020.111280</t>
        </is>
      </c>
      <c r="F497" s="3" t="inlineStr">
        <is>
          <t>期刊原始研究</t>
        </is>
      </c>
      <c r="G497" s="3" t="inlineStr">
        <is>
          <t>1 直接向 AD 反应器或内部循环系统供氧</t>
        </is>
      </c>
      <c r="H497" s="3" t="inlineStr">
        <is>
          <t>是</t>
        </is>
      </c>
      <c r="I497" s="3" t="inlineStr">
        <is>
          <t>研究类</t>
        </is>
      </c>
      <c r="J497" s="3" t="inlineStr">
        <is>
          <t>是</t>
        </is>
      </c>
      <c r="K497" s="3" t="inlineStr">
        <is>
          <t>Journal of Environmental Management</t>
        </is>
      </c>
      <c r="L497" s="3" t="inlineStr">
        <is>
          <t>Journal of Environmental Management</t>
        </is>
      </c>
      <c r="M497" s="3" t="inlineStr">
        <is>
          <t>0301-4797</t>
        </is>
      </c>
      <c r="N497" s="3" t="inlineStr"/>
      <c r="O497" s="3" t="inlineStr">
        <is>
          <t>已取得核验全文</t>
        </is>
      </c>
      <c r="P497" s="3" t="inlineStr">
        <is>
          <t>是</t>
        </is>
      </c>
      <c r="Q497" s="3" t="inlineStr">
        <is>
          <t>已取得1件原格式补充材料；其中1件唯一关联待核实；完整性未确认</t>
        </is>
      </c>
      <c r="R497" s="3" t="n">
        <v>2024</v>
      </c>
      <c r="S497" s="3" t="inlineStr">
        <is>
          <t>2025发布版（2024指标年）</t>
        </is>
      </c>
      <c r="T497" s="3" t="inlineStr">
        <is>
          <t>ENVIRONMENTAL SCIENCES</t>
        </is>
      </c>
      <c r="U497" s="3" t="inlineStr">
        <is>
          <t>ENVIRONMENTAL SCIENCES: Q1</t>
        </is>
      </c>
      <c r="V497" s="4" t="inlineStr">
        <is>
          <t>是</t>
        </is>
      </c>
      <c r="W497" s="4" t="inlineStr">
        <is>
          <t>是</t>
        </is>
      </c>
      <c r="X497" s="3" t="inlineStr">
        <is>
          <t>是</t>
        </is>
      </c>
      <c r="Y497" s="3" t="inlineStr">
        <is>
          <t>https://topj.lib.whu.edu.cn/show.asp?cat=sci&amp;id=6965</t>
        </is>
      </c>
      <c r="Z497" s="3" t="inlineStr">
        <is>
          <t>https://api.crossref.org/works/10.1016/j.jenvman.2020.111280</t>
        </is>
      </c>
      <c r="AA497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97" s="3" t="inlineStr">
        <is>
          <t>original_files/R13914/fulltext/fulltext__published__e446cadeb17f6b9f.pdf</t>
        </is>
      </c>
      <c r="AC497" s="3" t="inlineStr">
        <is>
          <t>original_files/R13914/supplementary/supplementary__0c42b59a5954bf07.doc</t>
        </is>
      </c>
      <c r="AD497" s="3" t="inlineStr">
        <is>
          <t>https://github.com/Colliam-Vermilion/FirstCodex/blob/results/ad-oxygen-literature-20261006/results/ad-oxygen-literature-20261006/original_files/R13914/fulltext/fulltext__published__e446cadeb17f6b9f.pdf</t>
        </is>
      </c>
    </row>
    <row r="498" ht="48" customHeight="1">
      <c r="A498" s="2" t="inlineStr">
        <is>
          <t>R13915</t>
        </is>
      </c>
      <c r="B498" s="2" t="inlineStr">
        <is>
          <t>Upflow anaerobic-microaerobic fixed biofilm reactor integrating methanogenesis with partial nitrification</t>
        </is>
      </c>
      <c r="C498" s="2" t="inlineStr">
        <is>
          <t>2018</t>
        </is>
      </c>
      <c r="D498" s="2" t="inlineStr">
        <is>
          <t>2018</t>
        </is>
      </c>
      <c r="E498" s="2" t="inlineStr">
        <is>
          <t>10.1016/j.cej.2018.05.013</t>
        </is>
      </c>
      <c r="F498" s="2" t="inlineStr">
        <is>
          <t>期刊原始研究</t>
        </is>
      </c>
      <c r="G498" s="2" t="inlineStr">
        <is>
          <t>1 直接向 AD 反应器或内部循环系统供氧</t>
        </is>
      </c>
      <c r="H498" s="2" t="inlineStr">
        <is>
          <t>是</t>
        </is>
      </c>
      <c r="I498" s="2" t="inlineStr">
        <is>
          <t>研究类</t>
        </is>
      </c>
      <c r="J498" s="2" t="inlineStr">
        <is>
          <t>是</t>
        </is>
      </c>
      <c r="K498" s="2" t="inlineStr">
        <is>
          <t>Chemical Engineering Journal</t>
        </is>
      </c>
      <c r="L498" s="2" t="inlineStr">
        <is>
          <t>Chemical Engineering Journal</t>
        </is>
      </c>
      <c r="M498" s="2" t="inlineStr">
        <is>
          <t>1385-8947</t>
        </is>
      </c>
      <c r="N498" s="2" t="inlineStr"/>
      <c r="O498" s="2" t="inlineStr">
        <is>
          <t>已取得核验全文</t>
        </is>
      </c>
      <c r="P498" s="2" t="inlineStr">
        <is>
          <t>是</t>
        </is>
      </c>
      <c r="Q498" s="2" t="inlineStr">
        <is>
          <t>已取得1件原格式补充材料；其中0件唯一关联待核实；完整性未确认</t>
        </is>
      </c>
      <c r="R498" s="2" t="n">
        <v>2024</v>
      </c>
      <c r="S498" s="2" t="inlineStr">
        <is>
          <t>2025发布版（2024指标年）</t>
        </is>
      </c>
      <c r="T498" s="2" t="inlineStr">
        <is>
          <t>ENGINEERING, CHEMICAL; ENGINEERING, ENVIRONMENTAL</t>
        </is>
      </c>
      <c r="U498" s="2" t="inlineStr">
        <is>
          <t>ENGINEERING, CHEMICAL: Q1; ENGINEERING, ENVIRONMENTAL: Q1</t>
        </is>
      </c>
      <c r="V498" s="4" t="inlineStr">
        <is>
          <t>是</t>
        </is>
      </c>
      <c r="W498" s="4" t="inlineStr">
        <is>
          <t>是</t>
        </is>
      </c>
      <c r="X498" s="2" t="inlineStr">
        <is>
          <t>是</t>
        </is>
      </c>
      <c r="Y498" s="2" t="inlineStr">
        <is>
          <t>https://topj.lib.whu.edu.cn/show.asp?cat=zk&amp;id=2740</t>
        </is>
      </c>
      <c r="Z498" s="2" t="inlineStr">
        <is>
          <t>https://api.crossref.org/works/10.1016/j.cej.2018.05.013</t>
        </is>
      </c>
      <c r="AA49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98" s="2" t="inlineStr">
        <is>
          <t>original_files/R13915/fulltext/fulltext__published__025b7c8c4e6c5480.pdf</t>
        </is>
      </c>
      <c r="AC498" s="2" t="inlineStr">
        <is>
          <t>original_files/R13915/supplementary/supplementary__042164c05458c495.docx</t>
        </is>
      </c>
      <c r="AD498" s="2" t="inlineStr">
        <is>
          <t>https://github.com/Colliam-Vermilion/FirstCodex/blob/results/ad-oxygen-literature-20261006/results/ad-oxygen-literature-20261006/original_files/R13915/fulltext/fulltext__published__025b7c8c4e6c5480.pdf</t>
        </is>
      </c>
    </row>
    <row r="499" ht="48" customHeight="1">
      <c r="A499" s="3" t="inlineStr">
        <is>
          <t>R13916</t>
        </is>
      </c>
      <c r="B499" s="3" t="inlineStr">
        <is>
          <t>Kinetics of air mixing–anaerobic digestion: High organic substrate concentrations enhance system resistance to oxygen stress</t>
        </is>
      </c>
      <c r="C499" s="3" t="inlineStr">
        <is>
          <t>2026</t>
        </is>
      </c>
      <c r="D499" s="3" t="inlineStr">
        <is>
          <t>2026</t>
        </is>
      </c>
      <c r="E499" s="3" t="inlineStr">
        <is>
          <t>10.1016/j.cej.2026.172771</t>
        </is>
      </c>
      <c r="F499" s="3" t="inlineStr">
        <is>
          <t>期刊原始研究</t>
        </is>
      </c>
      <c r="G499" s="3" t="inlineStr">
        <is>
          <t>1 直接向 AD 反应器或内部循环系统供氧</t>
        </is>
      </c>
      <c r="H499" s="3" t="inlineStr">
        <is>
          <t>是</t>
        </is>
      </c>
      <c r="I499" s="3" t="inlineStr">
        <is>
          <t>研究类</t>
        </is>
      </c>
      <c r="J499" s="3" t="inlineStr">
        <is>
          <t>是</t>
        </is>
      </c>
      <c r="K499" s="3" t="inlineStr">
        <is>
          <t>Chemical Engineering Journal</t>
        </is>
      </c>
      <c r="L499" s="3" t="inlineStr">
        <is>
          <t>Chemical Engineering Journal</t>
        </is>
      </c>
      <c r="M499" s="3" t="inlineStr">
        <is>
          <t>1385-8947</t>
        </is>
      </c>
      <c r="N499" s="3" t="inlineStr"/>
      <c r="O499" s="3" t="inlineStr">
        <is>
          <t>已取得核验全文</t>
        </is>
      </c>
      <c r="P499" s="3" t="inlineStr">
        <is>
          <t>是</t>
        </is>
      </c>
      <c r="Q499" s="3" t="inlineStr">
        <is>
          <t>已取得1件原格式补充材料；其中0件唯一关联待核实；完整性未确认</t>
        </is>
      </c>
      <c r="R499" s="3" t="n">
        <v>2024</v>
      </c>
      <c r="S499" s="3" t="inlineStr">
        <is>
          <t>2025发布版（2024指标年）</t>
        </is>
      </c>
      <c r="T499" s="3" t="inlineStr">
        <is>
          <t>ENGINEERING, CHEMICAL; ENGINEERING, ENVIRONMENTAL</t>
        </is>
      </c>
      <c r="U499" s="3" t="inlineStr">
        <is>
          <t>ENGINEERING, CHEMICAL: Q1; ENGINEERING, ENVIRONMENTAL: Q1</t>
        </is>
      </c>
      <c r="V499" s="4" t="inlineStr">
        <is>
          <t>是</t>
        </is>
      </c>
      <c r="W499" s="4" t="inlineStr">
        <is>
          <t>是</t>
        </is>
      </c>
      <c r="X499" s="3" t="inlineStr">
        <is>
          <t>是</t>
        </is>
      </c>
      <c r="Y499" s="3" t="inlineStr">
        <is>
          <t>https://topj.lib.whu.edu.cn/show.asp?cat=zk&amp;id=2740</t>
        </is>
      </c>
      <c r="Z499" s="3" t="inlineStr">
        <is>
          <t>https://api.crossref.org/works/10.1016/j.cej.2026.172771</t>
        </is>
      </c>
      <c r="AA49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499" s="3" t="inlineStr">
        <is>
          <t>original_files/R13916/fulltext/fulltext__published__11cf93d2a149a8f6.pdf</t>
        </is>
      </c>
      <c r="AC499" s="3" t="inlineStr">
        <is>
          <t>original_files/R13916/supplementary/supplementary__d0df45a2aee53016.docx</t>
        </is>
      </c>
      <c r="AD499" s="3" t="inlineStr">
        <is>
          <t>https://github.com/Colliam-Vermilion/FirstCodex/blob/results/ad-oxygen-literature-20261006/results/ad-oxygen-literature-20261006/original_files/R13916/fulltext/fulltext__published__11cf93d2a149a8f6.pdf</t>
        </is>
      </c>
    </row>
    <row r="500" ht="48" customHeight="1">
      <c r="A500" s="2" t="inlineStr">
        <is>
          <t>R13917</t>
        </is>
      </c>
      <c r="B500" s="2" t="inlineStr">
        <is>
          <t>Intermittent air mixing enhances dry anaerobic co-digestion of pig manure solid fraction and wheat straw: Methane performance and machine-learning-guided parameter optimization</t>
        </is>
      </c>
      <c r="C500" s="2" t="inlineStr">
        <is>
          <t>2027</t>
        </is>
      </c>
      <c r="D500" s="2" t="inlineStr">
        <is>
          <t>2027</t>
        </is>
      </c>
      <c r="E500" s="2" t="inlineStr">
        <is>
          <t>10.1016/j.biortech.2026.135704</t>
        </is>
      </c>
      <c r="F500" s="2" t="inlineStr">
        <is>
          <t>期刊原始研究</t>
        </is>
      </c>
      <c r="G500" s="2" t="inlineStr">
        <is>
          <t>1 直接向 AD 反应器或内部循环系统供氧</t>
        </is>
      </c>
      <c r="H500" s="2" t="inlineStr">
        <is>
          <t>是</t>
        </is>
      </c>
      <c r="I500" s="2" t="inlineStr">
        <is>
          <t>研究类</t>
        </is>
      </c>
      <c r="J500" s="2" t="inlineStr">
        <is>
          <t>是</t>
        </is>
      </c>
      <c r="K500" s="2" t="inlineStr">
        <is>
          <t>BIORESOURCE TECHNOLOGY</t>
        </is>
      </c>
      <c r="L500" s="2" t="inlineStr">
        <is>
          <t>Bioresource Technology</t>
        </is>
      </c>
      <c r="M500" s="2" t="inlineStr">
        <is>
          <t>0960-8524</t>
        </is>
      </c>
      <c r="N500" s="2" t="inlineStr"/>
      <c r="O500" s="2" t="inlineStr">
        <is>
          <t>已取得核验全文</t>
        </is>
      </c>
      <c r="P500" s="2" t="inlineStr">
        <is>
          <t>是</t>
        </is>
      </c>
      <c r="Q500" s="2" t="inlineStr">
        <is>
          <t>已取得1件原格式补充材料；其中0件唯一关联待核实；完整性未确认</t>
        </is>
      </c>
      <c r="R500" s="2" t="n">
        <v>2024</v>
      </c>
      <c r="S500" s="2" t="inlineStr">
        <is>
          <t>2025发布版（2024指标年）</t>
        </is>
      </c>
      <c r="T500" s="2" t="inlineStr">
        <is>
          <t>AGRICULTURAL ENGINEERING; BIOTECHNOLOGY &amp; APPLIED MICROBIOLOGY; ENERGY &amp; FUELS</t>
        </is>
      </c>
      <c r="U500" s="2" t="inlineStr">
        <is>
          <t>AGRICULTURAL ENGINEERING: Q1; BIOTECHNOLOGY &amp; APPLIED MICROBIOLOGY: Q1; ENERGY &amp; FUELS: Q1</t>
        </is>
      </c>
      <c r="V500" s="4" t="inlineStr">
        <is>
          <t>是</t>
        </is>
      </c>
      <c r="W500" s="4" t="inlineStr">
        <is>
          <t>是</t>
        </is>
      </c>
      <c r="X500" s="2" t="inlineStr">
        <is>
          <t>是</t>
        </is>
      </c>
      <c r="Y500" s="2" t="inlineStr">
        <is>
          <t>https://topj.lib.whu.edu.cn/show.asp?cat=zk&amp;id=3976</t>
        </is>
      </c>
      <c r="Z500" s="2" t="inlineStr">
        <is>
          <t>https://api.crossref.org/works/10.1016/j.biortech.2026.135704</t>
        </is>
      </c>
      <c r="AA50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00" s="2" t="inlineStr">
        <is>
          <t>original_files/R13917/fulltext/fulltext__published__60e6326aa8c5b44a.pdf</t>
        </is>
      </c>
      <c r="AC500" s="2" t="inlineStr">
        <is>
          <t>original_files/R13917/supplementary/supplementary__931ab0744b3ff934.docx</t>
        </is>
      </c>
      <c r="AD500" s="2" t="inlineStr">
        <is>
          <t>https://github.com/Colliam-Vermilion/FirstCodex/blob/results/ad-oxygen-literature-20261006/results/ad-oxygen-literature-20261006/original_files/R13917/fulltext/fulltext__published__60e6326aa8c5b44a.pdf</t>
        </is>
      </c>
    </row>
    <row r="501" ht="48" customHeight="1">
      <c r="A501" s="3" t="inlineStr">
        <is>
          <t>R13919</t>
        </is>
      </c>
      <c r="B501" s="3" t="inlineStr">
        <is>
          <t>Can microaeration boost the biotransformation of parabens in high-rate anaerobic systems?</t>
        </is>
      </c>
      <c r="C501" s="3" t="inlineStr">
        <is>
          <t>2021</t>
        </is>
      </c>
      <c r="D501" s="3" t="inlineStr">
        <is>
          <t>2021</t>
        </is>
      </c>
      <c r="E501" s="3" t="inlineStr">
        <is>
          <t>10.1016/j.psep.2020.08.014</t>
        </is>
      </c>
      <c r="F501" s="3" t="inlineStr">
        <is>
          <t>期刊原始研究</t>
        </is>
      </c>
      <c r="G501" s="3" t="inlineStr">
        <is>
          <t>1 直接向 AD 反应器或内部循环系统供氧</t>
        </is>
      </c>
      <c r="H501" s="3" t="inlineStr">
        <is>
          <t>是</t>
        </is>
      </c>
      <c r="I501" s="3" t="inlineStr">
        <is>
          <t>研究类</t>
        </is>
      </c>
      <c r="J501" s="3" t="inlineStr">
        <is>
          <t>是</t>
        </is>
      </c>
      <c r="K501" s="3" t="inlineStr">
        <is>
          <t>PROCESS SAFETY AND ENVIRONMENTAL PROTECTION</t>
        </is>
      </c>
      <c r="L501" s="3" t="inlineStr">
        <is>
          <t>Process Safety and Environmental Protection</t>
        </is>
      </c>
      <c r="M501" s="3" t="inlineStr">
        <is>
          <t>0957-5820</t>
        </is>
      </c>
      <c r="N501" s="3" t="inlineStr"/>
      <c r="O501" s="3" t="inlineStr">
        <is>
          <t>已取得核验全文</t>
        </is>
      </c>
      <c r="P501" s="3" t="inlineStr">
        <is>
          <t>是</t>
        </is>
      </c>
      <c r="Q501" s="3" t="inlineStr">
        <is>
          <t>当前无补充材料原件；沿用既有缺失/无附件证据，不据此认定无附件</t>
        </is>
      </c>
      <c r="R501" s="3" t="n">
        <v>2024</v>
      </c>
      <c r="S501" s="3" t="inlineStr">
        <is>
          <t>2025发布版（2024指标年）</t>
        </is>
      </c>
      <c r="T501" s="3" t="inlineStr">
        <is>
          <t>ENGINEERING, CHEMICAL; ENGINEERING, ENVIRONMENTAL</t>
        </is>
      </c>
      <c r="U501" s="3" t="inlineStr">
        <is>
          <t>ENGINEERING, CHEMICAL: Q1; ENGINEERING, ENVIRONMENTAL: Q1</t>
        </is>
      </c>
      <c r="V501" s="4" t="inlineStr">
        <is>
          <t>是</t>
        </is>
      </c>
      <c r="W501" s="4" t="inlineStr">
        <is>
          <t>是</t>
        </is>
      </c>
      <c r="X501" s="3" t="inlineStr">
        <is>
          <t>是</t>
        </is>
      </c>
      <c r="Y501" s="3" t="inlineStr">
        <is>
          <t>https://topj.lib.whu.edu.cn/show.asp?cat=zk&amp;id=3996</t>
        </is>
      </c>
      <c r="Z501" s="3" t="inlineStr">
        <is>
          <t>https://api.crossref.org/works/10.1016/j.psep.2020.08.014</t>
        </is>
      </c>
      <c r="AA50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01" s="3" t="inlineStr">
        <is>
          <t>original_files/R13919/fulltext/fulltext__published__7e7ef15d3b713401.pdf</t>
        </is>
      </c>
      <c r="AC501" s="3" t="inlineStr"/>
      <c r="AD501" s="3" t="inlineStr">
        <is>
          <t>https://github.com/Colliam-Vermilion/FirstCodex/blob/results/ad-oxygen-literature-20261006/results/ad-oxygen-literature-20261006/original_files/R13919/fulltext/fulltext__published__7e7ef15d3b713401.pdf</t>
        </is>
      </c>
    </row>
    <row r="502" ht="48" customHeight="1">
      <c r="A502" s="2" t="inlineStr">
        <is>
          <t>R13920</t>
        </is>
      </c>
      <c r="B502" s="2" t="inlineStr">
        <is>
          <t>Nanobubbles drive advanced anaerobic treatment of swine wastewater for efficient methane recovery: Performance gains and multi-pathway enhancement</t>
        </is>
      </c>
      <c r="C502" s="2" t="inlineStr">
        <is>
          <t>2026</t>
        </is>
      </c>
      <c r="D502" s="2" t="inlineStr">
        <is>
          <t>2026</t>
        </is>
      </c>
      <c r="E502" s="2" t="inlineStr">
        <is>
          <t>10.1016/j.biortech.2026.134692</t>
        </is>
      </c>
      <c r="F502" s="2" t="inlineStr">
        <is>
          <t>期刊原始研究</t>
        </is>
      </c>
      <c r="G502" s="2" t="inlineStr">
        <is>
          <t>1 直接向 AD 反应器或内部循环系统供氧</t>
        </is>
      </c>
      <c r="H502" s="2" t="inlineStr">
        <is>
          <t>是</t>
        </is>
      </c>
      <c r="I502" s="2" t="inlineStr">
        <is>
          <t>研究类</t>
        </is>
      </c>
      <c r="J502" s="2" t="inlineStr">
        <is>
          <t>是</t>
        </is>
      </c>
      <c r="K502" s="2" t="inlineStr">
        <is>
          <t>BIORESOURCE TECHNOLOGY</t>
        </is>
      </c>
      <c r="L502" s="2" t="inlineStr">
        <is>
          <t>Bioresource Technology</t>
        </is>
      </c>
      <c r="M502" s="2" t="inlineStr">
        <is>
          <t>0960-8524</t>
        </is>
      </c>
      <c r="N502" s="2" t="inlineStr"/>
      <c r="O502" s="2" t="inlineStr">
        <is>
          <t>已取得核验全文</t>
        </is>
      </c>
      <c r="P502" s="2" t="inlineStr">
        <is>
          <t>是</t>
        </is>
      </c>
      <c r="Q502" s="2" t="inlineStr">
        <is>
          <t>已取得1件原格式补充材料；其中0件唯一关联待核实；完整性未确认</t>
        </is>
      </c>
      <c r="R502" s="2" t="n">
        <v>2024</v>
      </c>
      <c r="S502" s="2" t="inlineStr">
        <is>
          <t>2025发布版（2024指标年）</t>
        </is>
      </c>
      <c r="T502" s="2" t="inlineStr">
        <is>
          <t>AGRICULTURAL ENGINEERING; BIOTECHNOLOGY &amp; APPLIED MICROBIOLOGY; ENERGY &amp; FUELS</t>
        </is>
      </c>
      <c r="U502" s="2" t="inlineStr">
        <is>
          <t>AGRICULTURAL ENGINEERING: Q1; BIOTECHNOLOGY &amp; APPLIED MICROBIOLOGY: Q1; ENERGY &amp; FUELS: Q1</t>
        </is>
      </c>
      <c r="V502" s="4" t="inlineStr">
        <is>
          <t>是</t>
        </is>
      </c>
      <c r="W502" s="4" t="inlineStr">
        <is>
          <t>是</t>
        </is>
      </c>
      <c r="X502" s="2" t="inlineStr">
        <is>
          <t>是</t>
        </is>
      </c>
      <c r="Y502" s="2" t="inlineStr">
        <is>
          <t>https://topj.lib.whu.edu.cn/show.asp?cat=zk&amp;id=3976</t>
        </is>
      </c>
      <c r="Z502" s="2" t="inlineStr">
        <is>
          <t>https://api.crossref.org/works/10.1016/j.biortech.2026.134692</t>
        </is>
      </c>
      <c r="AA502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02" s="2" t="inlineStr">
        <is>
          <t>original_files/R13920/fulltext/fulltext__published__abb9ffa0801dc63e.pdf</t>
        </is>
      </c>
      <c r="AC502" s="2" t="inlineStr">
        <is>
          <t>original_files/R13920/supplementary/supplementary__77980828c3a95751.docx</t>
        </is>
      </c>
      <c r="AD502" s="2" t="inlineStr">
        <is>
          <t>https://github.com/Colliam-Vermilion/FirstCodex/blob/results/ad-oxygen-literature-20261006/results/ad-oxygen-literature-20261006/original_files/R13920/fulltext/fulltext__published__abb9ffa0801dc63e.pdf</t>
        </is>
      </c>
    </row>
    <row r="503" ht="48" customHeight="1">
      <c r="A503" s="3" t="inlineStr">
        <is>
          <t>R13921</t>
        </is>
      </c>
      <c r="B503" s="3" t="inlineStr">
        <is>
          <t>Optimizing Anaerobic Acidogenesis: Synergistic Effects of Thermal Pretreatment of Composting, Oxygen Regulation, and Additive Supplementation</t>
        </is>
      </c>
      <c r="C503" s="3" t="inlineStr">
        <is>
          <t>2025</t>
        </is>
      </c>
      <c r="D503" s="3" t="inlineStr">
        <is>
          <t>2025</t>
        </is>
      </c>
      <c r="E503" s="3" t="inlineStr">
        <is>
          <t>10.3390/su17146494</t>
        </is>
      </c>
      <c r="F503" s="3" t="inlineStr">
        <is>
          <t>期刊原始研究</t>
        </is>
      </c>
      <c r="G503" s="3" t="inlineStr">
        <is>
          <t>2 向厌氧水解或产酸阶段供氧</t>
        </is>
      </c>
      <c r="H503" s="3" t="inlineStr">
        <is>
          <t>是</t>
        </is>
      </c>
      <c r="I503" s="3" t="inlineStr">
        <is>
          <t>研究类</t>
        </is>
      </c>
      <c r="J503" s="3" t="inlineStr">
        <is>
          <t>是</t>
        </is>
      </c>
      <c r="K503" s="3" t="inlineStr">
        <is>
          <t>Sustainability</t>
        </is>
      </c>
      <c r="L503" s="3" t="inlineStr">
        <is>
          <t>Sustainability</t>
        </is>
      </c>
      <c r="M503" s="3" t="inlineStr"/>
      <c r="N503" s="3" t="inlineStr">
        <is>
          <t>2071-1050</t>
        </is>
      </c>
      <c r="O503" s="3" t="inlineStr">
        <is>
          <t>已取得核验全文</t>
        </is>
      </c>
      <c r="P503" s="3" t="inlineStr">
        <is>
          <t>是</t>
        </is>
      </c>
      <c r="Q503" s="3" t="inlineStr">
        <is>
          <t>当前无补充材料原件；沿用既有缺失/无附件证据，不据此认定无附件</t>
        </is>
      </c>
      <c r="R503" s="3" t="n">
        <v>2024</v>
      </c>
      <c r="S503" s="3" t="inlineStr">
        <is>
          <t>2025发布版（2024指标年）</t>
        </is>
      </c>
      <c r="T503" s="3" t="inlineStr"/>
      <c r="U503" s="3" t="inlineStr"/>
      <c r="V503" s="3" t="inlineStr">
        <is>
          <t>待核实</t>
        </is>
      </c>
      <c r="W503" s="3" t="inlineStr">
        <is>
          <t>待核实</t>
        </is>
      </c>
      <c r="X503" s="3" t="inlineStr">
        <is>
          <t>否</t>
        </is>
      </c>
      <c r="Y503" s="3" t="inlineStr"/>
      <c r="Z503" s="3" t="inlineStr">
        <is>
          <t>https://api.crossref.org/works/10.3390/su17146494</t>
        </is>
      </c>
      <c r="AA503" s="3" t="inlineStr">
        <is>
          <t>2024指标年JCR分区未核实；空白不能当非Q1。需要2025发布版/2024指标年的JCR全部学科导出。</t>
        </is>
      </c>
      <c r="AB503" s="3" t="inlineStr">
        <is>
          <t>original_files/R13921/fulltext/fulltext__published__151f154636afa1e3.pdf</t>
        </is>
      </c>
      <c r="AC503" s="3" t="inlineStr"/>
      <c r="AD503" s="3" t="inlineStr">
        <is>
          <t>https://github.com/Colliam-Vermilion/FirstCodex/blob/results/ad-oxygen-literature-20261006/results/ad-oxygen-literature-20261006/original_files/R13921/fulltext/fulltext__published__151f154636afa1e3.pdf</t>
        </is>
      </c>
    </row>
    <row r="504" ht="48" customHeight="1">
      <c r="A504" s="2" t="inlineStr">
        <is>
          <t>R13922</t>
        </is>
      </c>
      <c r="B504" s="2" t="inlineStr">
        <is>
          <t>Pilot-scale microaerobic hydrolysis-acidification and anoxic-oxic processes for the treatment of petrochemical wastewater</t>
        </is>
      </c>
      <c r="C504" s="2" t="inlineStr">
        <is>
          <t>2021</t>
        </is>
      </c>
      <c r="D504" s="2" t="inlineStr">
        <is>
          <t>2021</t>
        </is>
      </c>
      <c r="E504" s="2" t="inlineStr">
        <is>
          <t>10.1007/s11356-021-14810-9</t>
        </is>
      </c>
      <c r="F504" s="2" t="inlineStr">
        <is>
          <t>期刊原始研究</t>
        </is>
      </c>
      <c r="G504" s="2" t="inlineStr">
        <is>
          <t>2 向厌氧水解或产酸阶段供氧</t>
        </is>
      </c>
      <c r="H504" s="2" t="inlineStr">
        <is>
          <t>是</t>
        </is>
      </c>
      <c r="I504" s="2" t="inlineStr">
        <is>
          <t>研究类</t>
        </is>
      </c>
      <c r="J504" s="2" t="inlineStr">
        <is>
          <t>是</t>
        </is>
      </c>
      <c r="K504" s="2" t="inlineStr">
        <is>
          <t>Environmental Science and Pollution Research</t>
        </is>
      </c>
      <c r="L504" s="2" t="inlineStr">
        <is>
          <t>Environmental Science and Pollution Research</t>
        </is>
      </c>
      <c r="M504" s="2" t="inlineStr">
        <is>
          <t>0944-1344</t>
        </is>
      </c>
      <c r="N504" s="2" t="inlineStr">
        <is>
          <t>1614-7499</t>
        </is>
      </c>
      <c r="O504" s="2" t="inlineStr">
        <is>
          <t>已取得核验全文</t>
        </is>
      </c>
      <c r="P504" s="2" t="inlineStr">
        <is>
          <t>是</t>
        </is>
      </c>
      <c r="Q504" s="2" t="inlineStr">
        <is>
          <t>当前无补充材料原件；沿用既有缺失/无附件证据，不据此认定无附件</t>
        </is>
      </c>
      <c r="R504" s="2" t="n">
        <v>2024</v>
      </c>
      <c r="S504" s="2" t="inlineStr">
        <is>
          <t>2025发布版（2024指标年）</t>
        </is>
      </c>
      <c r="T504" s="2" t="inlineStr"/>
      <c r="U504" s="2" t="inlineStr"/>
      <c r="V504" s="2" t="inlineStr">
        <is>
          <t>待核实</t>
        </is>
      </c>
      <c r="W504" s="2" t="inlineStr">
        <is>
          <t>待核实</t>
        </is>
      </c>
      <c r="X504" s="2" t="inlineStr">
        <is>
          <t>否</t>
        </is>
      </c>
      <c r="Y504" s="2" t="inlineStr"/>
      <c r="Z504" s="2" t="inlineStr">
        <is>
          <t>https://api.crossref.org/works/10.1007/s11356-021-14810-9</t>
        </is>
      </c>
      <c r="AA504" s="2" t="inlineStr">
        <is>
          <t>2024指标年JCR分区未核实；空白不能当非Q1。需要2025发布版/2024指标年的JCR全部学科导出。</t>
        </is>
      </c>
      <c r="AB504" s="2" t="inlineStr">
        <is>
          <t>original_files/R13922/fulltext/fulltext__published__86ff6fe4a39481e0.pdf</t>
        </is>
      </c>
      <c r="AC504" s="2" t="inlineStr"/>
      <c r="AD504" s="2" t="inlineStr">
        <is>
          <t>https://github.com/Colliam-Vermilion/FirstCodex/blob/results/ad-oxygen-literature-20261006/results/ad-oxygen-literature-20261006/original_files/R13922/fulltext/fulltext__published__86ff6fe4a39481e0.pdf</t>
        </is>
      </c>
    </row>
    <row r="505" ht="48" customHeight="1">
      <c r="A505" s="3" t="inlineStr">
        <is>
          <t>R13923</t>
        </is>
      </c>
      <c r="B505" s="3" t="inlineStr">
        <is>
          <t>Nanobubble technology to enhance energy recovery from anaerobic digestion of organic solid wastes: Potential mechanisms and recent advancements</t>
        </is>
      </c>
      <c r="C505" s="3" t="inlineStr">
        <is>
          <t>2024</t>
        </is>
      </c>
      <c r="D505" s="3" t="inlineStr">
        <is>
          <t>2024</t>
        </is>
      </c>
      <c r="E505" s="3" t="inlineStr">
        <is>
          <t>10.1016/j.scitotenv.2024.172885</t>
        </is>
      </c>
      <c r="F505" s="3" t="inlineStr">
        <is>
          <t>期刊综述</t>
        </is>
      </c>
      <c r="G505" s="3" t="inlineStr">
        <is>
          <t>4 综述</t>
        </is>
      </c>
      <c r="H505" s="3" t="inlineStr">
        <is>
          <t>是</t>
        </is>
      </c>
      <c r="I505" s="3" t="inlineStr">
        <is>
          <t>综述</t>
        </is>
      </c>
      <c r="J505" s="3" t="inlineStr">
        <is>
          <t>是</t>
        </is>
      </c>
      <c r="K505" s="3" t="inlineStr">
        <is>
          <t>Science of The Total Environment</t>
        </is>
      </c>
      <c r="L505" s="3" t="inlineStr">
        <is>
          <t>Science of The Total Environment</t>
        </is>
      </c>
      <c r="M505" s="3" t="inlineStr">
        <is>
          <t>0048-9697</t>
        </is>
      </c>
      <c r="N505" s="3" t="inlineStr"/>
      <c r="O505" s="3" t="inlineStr">
        <is>
          <t>已取得核验全文</t>
        </is>
      </c>
      <c r="P505" s="3" t="inlineStr">
        <is>
          <t>是</t>
        </is>
      </c>
      <c r="Q505" s="3" t="inlineStr">
        <is>
          <t>当前无补充材料原件；沿用既有缺失/无附件证据，不据此认定无附件</t>
        </is>
      </c>
      <c r="R505" s="3" t="n">
        <v>2024</v>
      </c>
      <c r="S505" s="3" t="inlineStr">
        <is>
          <t>2025发布版（2024指标年）</t>
        </is>
      </c>
      <c r="T505" s="3" t="inlineStr">
        <is>
          <t>ENVIRONMENTAL SCIENCES</t>
        </is>
      </c>
      <c r="U505" s="3" t="inlineStr">
        <is>
          <t>ENVIRONMENTAL SCIENCES: Q1</t>
        </is>
      </c>
      <c r="V505" s="4" t="inlineStr">
        <is>
          <t>是</t>
        </is>
      </c>
      <c r="W505" s="4" t="inlineStr">
        <is>
          <t>是</t>
        </is>
      </c>
      <c r="X505" s="3" t="inlineStr">
        <is>
          <t>是</t>
        </is>
      </c>
      <c r="Y505" s="3" t="inlineStr">
        <is>
          <t>https://topj.lib.whu.edu.cn/show.asp?cat=zk&amp;id=4001</t>
        </is>
      </c>
      <c r="Z505" s="3" t="inlineStr">
        <is>
          <t>https://api.crossref.org/works/10.1016/j.scitotenv.2024.172885</t>
        </is>
      </c>
      <c r="AA50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05" s="3" t="inlineStr">
        <is>
          <t>original_files/R13923/fulltext/fulltext__published__126be6677a5ba8ad.pdf</t>
        </is>
      </c>
      <c r="AC505" s="3" t="inlineStr"/>
      <c r="AD505" s="3" t="inlineStr">
        <is>
          <t>https://github.com/Colliam-Vermilion/FirstCodex/blob/results/ad-oxygen-literature-20261006/results/ad-oxygen-literature-20261006/original_files/R13923/fulltext/fulltext__published__126be6677a5ba8ad.pdf</t>
        </is>
      </c>
    </row>
    <row r="506" ht="48" customHeight="1">
      <c r="A506" s="2" t="inlineStr">
        <is>
          <t>R13924</t>
        </is>
      </c>
      <c r="B506" s="2" t="inlineStr">
        <is>
          <t>Review of micro-aeration hydrolysis acidification for the pretreatment of toxic and refractory organic wastewater</t>
        </is>
      </c>
      <c r="C506" s="2" t="inlineStr">
        <is>
          <t>2021</t>
        </is>
      </c>
      <c r="D506" s="2" t="inlineStr">
        <is>
          <t>2021</t>
        </is>
      </c>
      <c r="E506" s="2" t="inlineStr">
        <is>
          <t>10.1016/j.jclepro.2021.128343</t>
        </is>
      </c>
      <c r="F506" s="2" t="inlineStr">
        <is>
          <t>期刊综述</t>
        </is>
      </c>
      <c r="G506" s="2" t="inlineStr">
        <is>
          <t>4 综述</t>
        </is>
      </c>
      <c r="H506" s="2" t="inlineStr">
        <is>
          <t>是</t>
        </is>
      </c>
      <c r="I506" s="2" t="inlineStr">
        <is>
          <t>综述</t>
        </is>
      </c>
      <c r="J506" s="2" t="inlineStr">
        <is>
          <t>是</t>
        </is>
      </c>
      <c r="K506" s="2" t="inlineStr">
        <is>
          <t>JOURNAL OF CLEANER PRODUCTION</t>
        </is>
      </c>
      <c r="L506" s="2" t="inlineStr">
        <is>
          <t>Journal of Cleaner Production</t>
        </is>
      </c>
      <c r="M506" s="2" t="inlineStr">
        <is>
          <t>0959-6526</t>
        </is>
      </c>
      <c r="N506" s="2" t="inlineStr"/>
      <c r="O506" s="2" t="inlineStr">
        <is>
          <t>已取得核验全文</t>
        </is>
      </c>
      <c r="P506" s="2" t="inlineStr">
        <is>
          <t>是</t>
        </is>
      </c>
      <c r="Q506" s="2" t="inlineStr">
        <is>
          <t>当前无补充材料原件；沿用既有缺失/无附件证据，不据此认定无附件</t>
        </is>
      </c>
      <c r="R506" s="2" t="n">
        <v>2024</v>
      </c>
      <c r="S506" s="2" t="inlineStr">
        <is>
          <t>2025发布版（2024指标年）</t>
        </is>
      </c>
      <c r="T506" s="2" t="inlineStr">
        <is>
          <t>ENGINEERING, ENVIRONMENTAL; ENVIRONMENTAL SCIENCES; GREEN &amp; SUSTAINABLE SCIENCE &amp; TECHNOLOGY</t>
        </is>
      </c>
      <c r="U506" s="2" t="inlineStr">
        <is>
          <t>ENGINEERING, ENVIRONMENTAL: Q1; ENVIRONMENTAL SCIENCES: Q1; GREEN &amp; SUSTAINABLE SCIENCE &amp; TECHNOLOGY: Q1</t>
        </is>
      </c>
      <c r="V506" s="4" t="inlineStr">
        <is>
          <t>是</t>
        </is>
      </c>
      <c r="W506" s="4" t="inlineStr">
        <is>
          <t>是</t>
        </is>
      </c>
      <c r="X506" s="2" t="inlineStr">
        <is>
          <t>是</t>
        </is>
      </c>
      <c r="Y506" s="2" t="inlineStr">
        <is>
          <t>https://topj.lib.whu.edu.cn/show.asp?cat=esi&amp;id=6394</t>
        </is>
      </c>
      <c r="Z506" s="2" t="inlineStr">
        <is>
          <t>https://api.crossref.org/works/10.1016/j.jclepro.2021.128343</t>
        </is>
      </c>
      <c r="AA50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06" s="2" t="inlineStr">
        <is>
          <t>original_files/R13924/fulltext/fulltext__published__e54025c4711c8c79.pdf</t>
        </is>
      </c>
      <c r="AC506" s="2" t="inlineStr"/>
      <c r="AD506" s="2" t="inlineStr">
        <is>
          <t>https://github.com/Colliam-Vermilion/FirstCodex/blob/results/ad-oxygen-literature-20261006/results/ad-oxygen-literature-20261006/original_files/R13924/fulltext/fulltext__published__e54025c4711c8c79.pdf</t>
        </is>
      </c>
    </row>
    <row r="507" ht="48" customHeight="1">
      <c r="A507" s="3" t="inlineStr">
        <is>
          <t>R13925</t>
        </is>
      </c>
      <c r="B507" s="3" t="inlineStr">
        <is>
          <t>Study on characteristics of methane production by coupling aerobic and anaerobic fermentation of Chinese herb-extraction residues</t>
        </is>
      </c>
      <c r="C507" s="3" t="inlineStr">
        <is>
          <t>2015</t>
        </is>
      </c>
      <c r="D507" s="3" t="inlineStr">
        <is>
          <t>2015</t>
        </is>
      </c>
      <c r="E507" s="3" t="inlineStr"/>
      <c r="F507" s="3" t="inlineStr">
        <is>
          <t>期刊原始研究</t>
        </is>
      </c>
      <c r="G507" s="3" t="inlineStr">
        <is>
          <t>3 独立好氧或微好氧预处理</t>
        </is>
      </c>
      <c r="H507" s="3" t="inlineStr">
        <is>
          <t>是</t>
        </is>
      </c>
      <c r="I507" s="3" t="inlineStr">
        <is>
          <t>研究类</t>
        </is>
      </c>
      <c r="J507" s="3" t="inlineStr">
        <is>
          <t>是</t>
        </is>
      </c>
      <c r="K507" s="3" t="inlineStr">
        <is>
          <t>Dongbei Nongye Daxue xuebao</t>
        </is>
      </c>
      <c r="L507" s="3" t="inlineStr">
        <is>
          <t>Dongbei Nongye Daxue xuebao</t>
        </is>
      </c>
      <c r="M507" s="3" t="inlineStr"/>
      <c r="N507" s="3" t="inlineStr"/>
      <c r="O507" s="3" t="inlineStr">
        <is>
          <t>未取得全文</t>
        </is>
      </c>
      <c r="P507" s="3" t="inlineStr">
        <is>
          <t>否</t>
        </is>
      </c>
      <c r="Q507" s="3" t="inlineStr">
        <is>
          <t>当前无补充材料原件；沿用既有缺失/无附件证据，不据此认定无附件</t>
        </is>
      </c>
      <c r="R507" s="3" t="n">
        <v>2024</v>
      </c>
      <c r="S507" s="3" t="inlineStr">
        <is>
          <t>2025发布版（2024指标年）</t>
        </is>
      </c>
      <c r="T507" s="3" t="inlineStr"/>
      <c r="U507" s="3" t="inlineStr"/>
      <c r="V507" s="3" t="inlineStr">
        <is>
          <t>待核实</t>
        </is>
      </c>
      <c r="W507" s="3" t="inlineStr">
        <is>
          <t>待核实</t>
        </is>
      </c>
      <c r="X507" s="3" t="inlineStr">
        <is>
          <t>否</t>
        </is>
      </c>
      <c r="Y507" s="3" t="inlineStr"/>
      <c r="Z507" s="3" t="inlineStr"/>
      <c r="AA507" s="3" t="inlineStr">
        <is>
          <t>2024指标年JCR分区未核实；空白不能当非Q1。需要2025发布版/2024指标年的JCR全部学科导出。</t>
        </is>
      </c>
      <c r="AB507" s="3" t="inlineStr"/>
      <c r="AC507" s="3" t="inlineStr"/>
      <c r="AD507" s="3" t="inlineStr"/>
    </row>
    <row r="508" ht="48" customHeight="1">
      <c r="A508" s="2" t="inlineStr">
        <is>
          <t>R13926</t>
        </is>
      </c>
      <c r="B508" s="2" t="inlineStr">
        <is>
          <t>Comparison of biogas recovery from MSW using different aerobic-anaerobic operation modes</t>
        </is>
      </c>
      <c r="C508" s="2" t="inlineStr">
        <is>
          <t>2016</t>
        </is>
      </c>
      <c r="D508" s="2" t="inlineStr">
        <is>
          <t>2016</t>
        </is>
      </c>
      <c r="E508" s="2" t="inlineStr">
        <is>
          <t>10.1016/j.wasman.2016.07.005</t>
        </is>
      </c>
      <c r="F508" s="2" t="inlineStr">
        <is>
          <t>期刊原始研究</t>
        </is>
      </c>
      <c r="G508" s="2" t="inlineStr">
        <is>
          <t>3 独立好氧或微好氧预处理</t>
        </is>
      </c>
      <c r="H508" s="2" t="inlineStr">
        <is>
          <t>是</t>
        </is>
      </c>
      <c r="I508" s="2" t="inlineStr">
        <is>
          <t>研究类</t>
        </is>
      </c>
      <c r="J508" s="2" t="inlineStr">
        <is>
          <t>是</t>
        </is>
      </c>
      <c r="K508" s="2" t="inlineStr">
        <is>
          <t>Waste Management</t>
        </is>
      </c>
      <c r="L508" s="2" t="inlineStr">
        <is>
          <t>Waste Management</t>
        </is>
      </c>
      <c r="M508" s="2" t="inlineStr">
        <is>
          <t>0956-053X</t>
        </is>
      </c>
      <c r="N508" s="2" t="inlineStr"/>
      <c r="O508" s="2" t="inlineStr">
        <is>
          <t>已取得核验全文</t>
        </is>
      </c>
      <c r="P508" s="2" t="inlineStr">
        <is>
          <t>是</t>
        </is>
      </c>
      <c r="Q508" s="2" t="inlineStr">
        <is>
          <t>当前无补充材料原件；沿用既有缺失/无附件证据，不据此认定无附件</t>
        </is>
      </c>
      <c r="R508" s="2" t="n">
        <v>2024</v>
      </c>
      <c r="S508" s="2" t="inlineStr">
        <is>
          <t>2025发布版（2024指标年）</t>
        </is>
      </c>
      <c r="T508" s="2" t="inlineStr">
        <is>
          <t>ENGINEERING, ENVIRONMENTAL; ENVIRONMENTAL SCIENCES</t>
        </is>
      </c>
      <c r="U508" s="2" t="inlineStr">
        <is>
          <t>ENGINEERING, ENVIRONMENTAL: Q1; ENVIRONMENTAL SCIENCES: Q1</t>
        </is>
      </c>
      <c r="V508" s="4" t="inlineStr">
        <is>
          <t>是</t>
        </is>
      </c>
      <c r="W508" s="4" t="inlineStr">
        <is>
          <t>是</t>
        </is>
      </c>
      <c r="X508" s="2" t="inlineStr">
        <is>
          <t>是</t>
        </is>
      </c>
      <c r="Y508" s="2" t="inlineStr">
        <is>
          <t>https://topj.lib.whu.edu.cn/show.asp?cat=zk&amp;id=4000</t>
        </is>
      </c>
      <c r="Z508" s="2" t="inlineStr">
        <is>
          <t>https://api.crossref.org/works/10.1016/j.wasman.2016.07.005</t>
        </is>
      </c>
      <c r="AA508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08" s="2" t="inlineStr">
        <is>
          <t>original_files/R13926/fulltext/fulltext__published__1a058a8e3ec39c95.pdf</t>
        </is>
      </c>
      <c r="AC508" s="2" t="inlineStr"/>
      <c r="AD508" s="2" t="inlineStr">
        <is>
          <t>https://github.com/Colliam-Vermilion/FirstCodex/blob/results/ad-oxygen-literature-20261006/results/ad-oxygen-literature-20261006/original_files/R13926/fulltext/fulltext__published__1a058a8e3ec39c95.pdf</t>
        </is>
      </c>
    </row>
    <row r="509" ht="48" customHeight="1">
      <c r="A509" s="3" t="inlineStr">
        <is>
          <t>R13927</t>
        </is>
      </c>
      <c r="B509" s="3" t="inlineStr">
        <is>
          <t>Microbial community structure in a thermophilic aerobic digester used as a sludge pretreatment process for the mesophilic anaerobic digestion and the enhancement of methane production</t>
        </is>
      </c>
      <c r="C509" s="3" t="inlineStr">
        <is>
          <t>2013</t>
        </is>
      </c>
      <c r="D509" s="3" t="inlineStr">
        <is>
          <t>2013</t>
        </is>
      </c>
      <c r="E509" s="3" t="inlineStr">
        <is>
          <t>10.1016/j.biortech.2013.01.094</t>
        </is>
      </c>
      <c r="F509" s="3" t="inlineStr">
        <is>
          <t>期刊原始研究</t>
        </is>
      </c>
      <c r="G509" s="3" t="inlineStr">
        <is>
          <t>3 独立好氧或微好氧预处理</t>
        </is>
      </c>
      <c r="H509" s="3" t="inlineStr">
        <is>
          <t>是</t>
        </is>
      </c>
      <c r="I509" s="3" t="inlineStr">
        <is>
          <t>研究类</t>
        </is>
      </c>
      <c r="J509" s="3" t="inlineStr">
        <is>
          <t>是</t>
        </is>
      </c>
      <c r="K509" s="3" t="inlineStr">
        <is>
          <t>BIORESOURCE TECHNOLOGY</t>
        </is>
      </c>
      <c r="L509" s="3" t="inlineStr">
        <is>
          <t>Bioresource Technology</t>
        </is>
      </c>
      <c r="M509" s="3" t="inlineStr">
        <is>
          <t>0960-8524</t>
        </is>
      </c>
      <c r="N509" s="3" t="inlineStr"/>
      <c r="O509" s="3" t="inlineStr">
        <is>
          <t>已取得核验全文</t>
        </is>
      </c>
      <c r="P509" s="3" t="inlineStr">
        <is>
          <t>是</t>
        </is>
      </c>
      <c r="Q509" s="3" t="inlineStr">
        <is>
          <t>当前无补充材料原件；沿用既有缺失/无附件证据，不据此认定无附件</t>
        </is>
      </c>
      <c r="R509" s="3" t="n">
        <v>2024</v>
      </c>
      <c r="S509" s="3" t="inlineStr">
        <is>
          <t>2025发布版（2024指标年）</t>
        </is>
      </c>
      <c r="T509" s="3" t="inlineStr">
        <is>
          <t>AGRICULTURAL ENGINEERING; BIOTECHNOLOGY &amp; APPLIED MICROBIOLOGY; ENERGY &amp; FUELS</t>
        </is>
      </c>
      <c r="U509" s="3" t="inlineStr">
        <is>
          <t>AGRICULTURAL ENGINEERING: Q1; BIOTECHNOLOGY &amp; APPLIED MICROBIOLOGY: Q1; ENERGY &amp; FUELS: Q1</t>
        </is>
      </c>
      <c r="V509" s="4" t="inlineStr">
        <is>
          <t>是</t>
        </is>
      </c>
      <c r="W509" s="4" t="inlineStr">
        <is>
          <t>是</t>
        </is>
      </c>
      <c r="X509" s="3" t="inlineStr">
        <is>
          <t>是</t>
        </is>
      </c>
      <c r="Y509" s="3" t="inlineStr">
        <is>
          <t>https://topj.lib.whu.edu.cn/show.asp?cat=zk&amp;id=3976</t>
        </is>
      </c>
      <c r="Z509" s="3" t="inlineStr">
        <is>
          <t>https://api.crossref.org/works/10.1016/j.biortech.2013.01.094</t>
        </is>
      </c>
      <c r="AA509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09" s="3" t="inlineStr">
        <is>
          <t>original_files/R13927/fulltext/fulltext__published__600443484b17b952.pdf</t>
        </is>
      </c>
      <c r="AC509" s="3" t="inlineStr"/>
      <c r="AD509" s="3" t="inlineStr">
        <is>
          <t>https://github.com/Colliam-Vermilion/FirstCodex/blob/results/ad-oxygen-literature-20261006/results/ad-oxygen-literature-20261006/original_files/R13927/fulltext/fulltext__published__600443484b17b952.pdf</t>
        </is>
      </c>
    </row>
    <row r="510" ht="48" customHeight="1">
      <c r="A510" s="2" t="inlineStr">
        <is>
          <t>R13928</t>
        </is>
      </c>
      <c r="B510" s="2" t="inlineStr">
        <is>
          <t>The impact of aerobic pretreatment of agro and industrial wastes on their biomethanation potential in Nisargruna technology</t>
        </is>
      </c>
      <c r="C510" s="2" t="inlineStr">
        <is>
          <t>2021</t>
        </is>
      </c>
      <c r="D510" s="2" t="inlineStr">
        <is>
          <t>2021</t>
        </is>
      </c>
      <c r="E510" s="2" t="inlineStr">
        <is>
          <t>10.38150/sajeb.11(5).p548-556</t>
        </is>
      </c>
      <c r="F510" s="2" t="inlineStr">
        <is>
          <t>期刊原始研究</t>
        </is>
      </c>
      <c r="G510" s="2" t="inlineStr">
        <is>
          <t>3 独立好氧或微好氧预处理</t>
        </is>
      </c>
      <c r="H510" s="2" t="inlineStr">
        <is>
          <t>是</t>
        </is>
      </c>
      <c r="I510" s="2" t="inlineStr">
        <is>
          <t>研究类</t>
        </is>
      </c>
      <c r="J510" s="2" t="inlineStr">
        <is>
          <t>是</t>
        </is>
      </c>
      <c r="K510" s="2" t="inlineStr">
        <is>
          <t>South Asian Journal of Experimental Biology</t>
        </is>
      </c>
      <c r="L510" s="2" t="inlineStr">
        <is>
          <t>South Asian Journal of Experimental Biology</t>
        </is>
      </c>
      <c r="M510" s="2" t="inlineStr"/>
      <c r="N510" s="2" t="inlineStr">
        <is>
          <t>2230-9799</t>
        </is>
      </c>
      <c r="O510" s="2" t="inlineStr">
        <is>
          <t>未取得全文</t>
        </is>
      </c>
      <c r="P510" s="2" t="inlineStr">
        <is>
          <t>否</t>
        </is>
      </c>
      <c r="Q510" s="2" t="inlineStr">
        <is>
          <t>当前无补充材料原件；沿用既有缺失/无附件证据，不据此认定无附件</t>
        </is>
      </c>
      <c r="R510" s="2" t="n">
        <v>2024</v>
      </c>
      <c r="S510" s="2" t="inlineStr">
        <is>
          <t>2025发布版（2024指标年）</t>
        </is>
      </c>
      <c r="T510" s="2" t="inlineStr"/>
      <c r="U510" s="2" t="inlineStr"/>
      <c r="V510" s="2" t="inlineStr">
        <is>
          <t>待核实</t>
        </is>
      </c>
      <c r="W510" s="2" t="inlineStr">
        <is>
          <t>待核实</t>
        </is>
      </c>
      <c r="X510" s="2" t="inlineStr">
        <is>
          <t>否</t>
        </is>
      </c>
      <c r="Y510" s="2" t="inlineStr"/>
      <c r="Z510" s="2" t="inlineStr">
        <is>
          <t>https://api.crossref.org/works/10.38150/sajeb.11(5).p548-556</t>
        </is>
      </c>
      <c r="AA510" s="2" t="inlineStr">
        <is>
          <t>2024指标年JCR分区未核实；空白不能当非Q1。需要2025发布版/2024指标年的JCR全部学科导出。</t>
        </is>
      </c>
      <c r="AB510" s="2" t="inlineStr"/>
      <c r="AC510" s="2" t="inlineStr"/>
      <c r="AD510" s="2" t="inlineStr"/>
    </row>
    <row r="511" ht="48" customHeight="1">
      <c r="A511" s="3" t="inlineStr">
        <is>
          <t>R13929</t>
        </is>
      </c>
      <c r="B511" s="3" t="inlineStr">
        <is>
          <t>Integrated aerobic-anaerobic digestion of highly solids-loaded corn stover and swine manure under dynamic aeration: Temperature rise, physicochemical characteristics, and methane production</t>
        </is>
      </c>
      <c r="C511" s="3" t="inlineStr">
        <is>
          <t>2024</t>
        </is>
      </c>
      <c r="D511" s="3" t="inlineStr">
        <is>
          <t>2024</t>
        </is>
      </c>
      <c r="E511" s="3" t="inlineStr">
        <is>
          <t>10.1016/j.jenvman.2024.121864</t>
        </is>
      </c>
      <c r="F511" s="3" t="inlineStr">
        <is>
          <t>期刊原始研究</t>
        </is>
      </c>
      <c r="G511" s="3" t="inlineStr">
        <is>
          <t>3 独立好氧或微好氧预处理</t>
        </is>
      </c>
      <c r="H511" s="3" t="inlineStr">
        <is>
          <t>是</t>
        </is>
      </c>
      <c r="I511" s="3" t="inlineStr">
        <is>
          <t>研究类</t>
        </is>
      </c>
      <c r="J511" s="3" t="inlineStr">
        <is>
          <t>是</t>
        </is>
      </c>
      <c r="K511" s="3" t="inlineStr">
        <is>
          <t>Journal of Environmental Management</t>
        </is>
      </c>
      <c r="L511" s="3" t="inlineStr">
        <is>
          <t>Journal of Environmental Management</t>
        </is>
      </c>
      <c r="M511" s="3" t="inlineStr">
        <is>
          <t>0301-4797</t>
        </is>
      </c>
      <c r="N511" s="3" t="inlineStr"/>
      <c r="O511" s="3" t="inlineStr">
        <is>
          <t>已取得核验全文</t>
        </is>
      </c>
      <c r="P511" s="3" t="inlineStr">
        <is>
          <t>是</t>
        </is>
      </c>
      <c r="Q511" s="3" t="inlineStr">
        <is>
          <t>当前无补充材料原件；沿用既有缺失/无附件证据，不据此认定无附件</t>
        </is>
      </c>
      <c r="R511" s="3" t="n">
        <v>2024</v>
      </c>
      <c r="S511" s="3" t="inlineStr">
        <is>
          <t>2025发布版（2024指标年）</t>
        </is>
      </c>
      <c r="T511" s="3" t="inlineStr">
        <is>
          <t>ENVIRONMENTAL SCIENCES</t>
        </is>
      </c>
      <c r="U511" s="3" t="inlineStr">
        <is>
          <t>ENVIRONMENTAL SCIENCES: Q1</t>
        </is>
      </c>
      <c r="V511" s="4" t="inlineStr">
        <is>
          <t>是</t>
        </is>
      </c>
      <c r="W511" s="4" t="inlineStr">
        <is>
          <t>是</t>
        </is>
      </c>
      <c r="X511" s="3" t="inlineStr">
        <is>
          <t>是</t>
        </is>
      </c>
      <c r="Y511" s="3" t="inlineStr">
        <is>
          <t>https://topj.lib.whu.edu.cn/show.asp?cat=sci&amp;id=6965</t>
        </is>
      </c>
      <c r="Z511" s="3" t="inlineStr">
        <is>
          <t>https://api.crossref.org/works/10.1016/j.jenvman.2024.121864</t>
        </is>
      </c>
      <c r="AA511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11" s="3" t="inlineStr">
        <is>
          <t>original_files/R13929/fulltext/fulltext__published__cc387a412a99eed9.pdf</t>
        </is>
      </c>
      <c r="AC511" s="3" t="inlineStr"/>
      <c r="AD511" s="3" t="inlineStr">
        <is>
          <t>https://github.com/Colliam-Vermilion/FirstCodex/blob/results/ad-oxygen-literature-20261006/results/ad-oxygen-literature-20261006/original_files/R13929/fulltext/fulltext__published__cc387a412a99eed9.pdf</t>
        </is>
      </c>
    </row>
    <row r="512" ht="48" customHeight="1">
      <c r="A512" s="2" t="inlineStr">
        <is>
          <t>R13930</t>
        </is>
      </c>
      <c r="B512" s="2" t="inlineStr">
        <is>
          <t>Effect of incubation conditions on the aerobic pretreatment of the organic solid wastes and the volatile fatty acids production</t>
        </is>
      </c>
      <c r="C512" s="2" t="inlineStr">
        <is>
          <t>2020</t>
        </is>
      </c>
      <c r="D512" s="2" t="inlineStr">
        <is>
          <t>2020</t>
        </is>
      </c>
      <c r="E512" s="2" t="inlineStr">
        <is>
          <t>10.24275/rmiq/bio849</t>
        </is>
      </c>
      <c r="F512" s="2" t="inlineStr">
        <is>
          <t>期刊原始研究</t>
        </is>
      </c>
      <c r="G512" s="2" t="inlineStr">
        <is>
          <t>3 独立好氧或微好氧预处理</t>
        </is>
      </c>
      <c r="H512" s="2" t="inlineStr">
        <is>
          <t>是</t>
        </is>
      </c>
      <c r="I512" s="2" t="inlineStr">
        <is>
          <t>研究类</t>
        </is>
      </c>
      <c r="J512" s="2" t="inlineStr">
        <is>
          <t>是</t>
        </is>
      </c>
      <c r="K512" s="2" t="inlineStr">
        <is>
          <t>Revista Mexicana de Ingeniería Química</t>
        </is>
      </c>
      <c r="L512" s="2" t="inlineStr">
        <is>
          <t>Revista Mexicana de Ingeniería Química</t>
        </is>
      </c>
      <c r="M512" s="2" t="inlineStr">
        <is>
          <t>1665-2738</t>
        </is>
      </c>
      <c r="N512" s="2" t="inlineStr">
        <is>
          <t>2395-8472</t>
        </is>
      </c>
      <c r="O512" s="2" t="inlineStr">
        <is>
          <t>已取得核验全文</t>
        </is>
      </c>
      <c r="P512" s="2" t="inlineStr">
        <is>
          <t>是</t>
        </is>
      </c>
      <c r="Q512" s="2" t="inlineStr">
        <is>
          <t>当前无补充材料原件；沿用既有缺失/无附件证据，不据此认定无附件</t>
        </is>
      </c>
      <c r="R512" s="2" t="n">
        <v>2024</v>
      </c>
      <c r="S512" s="2" t="inlineStr">
        <is>
          <t>2025发布版（2024指标年）</t>
        </is>
      </c>
      <c r="T512" s="2" t="inlineStr"/>
      <c r="U512" s="2" t="inlineStr"/>
      <c r="V512" s="2" t="inlineStr">
        <is>
          <t>待核实</t>
        </is>
      </c>
      <c r="W512" s="2" t="inlineStr">
        <is>
          <t>待核实</t>
        </is>
      </c>
      <c r="X512" s="2" t="inlineStr">
        <is>
          <t>否</t>
        </is>
      </c>
      <c r="Y512" s="2" t="inlineStr"/>
      <c r="Z512" s="2" t="inlineStr">
        <is>
          <t>https://api.crossref.org/works/10.24275/rmiq/bio849</t>
        </is>
      </c>
      <c r="AA512" s="2" t="inlineStr">
        <is>
          <t>2024指标年JCR分区未核实；空白不能当非Q1。需要2025发布版/2024指标年的JCR全部学科导出。</t>
        </is>
      </c>
      <c r="AB512" s="2" t="inlineStr">
        <is>
          <t>original_files/R13930/fulltext/fulltext__version_unverified__abff0bd62cce53e5.pdf</t>
        </is>
      </c>
      <c r="AC512" s="2" t="inlineStr"/>
      <c r="AD512" s="2" t="inlineStr">
        <is>
          <t>https://github.com/Colliam-Vermilion/FirstCodex/blob/results/ad-oxygen-literature-20261006/results/ad-oxygen-literature-20261006/original_files/R13930/fulltext/fulltext__version_unverified__abff0bd62cce53e5.pdf</t>
        </is>
      </c>
    </row>
    <row r="513" ht="48" customHeight="1">
      <c r="A513" s="3" t="inlineStr">
        <is>
          <t>R13931</t>
        </is>
      </c>
      <c r="B513" s="3" t="inlineStr">
        <is>
          <t>Biogas recovery from fresh landfill leachates by using a coupled air stripping-up follow anaerobic sludge blanket (UASB) process</t>
        </is>
      </c>
      <c r="C513" s="3" t="inlineStr">
        <is>
          <t>2020</t>
        </is>
      </c>
      <c r="D513" s="3" t="inlineStr">
        <is>
          <t>2020</t>
        </is>
      </c>
      <c r="E513" s="3" t="inlineStr">
        <is>
          <t>10.4491/eer.2020.470</t>
        </is>
      </c>
      <c r="F513" s="3" t="inlineStr">
        <is>
          <t>期刊原始研究</t>
        </is>
      </c>
      <c r="G513" s="3" t="inlineStr">
        <is>
          <t>3 独立好氧或微好氧预处理</t>
        </is>
      </c>
      <c r="H513" s="3" t="inlineStr">
        <is>
          <t>是</t>
        </is>
      </c>
      <c r="I513" s="3" t="inlineStr">
        <is>
          <t>研究类</t>
        </is>
      </c>
      <c r="J513" s="3" t="inlineStr">
        <is>
          <t>是</t>
        </is>
      </c>
      <c r="K513" s="3" t="inlineStr">
        <is>
          <t>ENVIRONMENTAL ENGINEERING RESEARCH</t>
        </is>
      </c>
      <c r="L513" s="3" t="inlineStr">
        <is>
          <t>Environmental Engineering Research</t>
        </is>
      </c>
      <c r="M513" s="3" t="inlineStr">
        <is>
          <t>1226-1025</t>
        </is>
      </c>
      <c r="N513" s="3" t="inlineStr">
        <is>
          <t>2005-968X</t>
        </is>
      </c>
      <c r="O513" s="3" t="inlineStr">
        <is>
          <t>已取得核验全文</t>
        </is>
      </c>
      <c r="P513" s="3" t="inlineStr">
        <is>
          <t>是</t>
        </is>
      </c>
      <c r="Q513" s="3" t="inlineStr">
        <is>
          <t>当前无补充材料原件；沿用既有缺失/无附件证据，不据此认定无附件</t>
        </is>
      </c>
      <c r="R513" s="3" t="n">
        <v>2024</v>
      </c>
      <c r="S513" s="3" t="inlineStr">
        <is>
          <t>2025发布版（2024指标年）</t>
        </is>
      </c>
      <c r="T513" s="3" t="inlineStr">
        <is>
          <t>ENGINEERING, ENVIRONMENTAL; ENVIRONMENTAL SCIENCES</t>
        </is>
      </c>
      <c r="U513" s="3" t="inlineStr">
        <is>
          <t>ENGINEERING, ENVIRONMENTAL: Q3; ENVIRONMENTAL SCIENCES: Q3</t>
        </is>
      </c>
      <c r="V513" s="3" t="inlineStr">
        <is>
          <t>否</t>
        </is>
      </c>
      <c r="W513" s="3" t="inlineStr">
        <is>
          <t>否</t>
        </is>
      </c>
      <c r="X513" s="3" t="inlineStr">
        <is>
          <t>是</t>
        </is>
      </c>
      <c r="Y513" s="3" t="inlineStr">
        <is>
          <t>https://topj.lib.whu.edu.cn/search2.asp?ordertype=&amp;page=18&amp;q=&amp;sea=e&amp;searchtype=esi</t>
        </is>
      </c>
      <c r="Z513" s="3" t="inlineStr">
        <is>
          <t>https://api.crossref.org/works/10.4491/eer.2020.470</t>
        </is>
      </c>
      <c r="AA51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513" s="3" t="inlineStr">
        <is>
          <t>original_files/R13931/fulltext/fulltext__published__6e898a403edac7b3.pdf</t>
        </is>
      </c>
      <c r="AC513" s="3" t="inlineStr"/>
      <c r="AD513" s="3" t="inlineStr">
        <is>
          <t>https://github.com/Colliam-Vermilion/FirstCodex/blob/results/ad-oxygen-literature-20261006/results/ad-oxygen-literature-20261006/original_files/R13931/fulltext/fulltext__published__6e898a403edac7b3.pdf</t>
        </is>
      </c>
    </row>
    <row r="514" ht="48" customHeight="1">
      <c r="A514" s="2" t="inlineStr">
        <is>
          <t>R13932</t>
        </is>
      </c>
      <c r="B514" s="2" t="inlineStr">
        <is>
          <t>Comparison of pre- and inter-stage aerobic treatment of wastewater sludge: Effects on biogas production and COD removal</t>
        </is>
      </c>
      <c r="C514" s="2" t="inlineStr">
        <is>
          <t>2018</t>
        </is>
      </c>
      <c r="D514" s="2" t="inlineStr">
        <is>
          <t>2018</t>
        </is>
      </c>
      <c r="E514" s="2" t="inlineStr">
        <is>
          <t>10.1016/j.biortech.2017.08.128</t>
        </is>
      </c>
      <c r="F514" s="2" t="inlineStr">
        <is>
          <t>期刊原始研究</t>
        </is>
      </c>
      <c r="G514" s="2" t="inlineStr">
        <is>
          <t>3 独立好氧或微好氧预处理</t>
        </is>
      </c>
      <c r="H514" s="2" t="inlineStr">
        <is>
          <t>是</t>
        </is>
      </c>
      <c r="I514" s="2" t="inlineStr">
        <is>
          <t>研究类</t>
        </is>
      </c>
      <c r="J514" s="2" t="inlineStr">
        <is>
          <t>是</t>
        </is>
      </c>
      <c r="K514" s="2" t="inlineStr">
        <is>
          <t>BIORESOURCE TECHNOLOGY</t>
        </is>
      </c>
      <c r="L514" s="2" t="inlineStr">
        <is>
          <t>Bioresource Technology</t>
        </is>
      </c>
      <c r="M514" s="2" t="inlineStr">
        <is>
          <t>0960-8524</t>
        </is>
      </c>
      <c r="N514" s="2" t="inlineStr"/>
      <c r="O514" s="2" t="inlineStr">
        <is>
          <t>已取得核验全文</t>
        </is>
      </c>
      <c r="P514" s="2" t="inlineStr">
        <is>
          <t>是</t>
        </is>
      </c>
      <c r="Q514" s="2" t="inlineStr">
        <is>
          <t>当前无补充材料原件；沿用既有缺失/无附件证据，不据此认定无附件</t>
        </is>
      </c>
      <c r="R514" s="2" t="n">
        <v>2024</v>
      </c>
      <c r="S514" s="2" t="inlineStr">
        <is>
          <t>2025发布版（2024指标年）</t>
        </is>
      </c>
      <c r="T514" s="2" t="inlineStr">
        <is>
          <t>AGRICULTURAL ENGINEERING; BIOTECHNOLOGY &amp; APPLIED MICROBIOLOGY; ENERGY &amp; FUELS</t>
        </is>
      </c>
      <c r="U514" s="2" t="inlineStr">
        <is>
          <t>AGRICULTURAL ENGINEERING: Q1; BIOTECHNOLOGY &amp; APPLIED MICROBIOLOGY: Q1; ENERGY &amp; FUELS: Q1</t>
        </is>
      </c>
      <c r="V514" s="4" t="inlineStr">
        <is>
          <t>是</t>
        </is>
      </c>
      <c r="W514" s="4" t="inlineStr">
        <is>
          <t>是</t>
        </is>
      </c>
      <c r="X514" s="2" t="inlineStr">
        <is>
          <t>是</t>
        </is>
      </c>
      <c r="Y514" s="2" t="inlineStr">
        <is>
          <t>https://topj.lib.whu.edu.cn/show.asp?cat=zk&amp;id=3976</t>
        </is>
      </c>
      <c r="Z514" s="2" t="inlineStr">
        <is>
          <t>https://api.crossref.org/works/10.1016/j.biortech.2017.08.128</t>
        </is>
      </c>
      <c r="AA51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14" s="2" t="inlineStr">
        <is>
          <t>original_files/R13932/fulltext/fulltext__version_unverified__c15f49a3d617e1be.pdf</t>
        </is>
      </c>
      <c r="AC514" s="2" t="inlineStr"/>
      <c r="AD514" s="2" t="inlineStr">
        <is>
          <t>https://github.com/Colliam-Vermilion/FirstCodex/blob/results/ad-oxygen-literature-20261006/results/ad-oxygen-literature-20261006/original_files/R13932/fulltext/fulltext__version_unverified__c15f49a3d617e1be.pdf</t>
        </is>
      </c>
    </row>
    <row r="515" ht="48" customHeight="1">
      <c r="A515" s="3" t="inlineStr">
        <is>
          <t>R13933</t>
        </is>
      </c>
      <c r="B515" s="3" t="inlineStr">
        <is>
          <t>Assessment of the aerobic preparation and bottom ash addition as pretreatment steps before landfilling: Impact on methanogenesis kinetics and leachate parameters</t>
        </is>
      </c>
      <c r="C515" s="3" t="inlineStr">
        <is>
          <t>2012</t>
        </is>
      </c>
      <c r="D515" s="3" t="inlineStr">
        <is>
          <t>2012</t>
        </is>
      </c>
      <c r="E515" s="3" t="inlineStr">
        <is>
          <t>10.1016/j.wasman.2012.04.011</t>
        </is>
      </c>
      <c r="F515" s="3" t="inlineStr">
        <is>
          <t>期刊原始研究</t>
        </is>
      </c>
      <c r="G515" s="3" t="inlineStr">
        <is>
          <t>3 独立好氧或微好氧预处理</t>
        </is>
      </c>
      <c r="H515" s="3" t="inlineStr">
        <is>
          <t>是</t>
        </is>
      </c>
      <c r="I515" s="3" t="inlineStr">
        <is>
          <t>研究类</t>
        </is>
      </c>
      <c r="J515" s="3" t="inlineStr">
        <is>
          <t>是</t>
        </is>
      </c>
      <c r="K515" s="3" t="inlineStr">
        <is>
          <t>Waste Management</t>
        </is>
      </c>
      <c r="L515" s="3" t="inlineStr">
        <is>
          <t>Waste Management</t>
        </is>
      </c>
      <c r="M515" s="3" t="inlineStr">
        <is>
          <t>0956-053X</t>
        </is>
      </c>
      <c r="N515" s="3" t="inlineStr"/>
      <c r="O515" s="3" t="inlineStr">
        <is>
          <t>已取得核验全文</t>
        </is>
      </c>
      <c r="P515" s="3" t="inlineStr">
        <is>
          <t>是</t>
        </is>
      </c>
      <c r="Q515" s="3" t="inlineStr">
        <is>
          <t>当前无补充材料原件；沿用既有缺失/无附件证据，不据此认定无附件</t>
        </is>
      </c>
      <c r="R515" s="3" t="n">
        <v>2024</v>
      </c>
      <c r="S515" s="3" t="inlineStr">
        <is>
          <t>2025发布版（2024指标年）</t>
        </is>
      </c>
      <c r="T515" s="3" t="inlineStr">
        <is>
          <t>ENGINEERING, ENVIRONMENTAL; ENVIRONMENTAL SCIENCES</t>
        </is>
      </c>
      <c r="U515" s="3" t="inlineStr">
        <is>
          <t>ENGINEERING, ENVIRONMENTAL: Q1; ENVIRONMENTAL SCIENCES: Q1</t>
        </is>
      </c>
      <c r="V515" s="4" t="inlineStr">
        <is>
          <t>是</t>
        </is>
      </c>
      <c r="W515" s="4" t="inlineStr">
        <is>
          <t>是</t>
        </is>
      </c>
      <c r="X515" s="3" t="inlineStr">
        <is>
          <t>是</t>
        </is>
      </c>
      <c r="Y515" s="3" t="inlineStr">
        <is>
          <t>https://topj.lib.whu.edu.cn/show.asp?cat=zk&amp;id=4000</t>
        </is>
      </c>
      <c r="Z515" s="3" t="inlineStr">
        <is>
          <t>https://api.crossref.org/works/10.1016/j.wasman.2012.04.011</t>
        </is>
      </c>
      <c r="AA51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15" s="3" t="inlineStr">
        <is>
          <t>original_files/R13933/fulltext/fulltext__published__fc7bd824e1f7a3d8.pdf</t>
        </is>
      </c>
      <c r="AC515" s="3" t="inlineStr"/>
      <c r="AD515" s="3" t="inlineStr">
        <is>
          <t>https://github.com/Colliam-Vermilion/FirstCodex/blob/results/ad-oxygen-literature-20261006/results/ad-oxygen-literature-20261006/original_files/R13933/fulltext/fulltext__published__fc7bd824e1f7a3d8.pdf</t>
        </is>
      </c>
    </row>
    <row r="516" ht="48" customHeight="1">
      <c r="A516" s="2" t="inlineStr">
        <is>
          <t>R13934</t>
        </is>
      </c>
      <c r="B516" s="2" t="inlineStr">
        <is>
          <t>Air stripping pre-treatment process to enhance biogas production in anaerobic digestion of chicken manure wastewater</t>
        </is>
      </c>
      <c r="C516" s="2" t="inlineStr">
        <is>
          <t>2021</t>
        </is>
      </c>
      <c r="D516" s="2" t="inlineStr">
        <is>
          <t>2021</t>
        </is>
      </c>
      <c r="E516" s="2" t="inlineStr">
        <is>
          <t>10.1016/j.biteb.2021.100647</t>
        </is>
      </c>
      <c r="F516" s="2" t="inlineStr">
        <is>
          <t>期刊原始研究</t>
        </is>
      </c>
      <c r="G516" s="2" t="inlineStr">
        <is>
          <t>3 独立好氧或微好氧预处理</t>
        </is>
      </c>
      <c r="H516" s="2" t="inlineStr">
        <is>
          <t>是</t>
        </is>
      </c>
      <c r="I516" s="2" t="inlineStr">
        <is>
          <t>研究类</t>
        </is>
      </c>
      <c r="J516" s="2" t="inlineStr">
        <is>
          <t>是</t>
        </is>
      </c>
      <c r="K516" s="2" t="inlineStr">
        <is>
          <t>Bioresource Technology Reports</t>
        </is>
      </c>
      <c r="L516" s="2" t="inlineStr">
        <is>
          <t>Bioresource Technology Reports</t>
        </is>
      </c>
      <c r="M516" s="2" t="inlineStr">
        <is>
          <t>2589-014X</t>
        </is>
      </c>
      <c r="N516" s="2" t="inlineStr"/>
      <c r="O516" s="2" t="inlineStr">
        <is>
          <t>已取得核验全文</t>
        </is>
      </c>
      <c r="P516" s="2" t="inlineStr">
        <is>
          <t>是</t>
        </is>
      </c>
      <c r="Q516" s="2" t="inlineStr">
        <is>
          <t>当前无补充材料原件；沿用既有缺失/无附件证据，不据此认定无附件</t>
        </is>
      </c>
      <c r="R516" s="2" t="n">
        <v>2024</v>
      </c>
      <c r="S516" s="2" t="inlineStr">
        <is>
          <t>2025发布版（2024指标年）</t>
        </is>
      </c>
      <c r="T516" s="2" t="inlineStr"/>
      <c r="U516" s="2" t="inlineStr"/>
      <c r="V516" s="2" t="inlineStr">
        <is>
          <t>待核实</t>
        </is>
      </c>
      <c r="W516" s="2" t="inlineStr">
        <is>
          <t>待核实</t>
        </is>
      </c>
      <c r="X516" s="2" t="inlineStr">
        <is>
          <t>否</t>
        </is>
      </c>
      <c r="Y516" s="2" t="inlineStr"/>
      <c r="Z516" s="2" t="inlineStr">
        <is>
          <t>https://api.crossref.org/works/10.1016/j.biteb.2021.100647</t>
        </is>
      </c>
      <c r="AA516" s="2" t="inlineStr">
        <is>
          <t>2024指标年JCR分区未核实；空白不能当非Q1。需要2025发布版/2024指标年的JCR全部学科导出。</t>
        </is>
      </c>
      <c r="AB516" s="2" t="inlineStr">
        <is>
          <t>original_files/R13934/fulltext/fulltext__published__1480f7c3e38dbfec.pdf</t>
        </is>
      </c>
      <c r="AC516" s="2" t="inlineStr"/>
      <c r="AD516" s="2" t="inlineStr">
        <is>
          <t>https://github.com/Colliam-Vermilion/FirstCodex/blob/results/ad-oxygen-literature-20261006/results/ad-oxygen-literature-20261006/original_files/R13934/fulltext/fulltext__published__1480f7c3e38dbfec.pdf</t>
        </is>
      </c>
    </row>
    <row r="517" ht="48" customHeight="1">
      <c r="A517" s="3" t="inlineStr">
        <is>
          <t>R13935</t>
        </is>
      </c>
      <c r="B517" s="3" t="inlineStr">
        <is>
          <t>Enhancement of Fermentation Performance in the Anaerobic Co-Digestion of Chicken Manure and Corn Straw under Biogas Slurry Reflux via Air Stripping of the Digestate</t>
        </is>
      </c>
      <c r="C517" s="3" t="inlineStr">
        <is>
          <t>2024</t>
        </is>
      </c>
      <c r="D517" s="3" t="inlineStr">
        <is>
          <t>2024</t>
        </is>
      </c>
      <c r="E517" s="3" t="inlineStr">
        <is>
          <t>10.3390/agronomy14081794</t>
        </is>
      </c>
      <c r="F517" s="3" t="inlineStr">
        <is>
          <t>期刊原始研究</t>
        </is>
      </c>
      <c r="G517" s="3" t="inlineStr">
        <is>
          <t>1 直接向 AD 反应器或内部循环系统供氧</t>
        </is>
      </c>
      <c r="H517" s="3" t="inlineStr">
        <is>
          <t>是</t>
        </is>
      </c>
      <c r="I517" s="3" t="inlineStr">
        <is>
          <t>研究类</t>
        </is>
      </c>
      <c r="J517" s="3" t="inlineStr">
        <is>
          <t>是</t>
        </is>
      </c>
      <c r="K517" s="3" t="inlineStr">
        <is>
          <t>Agronomy</t>
        </is>
      </c>
      <c r="L517" s="3" t="inlineStr">
        <is>
          <t>Agronomy</t>
        </is>
      </c>
      <c r="M517" s="3" t="inlineStr"/>
      <c r="N517" s="3" t="inlineStr">
        <is>
          <t>2073-4395</t>
        </is>
      </c>
      <c r="O517" s="3" t="inlineStr">
        <is>
          <t>已取得核验全文</t>
        </is>
      </c>
      <c r="P517" s="3" t="inlineStr">
        <is>
          <t>是</t>
        </is>
      </c>
      <c r="Q517" s="3" t="inlineStr">
        <is>
          <t>当前无补充材料原件；沿用既有缺失/无附件证据，不据此认定无附件</t>
        </is>
      </c>
      <c r="R517" s="3" t="n">
        <v>2024</v>
      </c>
      <c r="S517" s="3" t="inlineStr">
        <is>
          <t>2025发布版（2024指标年）</t>
        </is>
      </c>
      <c r="T517" s="3" t="inlineStr"/>
      <c r="U517" s="3" t="inlineStr"/>
      <c r="V517" s="3" t="inlineStr">
        <is>
          <t>待核实</t>
        </is>
      </c>
      <c r="W517" s="3" t="inlineStr">
        <is>
          <t>待核实</t>
        </is>
      </c>
      <c r="X517" s="3" t="inlineStr">
        <is>
          <t>否</t>
        </is>
      </c>
      <c r="Y517" s="3" t="inlineStr"/>
      <c r="Z517" s="3" t="inlineStr">
        <is>
          <t>https://api.crossref.org/works/10.3390/agronomy14081794</t>
        </is>
      </c>
      <c r="AA517" s="3" t="inlineStr">
        <is>
          <t>2024指标年JCR分区未核实；空白不能当非Q1。需要2025发布版/2024指标年的JCR全部学科导出。</t>
        </is>
      </c>
      <c r="AB517" s="3" t="inlineStr">
        <is>
          <t>original_files/R13935/fulltext/fulltext__published__036bc6df1562131d.pdf</t>
        </is>
      </c>
      <c r="AC517" s="3" t="inlineStr"/>
      <c r="AD517" s="3" t="inlineStr">
        <is>
          <t>https://github.com/Colliam-Vermilion/FirstCodex/blob/results/ad-oxygen-literature-20261006/results/ad-oxygen-literature-20261006/original_files/R13935/fulltext/fulltext__published__036bc6df1562131d.pdf</t>
        </is>
      </c>
    </row>
    <row r="518" ht="48" customHeight="1">
      <c r="A518" s="2" t="inlineStr">
        <is>
          <t>R13936</t>
        </is>
      </c>
      <c r="B518" s="2" t="inlineStr">
        <is>
          <t>Improvement of anaerobic digestion of landfill leachate by using coagulation‐flocculation, Fenton's oxidation and air stripping pretreatments</t>
        </is>
      </c>
      <c r="C518" s="2" t="inlineStr">
        <is>
          <t>2018</t>
        </is>
      </c>
      <c r="D518" s="2" t="inlineStr">
        <is>
          <t>2018</t>
        </is>
      </c>
      <c r="E518" s="2" t="inlineStr">
        <is>
          <t>10.1002/ep.12781</t>
        </is>
      </c>
      <c r="F518" s="2" t="inlineStr">
        <is>
          <t>期刊原始研究</t>
        </is>
      </c>
      <c r="G518" s="2" t="inlineStr">
        <is>
          <t>3 独立好氧或微好氧预处理</t>
        </is>
      </c>
      <c r="H518" s="2" t="inlineStr">
        <is>
          <t>是</t>
        </is>
      </c>
      <c r="I518" s="2" t="inlineStr">
        <is>
          <t>研究类</t>
        </is>
      </c>
      <c r="J518" s="2" t="inlineStr">
        <is>
          <t>是</t>
        </is>
      </c>
      <c r="K518" s="2" t="inlineStr">
        <is>
          <t>Environmental Progress &amp; Sustainable Energy</t>
        </is>
      </c>
      <c r="L518" s="2" t="inlineStr">
        <is>
          <t>Environmental Progress &amp;amp; Sustainable Energy</t>
        </is>
      </c>
      <c r="M518" s="2" t="inlineStr">
        <is>
          <t>1944-7442</t>
        </is>
      </c>
      <c r="N518" s="2" t="inlineStr">
        <is>
          <t>1944-7450</t>
        </is>
      </c>
      <c r="O518" s="2" t="inlineStr">
        <is>
          <t>已取得核验全文</t>
        </is>
      </c>
      <c r="P518" s="2" t="inlineStr">
        <is>
          <t>是</t>
        </is>
      </c>
      <c r="Q518" s="2" t="inlineStr">
        <is>
          <t>当前无补充材料原件；沿用既有缺失/无附件证据，不据此认定无附件</t>
        </is>
      </c>
      <c r="R518" s="2" t="n">
        <v>2024</v>
      </c>
      <c r="S518" s="2" t="inlineStr">
        <is>
          <t>2025发布版（2024指标年）</t>
        </is>
      </c>
      <c r="T518" s="2" t="inlineStr"/>
      <c r="U518" s="2" t="inlineStr"/>
      <c r="V518" s="2" t="inlineStr">
        <is>
          <t>待核实</t>
        </is>
      </c>
      <c r="W518" s="2" t="inlineStr">
        <is>
          <t>待核实</t>
        </is>
      </c>
      <c r="X518" s="2" t="inlineStr">
        <is>
          <t>否</t>
        </is>
      </c>
      <c r="Y518" s="2" t="inlineStr"/>
      <c r="Z518" s="2" t="inlineStr">
        <is>
          <t>https://api.crossref.org/works/10.1002/ep.12781</t>
        </is>
      </c>
      <c r="AA518" s="2" t="inlineStr">
        <is>
          <t>2024指标年JCR分区未核实；空白不能当非Q1。需要2025发布版/2024指标年的JCR全部学科导出。</t>
        </is>
      </c>
      <c r="AB518" s="2" t="inlineStr">
        <is>
          <t>original_files/R13936/fulltext/fulltext__published__c21af6f0f332d512.pdf</t>
        </is>
      </c>
      <c r="AC518" s="2" t="inlineStr"/>
      <c r="AD518" s="2" t="inlineStr">
        <is>
          <t>https://github.com/Colliam-Vermilion/FirstCodex/blob/results/ad-oxygen-literature-20261006/results/ad-oxygen-literature-20261006/original_files/R13936/fulltext/fulltext__published__c21af6f0f332d512.pdf</t>
        </is>
      </c>
    </row>
    <row r="519" ht="48" customHeight="1">
      <c r="A519" s="3" t="inlineStr">
        <is>
          <t>R13937</t>
        </is>
      </c>
      <c r="B519" s="3" t="inlineStr">
        <is>
          <t>Effect of circulation and micro-aeration on sludge characteristics and microbial community in an ABR for treating traditional Chinese medicine wastewater</t>
        </is>
      </c>
      <c r="C519" s="3" t="inlineStr">
        <is>
          <t>2020</t>
        </is>
      </c>
      <c r="D519" s="3" t="inlineStr">
        <is>
          <t>2020</t>
        </is>
      </c>
      <c r="E519" s="3" t="inlineStr">
        <is>
          <t>10.1080/09593330.2019.1604818</t>
        </is>
      </c>
      <c r="F519" s="3" t="inlineStr">
        <is>
          <t>期刊原始研究</t>
        </is>
      </c>
      <c r="G519" s="3" t="inlineStr">
        <is>
          <t>1 直接向 AD 反应器或内部循环系统供氧</t>
        </is>
      </c>
      <c r="H519" s="3" t="inlineStr">
        <is>
          <t>是</t>
        </is>
      </c>
      <c r="I519" s="3" t="inlineStr">
        <is>
          <t>研究类</t>
        </is>
      </c>
      <c r="J519" s="3" t="inlineStr">
        <is>
          <t>是</t>
        </is>
      </c>
      <c r="K519" s="3" t="inlineStr">
        <is>
          <t>ENVIRONMENTAL TECHNOLOGY</t>
        </is>
      </c>
      <c r="L519" s="3" t="inlineStr">
        <is>
          <t>Environmental Technology</t>
        </is>
      </c>
      <c r="M519" s="3" t="inlineStr">
        <is>
          <t>0959-3330</t>
        </is>
      </c>
      <c r="N519" s="3" t="inlineStr">
        <is>
          <t>1479-487X</t>
        </is>
      </c>
      <c r="O519" s="3" t="inlineStr">
        <is>
          <t>已取得核验全文</t>
        </is>
      </c>
      <c r="P519" s="3" t="inlineStr">
        <is>
          <t>是</t>
        </is>
      </c>
      <c r="Q519" s="3" t="inlineStr">
        <is>
          <t>已取得2件原格式补充材料；其中2件唯一关联待核实；完整性未确认</t>
        </is>
      </c>
      <c r="R519" s="3" t="n">
        <v>2024</v>
      </c>
      <c r="S519" s="3" t="inlineStr">
        <is>
          <t>2025发布版（2024指标年）</t>
        </is>
      </c>
      <c r="T519" s="3" t="inlineStr">
        <is>
          <t>ENVIRONMENTAL SCIENCES</t>
        </is>
      </c>
      <c r="U519" s="3" t="inlineStr">
        <is>
          <t>ENVIRONMENTAL SCIENCES: Q3</t>
        </is>
      </c>
      <c r="V519" s="3" t="inlineStr">
        <is>
          <t>否</t>
        </is>
      </c>
      <c r="W519" s="3" t="inlineStr">
        <is>
          <t>否</t>
        </is>
      </c>
      <c r="X519" s="3" t="inlineStr">
        <is>
          <t>是</t>
        </is>
      </c>
      <c r="Y519" s="3" t="inlineStr">
        <is>
          <t>https://topj.lib.whu.edu.cn/searchxk1.asp?ordertype=desc&amp;page=11&amp;q=&amp;xk=488</t>
        </is>
      </c>
      <c r="Z519" s="3" t="inlineStr">
        <is>
          <t>https://api.crossref.org/works/10.1080/09593330.2019.1604818</t>
        </is>
      </c>
      <c r="AA519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519" s="3" t="inlineStr">
        <is>
          <t>original_files/R13937/fulltext/fulltext__published__a96edacc186e2f85.pdf</t>
        </is>
      </c>
      <c r="AC519" s="3" t="inlineStr">
        <is>
          <t>original_files/R13937/supplementary/supplementary__34b67bd6389ff22b.doc; original_files/R13937/supplementary/supplementary__c4fe1acf1dc2b187.doc</t>
        </is>
      </c>
      <c r="AD519" s="3" t="inlineStr">
        <is>
          <t>https://github.com/Colliam-Vermilion/FirstCodex/blob/results/ad-oxygen-literature-20261006/results/ad-oxygen-literature-20261006/original_files/R13937/fulltext/fulltext__published__a96edacc186e2f85.pdf</t>
        </is>
      </c>
    </row>
    <row r="520" ht="48" customHeight="1">
      <c r="A520" s="2" t="inlineStr">
        <is>
          <t>R13938</t>
        </is>
      </c>
      <c r="B520" s="2" t="inlineStr">
        <is>
          <t>Treatment of fresh leachate by microaeration pretreatment combined with IC-AO2 process: Performance and mechanistic insight</t>
        </is>
      </c>
      <c r="C520" s="2" t="inlineStr">
        <is>
          <t>2021</t>
        </is>
      </c>
      <c r="D520" s="2" t="inlineStr">
        <is>
          <t>2021</t>
        </is>
      </c>
      <c r="E520" s="2" t="inlineStr">
        <is>
          <t>10.1016/j.scitotenv.2021.147939</t>
        </is>
      </c>
      <c r="F520" s="2" t="inlineStr">
        <is>
          <t>期刊原始研究</t>
        </is>
      </c>
      <c r="G520" s="2" t="inlineStr">
        <is>
          <t>3 独立好氧或微好氧预处理</t>
        </is>
      </c>
      <c r="H520" s="2" t="inlineStr">
        <is>
          <t>是</t>
        </is>
      </c>
      <c r="I520" s="2" t="inlineStr">
        <is>
          <t>研究类</t>
        </is>
      </c>
      <c r="J520" s="2" t="inlineStr">
        <is>
          <t>是</t>
        </is>
      </c>
      <c r="K520" s="2" t="inlineStr">
        <is>
          <t>Science of The Total Environment</t>
        </is>
      </c>
      <c r="L520" s="2" t="inlineStr">
        <is>
          <t>Science of The Total Environment</t>
        </is>
      </c>
      <c r="M520" s="2" t="inlineStr">
        <is>
          <t>0048-9697</t>
        </is>
      </c>
      <c r="N520" s="2" t="inlineStr"/>
      <c r="O520" s="2" t="inlineStr">
        <is>
          <t>已取得核验全文</t>
        </is>
      </c>
      <c r="P520" s="2" t="inlineStr">
        <is>
          <t>是</t>
        </is>
      </c>
      <c r="Q520" s="2" t="inlineStr">
        <is>
          <t>已取得1件原格式补充材料；其中0件唯一关联待核实；完整性未确认</t>
        </is>
      </c>
      <c r="R520" s="2" t="n">
        <v>2024</v>
      </c>
      <c r="S520" s="2" t="inlineStr">
        <is>
          <t>2025发布版（2024指标年）</t>
        </is>
      </c>
      <c r="T520" s="2" t="inlineStr">
        <is>
          <t>ENVIRONMENTAL SCIENCES</t>
        </is>
      </c>
      <c r="U520" s="2" t="inlineStr">
        <is>
          <t>ENVIRONMENTAL SCIENCES: Q1</t>
        </is>
      </c>
      <c r="V520" s="4" t="inlineStr">
        <is>
          <t>是</t>
        </is>
      </c>
      <c r="W520" s="4" t="inlineStr">
        <is>
          <t>是</t>
        </is>
      </c>
      <c r="X520" s="2" t="inlineStr">
        <is>
          <t>是</t>
        </is>
      </c>
      <c r="Y520" s="2" t="inlineStr">
        <is>
          <t>https://topj.lib.whu.edu.cn/show.asp?cat=zk&amp;id=4001</t>
        </is>
      </c>
      <c r="Z520" s="2" t="inlineStr">
        <is>
          <t>https://api.crossref.org/works/10.1016/j.scitotenv.2021.147939</t>
        </is>
      </c>
      <c r="AA520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20" s="2" t="inlineStr">
        <is>
          <t>original_files/R13938/fulltext/fulltext__published__0668ec7068a375a8.pdf</t>
        </is>
      </c>
      <c r="AC520" s="2" t="inlineStr">
        <is>
          <t>original_files/R13938/supplementary/supplementary__cc38153f417509ba.docx</t>
        </is>
      </c>
      <c r="AD520" s="2" t="inlineStr">
        <is>
          <t>https://github.com/Colliam-Vermilion/FirstCodex/blob/results/ad-oxygen-literature-20261006/results/ad-oxygen-literature-20261006/original_files/R13938/fulltext/fulltext__published__0668ec7068a375a8.pdf</t>
        </is>
      </c>
    </row>
    <row r="521" ht="48" customHeight="1">
      <c r="A521" s="3" t="inlineStr">
        <is>
          <t>R13939</t>
        </is>
      </c>
      <c r="B521" s="3" t="inlineStr">
        <is>
          <t>Efficient Treatment and Simultaneous Energy Recovery from Cattle Wastewater by the Micro-Aerated UASB and SBR Coupled System</t>
        </is>
      </c>
      <c r="C521" s="3" t="inlineStr">
        <is>
          <t>2023</t>
        </is>
      </c>
      <c r="D521" s="3" t="inlineStr">
        <is>
          <t>2023</t>
        </is>
      </c>
      <c r="E521" s="3" t="inlineStr">
        <is>
          <t>10.1021/acsestwater.3c00241</t>
        </is>
      </c>
      <c r="F521" s="3" t="inlineStr">
        <is>
          <t>期刊原始研究</t>
        </is>
      </c>
      <c r="G521" s="3" t="inlineStr">
        <is>
          <t>1 直接向 AD 反应器或内部循环系统供氧</t>
        </is>
      </c>
      <c r="H521" s="3" t="inlineStr">
        <is>
          <t>是</t>
        </is>
      </c>
      <c r="I521" s="3" t="inlineStr">
        <is>
          <t>研究类</t>
        </is>
      </c>
      <c r="J521" s="3" t="inlineStr">
        <is>
          <t>是</t>
        </is>
      </c>
      <c r="K521" s="3" t="inlineStr">
        <is>
          <t>ACS ES&amp;T Water</t>
        </is>
      </c>
      <c r="L521" s="3" t="inlineStr">
        <is>
          <t>ACS ES&amp;amp;T Water</t>
        </is>
      </c>
      <c r="M521" s="3" t="inlineStr">
        <is>
          <t>2690-0637</t>
        </is>
      </c>
      <c r="N521" s="3" t="inlineStr">
        <is>
          <t>2690-0637</t>
        </is>
      </c>
      <c r="O521" s="3" t="inlineStr">
        <is>
          <t>已取得核验全文</t>
        </is>
      </c>
      <c r="P521" s="3" t="inlineStr">
        <is>
          <t>是</t>
        </is>
      </c>
      <c r="Q521" s="3" t="inlineStr">
        <is>
          <t>已取得1件原格式补充材料；其中1件唯一关联待核实；完整性未确认</t>
        </is>
      </c>
      <c r="R521" s="3" t="n">
        <v>2024</v>
      </c>
      <c r="S521" s="3" t="inlineStr">
        <is>
          <t>2025发布版（2024指标年）</t>
        </is>
      </c>
      <c r="T521" s="3" t="inlineStr"/>
      <c r="U521" s="3" t="inlineStr"/>
      <c r="V521" s="3" t="inlineStr">
        <is>
          <t>待核实</t>
        </is>
      </c>
      <c r="W521" s="3" t="inlineStr">
        <is>
          <t>待核实</t>
        </is>
      </c>
      <c r="X521" s="3" t="inlineStr">
        <is>
          <t>否</t>
        </is>
      </c>
      <c r="Y521" s="3" t="inlineStr"/>
      <c r="Z521" s="3" t="inlineStr">
        <is>
          <t>https://api.crossref.org/works/10.1021/acsestwater.3c00241</t>
        </is>
      </c>
      <c r="AA521" s="3" t="inlineStr">
        <is>
          <t>2024指标年JCR分区未核实；空白不能当非Q1。需要2025发布版/2024指标年的JCR全部学科导出。</t>
        </is>
      </c>
      <c r="AB521" s="3" t="inlineStr">
        <is>
          <t>original_files/R13939/fulltext/fulltext__published__2f52215fbeb2f906.pdf</t>
        </is>
      </c>
      <c r="AC521" s="3" t="inlineStr">
        <is>
          <t>original_files/R13939/supplementary/supplementary__66e9851e6c1740f0.pdf</t>
        </is>
      </c>
      <c r="AD521" s="3" t="inlineStr">
        <is>
          <t>https://github.com/Colliam-Vermilion/FirstCodex/blob/results/ad-oxygen-literature-20261006/results/ad-oxygen-literature-20261006/original_files/R13939/fulltext/fulltext__published__2f52215fbeb2f906.pdf</t>
        </is>
      </c>
    </row>
    <row r="522" ht="48" customHeight="1">
      <c r="A522" s="2" t="inlineStr">
        <is>
          <t>R13940</t>
        </is>
      </c>
      <c r="B522" s="2" t="inlineStr">
        <is>
          <t>Impact of Microaeration and the Redox Mediator Anthraquinone‐2,6‐Disulfonate on Azo Dye Reduction and By‐Products Degradation</t>
        </is>
      </c>
      <c r="C522" s="2" t="inlineStr">
        <is>
          <t>2018</t>
        </is>
      </c>
      <c r="D522" s="2" t="inlineStr">
        <is>
          <t>2018</t>
        </is>
      </c>
      <c r="E522" s="2" t="inlineStr">
        <is>
          <t>10.1002/clen.201700518</t>
        </is>
      </c>
      <c r="F522" s="2" t="inlineStr">
        <is>
          <t>期刊原始研究</t>
        </is>
      </c>
      <c r="G522" s="2" t="inlineStr">
        <is>
          <t>1 直接向 AD 反应器或内部循环系统供氧</t>
        </is>
      </c>
      <c r="H522" s="2" t="inlineStr">
        <is>
          <t>是</t>
        </is>
      </c>
      <c r="I522" s="2" t="inlineStr">
        <is>
          <t>研究类</t>
        </is>
      </c>
      <c r="J522" s="2" t="inlineStr">
        <is>
          <t>是</t>
        </is>
      </c>
      <c r="K522" s="2" t="inlineStr">
        <is>
          <t>CLEAN – Soil, Air, Water</t>
        </is>
      </c>
      <c r="L522" s="2" t="inlineStr">
        <is>
          <t>CLEAN – Soil, Air, Water</t>
        </is>
      </c>
      <c r="M522" s="2" t="inlineStr">
        <is>
          <t>1863-0650</t>
        </is>
      </c>
      <c r="N522" s="2" t="inlineStr">
        <is>
          <t>1863-0669</t>
        </is>
      </c>
      <c r="O522" s="2" t="inlineStr">
        <is>
          <t>已取得核验全文</t>
        </is>
      </c>
      <c r="P522" s="2" t="inlineStr">
        <is>
          <t>是</t>
        </is>
      </c>
      <c r="Q522" s="2" t="inlineStr">
        <is>
          <t>当前无补充材料原件；沿用既有缺失/无附件证据，不据此认定无附件</t>
        </is>
      </c>
      <c r="R522" s="2" t="n">
        <v>2024</v>
      </c>
      <c r="S522" s="2" t="inlineStr">
        <is>
          <t>2025发布版（2024指标年）</t>
        </is>
      </c>
      <c r="T522" s="2" t="inlineStr"/>
      <c r="U522" s="2" t="inlineStr"/>
      <c r="V522" s="2" t="inlineStr">
        <is>
          <t>待核实</t>
        </is>
      </c>
      <c r="W522" s="2" t="inlineStr">
        <is>
          <t>待核实</t>
        </is>
      </c>
      <c r="X522" s="2" t="inlineStr">
        <is>
          <t>否</t>
        </is>
      </c>
      <c r="Y522" s="2" t="inlineStr"/>
      <c r="Z522" s="2" t="inlineStr">
        <is>
          <t>https://api.crossref.org/works/10.1002/clen.201700518</t>
        </is>
      </c>
      <c r="AA522" s="2" t="inlineStr">
        <is>
          <t>2024指标年JCR分区未核实；空白不能当非Q1。需要2025发布版/2024指标年的JCR全部学科导出。</t>
        </is>
      </c>
      <c r="AB522" s="2" t="inlineStr">
        <is>
          <t>original_files/R13940/fulltext/fulltext__published__ca43ea0057db6aba.pdf</t>
        </is>
      </c>
      <c r="AC522" s="2" t="inlineStr"/>
      <c r="AD522" s="2" t="inlineStr">
        <is>
          <t>https://github.com/Colliam-Vermilion/FirstCodex/blob/results/ad-oxygen-literature-20261006/results/ad-oxygen-literature-20261006/original_files/R13940/fulltext/fulltext__published__ca43ea0057db6aba.pdf</t>
        </is>
      </c>
    </row>
    <row r="523" ht="48" customHeight="1">
      <c r="A523" s="3" t="inlineStr">
        <is>
          <t>R13941</t>
        </is>
      </c>
      <c r="B523" s="3" t="inlineStr">
        <is>
          <t>Impact of micro-aerobic conditions in UASB Reactor using media to improve the removal efficiency of organics and nutrients from wastewater</t>
        </is>
      </c>
      <c r="C523" s="3" t="inlineStr">
        <is>
          <t>2026</t>
        </is>
      </c>
      <c r="D523" s="3" t="inlineStr">
        <is>
          <t>2026</t>
        </is>
      </c>
      <c r="E523" s="3" t="inlineStr">
        <is>
          <t>10.1080/09593330.2025.2609982</t>
        </is>
      </c>
      <c r="F523" s="3" t="inlineStr">
        <is>
          <t>期刊原始研究</t>
        </is>
      </c>
      <c r="G523" s="3" t="inlineStr">
        <is>
          <t>1 直接向 AD 反应器或内部循环系统供氧</t>
        </is>
      </c>
      <c r="H523" s="3" t="inlineStr">
        <is>
          <t>是</t>
        </is>
      </c>
      <c r="I523" s="3" t="inlineStr">
        <is>
          <t>研究类</t>
        </is>
      </c>
      <c r="J523" s="3" t="inlineStr">
        <is>
          <t>是</t>
        </is>
      </c>
      <c r="K523" s="3" t="inlineStr">
        <is>
          <t>ENVIRONMENTAL TECHNOLOGY</t>
        </is>
      </c>
      <c r="L523" s="3" t="inlineStr">
        <is>
          <t>Environmental Technology</t>
        </is>
      </c>
      <c r="M523" s="3" t="inlineStr">
        <is>
          <t>0959-3330</t>
        </is>
      </c>
      <c r="N523" s="3" t="inlineStr">
        <is>
          <t>1479-487X</t>
        </is>
      </c>
      <c r="O523" s="3" t="inlineStr">
        <is>
          <t>已取得核验全文</t>
        </is>
      </c>
      <c r="P523" s="3" t="inlineStr">
        <is>
          <t>是</t>
        </is>
      </c>
      <c r="Q523" s="3" t="inlineStr">
        <is>
          <t>已取得1件原格式补充材料；其中1件唯一关联待核实；完整性未确认</t>
        </is>
      </c>
      <c r="R523" s="3" t="n">
        <v>2024</v>
      </c>
      <c r="S523" s="3" t="inlineStr">
        <is>
          <t>2025发布版（2024指标年）</t>
        </is>
      </c>
      <c r="T523" s="3" t="inlineStr">
        <is>
          <t>ENVIRONMENTAL SCIENCES</t>
        </is>
      </c>
      <c r="U523" s="3" t="inlineStr">
        <is>
          <t>ENVIRONMENTAL SCIENCES: Q3</t>
        </is>
      </c>
      <c r="V523" s="3" t="inlineStr">
        <is>
          <t>否</t>
        </is>
      </c>
      <c r="W523" s="3" t="inlineStr">
        <is>
          <t>否</t>
        </is>
      </c>
      <c r="X523" s="3" t="inlineStr">
        <is>
          <t>是</t>
        </is>
      </c>
      <c r="Y523" s="3" t="inlineStr">
        <is>
          <t>https://topj.lib.whu.edu.cn/searchxk1.asp?ordertype=desc&amp;page=11&amp;q=&amp;xk=488</t>
        </is>
      </c>
      <c r="Z523" s="3" t="inlineStr">
        <is>
          <t>https://api.crossref.org/works/10.1080/09593330.2025.2609982</t>
        </is>
      </c>
      <c r="AA523" s="3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523" s="3" t="inlineStr">
        <is>
          <t>original_files/R13941/fulltext/fulltext__published__a120d41a77f431d7.pdf</t>
        </is>
      </c>
      <c r="AC523" s="3" t="inlineStr">
        <is>
          <t>original_files/R13941/supplementary/supplementary__444972b35253f037.docx</t>
        </is>
      </c>
      <c r="AD523" s="3" t="inlineStr">
        <is>
          <t>https://github.com/Colliam-Vermilion/FirstCodex/blob/results/ad-oxygen-literature-20261006/results/ad-oxygen-literature-20261006/original_files/R13941/fulltext/fulltext__published__a120d41a77f431d7.pdf</t>
        </is>
      </c>
    </row>
    <row r="524" ht="48" customHeight="1">
      <c r="A524" s="2" t="inlineStr">
        <is>
          <t>R13942</t>
        </is>
      </c>
      <c r="B524" s="2" t="inlineStr">
        <is>
          <t>Microaerated UASB reactor treating textile wastewater: The core microbiome and removal of azo dye Direct Black 22</t>
        </is>
      </c>
      <c r="C524" s="2" t="inlineStr">
        <is>
          <t>2020</t>
        </is>
      </c>
      <c r="D524" s="2" t="inlineStr">
        <is>
          <t>2020</t>
        </is>
      </c>
      <c r="E524" s="2" t="inlineStr">
        <is>
          <t>10.1016/j.chemosphere.2019.125157</t>
        </is>
      </c>
      <c r="F524" s="2" t="inlineStr">
        <is>
          <t>期刊原始研究</t>
        </is>
      </c>
      <c r="G524" s="2" t="inlineStr">
        <is>
          <t>1 直接向 AD 反应器或内部循环系统供氧</t>
        </is>
      </c>
      <c r="H524" s="2" t="inlineStr">
        <is>
          <t>是</t>
        </is>
      </c>
      <c r="I524" s="2" t="inlineStr">
        <is>
          <t>研究类</t>
        </is>
      </c>
      <c r="J524" s="2" t="inlineStr">
        <is>
          <t>是</t>
        </is>
      </c>
      <c r="K524" s="2" t="inlineStr">
        <is>
          <t>Chemosphere</t>
        </is>
      </c>
      <c r="L524" s="2" t="inlineStr">
        <is>
          <t>Chemosphere</t>
        </is>
      </c>
      <c r="M524" s="2" t="inlineStr">
        <is>
          <t>0045-6535</t>
        </is>
      </c>
      <c r="N524" s="2" t="inlineStr"/>
      <c r="O524" s="2" t="inlineStr">
        <is>
          <t>已取得核验全文</t>
        </is>
      </c>
      <c r="P524" s="2" t="inlineStr">
        <is>
          <t>是</t>
        </is>
      </c>
      <c r="Q524" s="2" t="inlineStr">
        <is>
          <t>当前无补充材料原件；沿用既有缺失/无附件证据，不据此认定无附件</t>
        </is>
      </c>
      <c r="R524" s="2" t="n">
        <v>2024</v>
      </c>
      <c r="S524" s="2" t="inlineStr">
        <is>
          <t>2025发布版（2024指标年）</t>
        </is>
      </c>
      <c r="T524" s="2" t="inlineStr"/>
      <c r="U524" s="2" t="inlineStr"/>
      <c r="V524" s="2" t="inlineStr">
        <is>
          <t>待核实</t>
        </is>
      </c>
      <c r="W524" s="2" t="inlineStr">
        <is>
          <t>待核实</t>
        </is>
      </c>
      <c r="X524" s="2" t="inlineStr">
        <is>
          <t>否</t>
        </is>
      </c>
      <c r="Y524" s="2" t="inlineStr"/>
      <c r="Z524" s="2" t="inlineStr">
        <is>
          <t>https://api.crossref.org/works/10.1016/j.chemosphere.2019.125157</t>
        </is>
      </c>
      <c r="AA524" s="2" t="inlineStr">
        <is>
          <t>2024指标年JCR分区未核实；空白不能当非Q1。需要2025发布版/2024指标年的JCR全部学科导出。</t>
        </is>
      </c>
      <c r="AB524" s="2" t="inlineStr">
        <is>
          <t>original_files/R13942/fulltext/fulltext__published__c575b15a8ecfb829.pdf</t>
        </is>
      </c>
      <c r="AC524" s="2" t="inlineStr"/>
      <c r="AD524" s="2" t="inlineStr">
        <is>
          <t>https://github.com/Colliam-Vermilion/FirstCodex/blob/results/ad-oxygen-literature-20261006/results/ad-oxygen-literature-20261006/original_files/R13942/fulltext/fulltext__published__c575b15a8ecfb829.pdf</t>
        </is>
      </c>
    </row>
    <row r="525" ht="48" customHeight="1">
      <c r="A525" s="3" t="inlineStr">
        <is>
          <t>R13943</t>
        </is>
      </c>
      <c r="B525" s="3" t="inlineStr">
        <is>
          <t>Aerobic biological pretreatment of municipal solid waste with a high content of putrescibles: effect on landfill emissions</t>
        </is>
      </c>
      <c r="C525" s="3" t="inlineStr">
        <is>
          <t>2013</t>
        </is>
      </c>
      <c r="D525" s="3" t="inlineStr">
        <is>
          <t>2013</t>
        </is>
      </c>
      <c r="E525" s="3" t="inlineStr">
        <is>
          <t>10.1177/0734242x13493959</t>
        </is>
      </c>
      <c r="F525" s="3" t="inlineStr">
        <is>
          <t>期刊原始研究</t>
        </is>
      </c>
      <c r="G525" s="3" t="inlineStr">
        <is>
          <t>3 独立好氧或微好氧预处理</t>
        </is>
      </c>
      <c r="H525" s="3" t="inlineStr">
        <is>
          <t>是</t>
        </is>
      </c>
      <c r="I525" s="3" t="inlineStr">
        <is>
          <t>研究类</t>
        </is>
      </c>
      <c r="J525" s="3" t="inlineStr">
        <is>
          <t>是</t>
        </is>
      </c>
      <c r="K525" s="3" t="inlineStr">
        <is>
          <t>WASTE MANAGEMENT &amp; RESEARCH</t>
        </is>
      </c>
      <c r="L525" s="3" t="inlineStr">
        <is>
          <t>Waste Management &amp;amp; Research: The Journal for a Sustainable Circular Economy</t>
        </is>
      </c>
      <c r="M525" s="3" t="inlineStr">
        <is>
          <t>0734-242X</t>
        </is>
      </c>
      <c r="N525" s="3" t="inlineStr">
        <is>
          <t>1096-3669</t>
        </is>
      </c>
      <c r="O525" s="3" t="inlineStr">
        <is>
          <t>已取得核验全文</t>
        </is>
      </c>
      <c r="P525" s="3" t="inlineStr">
        <is>
          <t>是</t>
        </is>
      </c>
      <c r="Q525" s="3" t="inlineStr">
        <is>
          <t>当前无补充材料原件；沿用既有缺失/无附件证据，不据此认定无附件</t>
        </is>
      </c>
      <c r="R525" s="3" t="n">
        <v>2024</v>
      </c>
      <c r="S525" s="3" t="inlineStr">
        <is>
          <t>2025发布版（2024指标年）</t>
        </is>
      </c>
      <c r="T525" s="3" t="inlineStr">
        <is>
          <t>ENGINEERING, ENVIRONMENTAL; ENVIRONMENTAL SCIENCES</t>
        </is>
      </c>
      <c r="U525" s="3" t="inlineStr">
        <is>
          <t>ENGINEERING, ENVIRONMENTAL: Q2; ENVIRONMENTAL SCIENCES: Q2</t>
        </is>
      </c>
      <c r="V525" s="3" t="inlineStr">
        <is>
          <t>否</t>
        </is>
      </c>
      <c r="W525" s="3" t="inlineStr">
        <is>
          <t>否</t>
        </is>
      </c>
      <c r="X525" s="3" t="inlineStr">
        <is>
          <t>是</t>
        </is>
      </c>
      <c r="Y525" s="3" t="inlineStr">
        <is>
          <t>https://topj.lib.whu.edu.cn/show.asp?cat=zk&amp;id=4229</t>
        </is>
      </c>
      <c r="Z525" s="3" t="inlineStr">
        <is>
          <t>https://api.crossref.org/works/10.1177/0734242x13493959</t>
        </is>
      </c>
      <c r="AA52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25" s="3" t="inlineStr">
        <is>
          <t>original_files/R13943/fulltext/fulltext__published__22a5c16f1546a545.pdf</t>
        </is>
      </c>
      <c r="AC525" s="3" t="inlineStr"/>
      <c r="AD525" s="3" t="inlineStr">
        <is>
          <t>https://github.com/Colliam-Vermilion/FirstCodex/blob/results/ad-oxygen-literature-20261006/results/ad-oxygen-literature-20261006/original_files/R13943/fulltext/fulltext__published__22a5c16f1546a545.pdf</t>
        </is>
      </c>
    </row>
    <row r="526" ht="48" customHeight="1">
      <c r="A526" s="2" t="inlineStr">
        <is>
          <t>R13944</t>
        </is>
      </c>
      <c r="B526" s="2" t="inlineStr">
        <is>
          <t>Oxidation-Reduction Potential-Based Micro-Aeration Control System for Anaerobic Digestion.</t>
        </is>
      </c>
      <c r="C526" s="2" t="inlineStr"/>
      <c r="D526" s="2" t="inlineStr"/>
      <c r="E526" s="2" t="inlineStr"/>
      <c r="F526" s="2" t="inlineStr">
        <is>
          <t>学位论文（目录/摘要依据；详细授予信息待核验）</t>
        </is>
      </c>
      <c r="G526" s="2" t="inlineStr">
        <is>
          <t>1 直接向 AD 反应器或内部循环系统供氧</t>
        </is>
      </c>
      <c r="H526" s="2" t="inlineStr">
        <is>
          <t>是</t>
        </is>
      </c>
      <c r="I526" s="2" t="inlineStr">
        <is>
          <t>学位/学生报告</t>
        </is>
      </c>
      <c r="J526" s="2" t="inlineStr">
        <is>
          <t>否</t>
        </is>
      </c>
      <c r="K526" s="2" t="inlineStr"/>
      <c r="L526" s="2" t="inlineStr"/>
      <c r="M526" s="2" t="inlineStr"/>
      <c r="N526" s="2" t="inlineStr"/>
      <c r="O526" s="2" t="inlineStr">
        <is>
          <t>已取得核验全文</t>
        </is>
      </c>
      <c r="P526" s="2" t="inlineStr">
        <is>
          <t>是</t>
        </is>
      </c>
      <c r="Q526" s="2" t="inlineStr">
        <is>
          <t>当前无补充材料原件；沿用既有缺失/无附件证据，不据此认定无附件</t>
        </is>
      </c>
      <c r="R526" s="2" t="inlineStr"/>
      <c r="S526" s="2" t="inlineStr"/>
      <c r="T526" s="2" t="inlineStr"/>
      <c r="U526" s="2" t="inlineStr"/>
      <c r="V526" s="2" t="inlineStr">
        <is>
          <t>不适用</t>
        </is>
      </c>
      <c r="W526" s="2" t="inlineStr">
        <is>
          <t>不适用</t>
        </is>
      </c>
      <c r="X526" s="2" t="inlineStr">
        <is>
          <t>不适用</t>
        </is>
      </c>
      <c r="Y526" s="2" t="inlineStr"/>
      <c r="Z526" s="2" t="inlineStr"/>
      <c r="AA526" s="2" t="inlineStr">
        <is>
          <t>非目标期刊论文或类型待核实，不进入JCR分母</t>
        </is>
      </c>
      <c r="AB526" s="2" t="inlineStr">
        <is>
          <t>original_files/R13944/fulltext/fulltext__thesis__7e22fbfd39ddfed0.pdf</t>
        </is>
      </c>
      <c r="AC526" s="2" t="inlineStr"/>
      <c r="AD526" s="2" t="inlineStr">
        <is>
          <t>https://github.com/Colliam-Vermilion/FirstCodex/blob/results/ad-oxygen-literature-20261006/results/ad-oxygen-literature-20261006/original_files/R13944/fulltext/fulltext__thesis__7e22fbfd39ddfed0.pdf</t>
        </is>
      </c>
    </row>
    <row r="527" ht="48" customHeight="1">
      <c r="A527" s="3" t="inlineStr">
        <is>
          <t>R13945</t>
        </is>
      </c>
      <c r="B527" s="3" t="inlineStr">
        <is>
          <t>Effect of Low Aeration and Heat Drying on Anaerobic Digester Performance and Microbial Community</t>
        </is>
      </c>
      <c r="C527" s="3" t="inlineStr"/>
      <c r="D527" s="3" t="inlineStr"/>
      <c r="E527" s="3" t="inlineStr"/>
      <c r="F527" s="3" t="inlineStr">
        <is>
          <t>学位论文（目录/摘要依据；详细授予信息待核验）</t>
        </is>
      </c>
      <c r="G527" s="3" t="inlineStr">
        <is>
          <t>1 直接向 AD 反应器或内部循环系统供氧</t>
        </is>
      </c>
      <c r="H527" s="3" t="inlineStr">
        <is>
          <t>是</t>
        </is>
      </c>
      <c r="I527" s="3" t="inlineStr">
        <is>
          <t>学位/学生报告</t>
        </is>
      </c>
      <c r="J527" s="3" t="inlineStr">
        <is>
          <t>否</t>
        </is>
      </c>
      <c r="K527" s="3" t="inlineStr"/>
      <c r="L527" s="3" t="inlineStr"/>
      <c r="M527" s="3" t="inlineStr"/>
      <c r="N527" s="3" t="inlineStr"/>
      <c r="O527" s="3" t="inlineStr">
        <is>
          <t>已取得核验全文</t>
        </is>
      </c>
      <c r="P527" s="3" t="inlineStr">
        <is>
          <t>是</t>
        </is>
      </c>
      <c r="Q527" s="3" t="inlineStr">
        <is>
          <t>当前无补充材料原件；沿用既有缺失/无附件证据，不据此认定无附件</t>
        </is>
      </c>
      <c r="R527" s="3" t="inlineStr"/>
      <c r="S527" s="3" t="inlineStr"/>
      <c r="T527" s="3" t="inlineStr"/>
      <c r="U527" s="3" t="inlineStr"/>
      <c r="V527" s="3" t="inlineStr">
        <is>
          <t>不适用</t>
        </is>
      </c>
      <c r="W527" s="3" t="inlineStr">
        <is>
          <t>不适用</t>
        </is>
      </c>
      <c r="X527" s="3" t="inlineStr">
        <is>
          <t>不适用</t>
        </is>
      </c>
      <c r="Y527" s="3" t="inlineStr"/>
      <c r="Z527" s="3" t="inlineStr"/>
      <c r="AA527" s="3" t="inlineStr">
        <is>
          <t>非目标期刊论文或类型待核实，不进入JCR分母</t>
        </is>
      </c>
      <c r="AB527" s="3" t="inlineStr">
        <is>
          <t>original_files/R13945/fulltext/fulltext__thesis__67309ea094d2f9bb.pdf</t>
        </is>
      </c>
      <c r="AC527" s="3" t="inlineStr"/>
      <c r="AD527" s="3" t="inlineStr">
        <is>
          <t>https://github.com/Colliam-Vermilion/FirstCodex/blob/results/ad-oxygen-literature-20261006/results/ad-oxygen-literature-20261006/original_files/R13945/fulltext/fulltext__thesis__67309ea094d2f9bb.pdf</t>
        </is>
      </c>
    </row>
    <row r="528" ht="48" customHeight="1">
      <c r="A528" s="2" t="inlineStr">
        <is>
          <t>R13946</t>
        </is>
      </c>
      <c r="B528" s="2" t="inlineStr">
        <is>
          <t>Review of the Effects of Microaeration on Methanogens in the Anaerobic Digestion Systems</t>
        </is>
      </c>
      <c r="C528" s="2" t="inlineStr">
        <is>
          <t>2023</t>
        </is>
      </c>
      <c r="D528" s="2" t="inlineStr">
        <is>
          <t>2023</t>
        </is>
      </c>
      <c r="E528" s="2" t="inlineStr">
        <is>
          <t>10.1007/978-3-031-28193-8_5</t>
        </is>
      </c>
      <c r="F528" s="2" t="inlineStr">
        <is>
          <t>综述章节（非期刊）</t>
        </is>
      </c>
      <c r="G528" s="2" t="inlineStr">
        <is>
          <t>4 综述</t>
        </is>
      </c>
      <c r="H528" s="2" t="inlineStr">
        <is>
          <t>是</t>
        </is>
      </c>
      <c r="I528" s="2" t="inlineStr">
        <is>
          <t>会议/非期刊</t>
        </is>
      </c>
      <c r="J528" s="2" t="inlineStr">
        <is>
          <t>否</t>
        </is>
      </c>
      <c r="K528" s="2" t="inlineStr">
        <is>
          <t>Environmental Science and Engineering</t>
        </is>
      </c>
      <c r="L528" s="2" t="inlineStr">
        <is>
          <t>Environmental Science and Engineering</t>
        </is>
      </c>
      <c r="M528" s="2" t="inlineStr">
        <is>
          <t>1863-5520</t>
        </is>
      </c>
      <c r="N528" s="2" t="inlineStr">
        <is>
          <t>1863-5539</t>
        </is>
      </c>
      <c r="O528" s="2" t="inlineStr">
        <is>
          <t>已取得核验全文</t>
        </is>
      </c>
      <c r="P528" s="2" t="inlineStr">
        <is>
          <t>是</t>
        </is>
      </c>
      <c r="Q528" s="2" t="inlineStr">
        <is>
          <t>当前无补充材料原件；沿用既有缺失/无附件证据，不据此认定无附件</t>
        </is>
      </c>
      <c r="R528" s="2" t="inlineStr"/>
      <c r="S528" s="2" t="inlineStr"/>
      <c r="T528" s="2" t="inlineStr"/>
      <c r="U528" s="2" t="inlineStr"/>
      <c r="V528" s="2" t="inlineStr">
        <is>
          <t>不适用</t>
        </is>
      </c>
      <c r="W528" s="2" t="inlineStr">
        <is>
          <t>不适用</t>
        </is>
      </c>
      <c r="X528" s="2" t="inlineStr">
        <is>
          <t>不适用</t>
        </is>
      </c>
      <c r="Y528" s="2" t="inlineStr"/>
      <c r="Z528" s="2" t="inlineStr">
        <is>
          <t>https://api.crossref.org/works/10.1007/978-3-031-28193-8_5</t>
        </is>
      </c>
      <c r="AA528" s="2" t="inlineStr">
        <is>
          <t>非目标期刊论文或类型待核实，不进入JCR分母</t>
        </is>
      </c>
      <c r="AB528" s="2" t="inlineStr">
        <is>
          <t>original_files/R13946/fulltext/fulltext__book_chapter__243ae302f0c89f50.pdf</t>
        </is>
      </c>
      <c r="AC528" s="2" t="inlineStr"/>
      <c r="AD528" s="2" t="inlineStr">
        <is>
          <t>https://github.com/Colliam-Vermilion/FirstCodex/blob/results/ad-oxygen-literature-20261006/results/ad-oxygen-literature-20261006/original_files/R13946/fulltext/fulltext__book_chapter__243ae302f0c89f50.pdf</t>
        </is>
      </c>
    </row>
    <row r="529" ht="48" customHeight="1">
      <c r="A529" s="3" t="inlineStr">
        <is>
          <t>R13947</t>
        </is>
      </c>
      <c r="B529" s="3" t="inlineStr">
        <is>
          <t>Microaerobic removal of hydrogen sulphide from biogas</t>
        </is>
      </c>
      <c r="C529" s="3" t="inlineStr"/>
      <c r="D529" s="3" t="inlineStr"/>
      <c r="E529" s="3" t="inlineStr">
        <is>
          <t>10.35376/10324/4850</t>
        </is>
      </c>
      <c r="F529" s="3" t="inlineStr">
        <is>
          <t>学位论文（目录/摘要依据；详细授予信息待核验）</t>
        </is>
      </c>
      <c r="G529" s="3" t="inlineStr">
        <is>
          <t>1 直接向 AD 反应器或内部循环系统供氧</t>
        </is>
      </c>
      <c r="H529" s="3" t="inlineStr">
        <is>
          <t>是</t>
        </is>
      </c>
      <c r="I529" s="3" t="inlineStr">
        <is>
          <t>学位/学生报告</t>
        </is>
      </c>
      <c r="J529" s="3" t="inlineStr">
        <is>
          <t>否</t>
        </is>
      </c>
      <c r="K529" s="3" t="inlineStr"/>
      <c r="L529" s="3" t="inlineStr"/>
      <c r="M529" s="3" t="inlineStr"/>
      <c r="N529" s="3" t="inlineStr"/>
      <c r="O529" s="3" t="inlineStr">
        <is>
          <t>未取得全文（上传件身份错配/相关版本，目标正文缺失）</t>
        </is>
      </c>
      <c r="P529" s="3" t="inlineStr">
        <is>
          <t>否</t>
        </is>
      </c>
      <c r="Q529" s="3" t="inlineStr">
        <is>
          <t>当前无补充材料原件；沿用既有缺失/无附件证据，不据此认定无附件</t>
        </is>
      </c>
      <c r="R529" s="3" t="inlineStr"/>
      <c r="S529" s="3" t="inlineStr"/>
      <c r="T529" s="3" t="inlineStr"/>
      <c r="U529" s="3" t="inlineStr"/>
      <c r="V529" s="3" t="inlineStr">
        <is>
          <t>不适用</t>
        </is>
      </c>
      <c r="W529" s="3" t="inlineStr">
        <is>
          <t>不适用</t>
        </is>
      </c>
      <c r="X529" s="3" t="inlineStr">
        <is>
          <t>不适用</t>
        </is>
      </c>
      <c r="Y529" s="3" t="inlineStr"/>
      <c r="Z529" s="3" t="inlineStr">
        <is>
          <t>https://api.crossref.org/works/10.35376/10324/4850</t>
        </is>
      </c>
      <c r="AA529" s="3" t="inlineStr">
        <is>
          <t>非目标期刊论文或类型待核实，不进入JCR分母 | 上传3页University of Maryland Extension推广资料草稿，不是Iris Ramos Castaño目标学位论文</t>
        </is>
      </c>
      <c r="AB529" s="3" t="inlineStr"/>
      <c r="AC529" s="3" t="inlineStr"/>
      <c r="AD529" s="3" t="inlineStr"/>
    </row>
    <row r="530" ht="48" customHeight="1">
      <c r="A530" s="2" t="inlineStr">
        <is>
          <t>R13948</t>
        </is>
      </c>
      <c r="B530" s="2" t="inlineStr">
        <is>
          <t>Anaerobic treatment of post-hydrothermal liquefaction wastewater from Spirulina associated with microaeration and photocatalysis</t>
        </is>
      </c>
      <c r="C530" s="2" t="inlineStr"/>
      <c r="D530" s="2" t="inlineStr"/>
      <c r="E530" s="2" t="inlineStr">
        <is>
          <t>10.11606/t.74.2021.tde-16082022-143011</t>
        </is>
      </c>
      <c r="F530" s="2" t="inlineStr">
        <is>
          <t>学位论文（目录/摘要依据；详细授予信息待核验）</t>
        </is>
      </c>
      <c r="G530" s="2" t="inlineStr">
        <is>
          <t>1 直接向 AD 反应器或内部循环系统供氧</t>
        </is>
      </c>
      <c r="H530" s="2" t="inlineStr">
        <is>
          <t>是</t>
        </is>
      </c>
      <c r="I530" s="2" t="inlineStr">
        <is>
          <t>学位/学生报告</t>
        </is>
      </c>
      <c r="J530" s="2" t="inlineStr">
        <is>
          <t>否</t>
        </is>
      </c>
      <c r="K530" s="2" t="inlineStr"/>
      <c r="L530" s="2" t="inlineStr"/>
      <c r="M530" s="2" t="inlineStr"/>
      <c r="N530" s="2" t="inlineStr"/>
      <c r="O530" s="2" t="inlineStr">
        <is>
          <t>已取得核验全文</t>
        </is>
      </c>
      <c r="P530" s="2" t="inlineStr">
        <is>
          <t>是</t>
        </is>
      </c>
      <c r="Q530" s="2" t="inlineStr">
        <is>
          <t>当前无补充材料原件；沿用既有缺失/无附件证据，不据此认定无附件</t>
        </is>
      </c>
      <c r="R530" s="2" t="inlineStr"/>
      <c r="S530" s="2" t="inlineStr"/>
      <c r="T530" s="2" t="inlineStr"/>
      <c r="U530" s="2" t="inlineStr"/>
      <c r="V530" s="2" t="inlineStr">
        <is>
          <t>不适用</t>
        </is>
      </c>
      <c r="W530" s="2" t="inlineStr">
        <is>
          <t>不适用</t>
        </is>
      </c>
      <c r="X530" s="2" t="inlineStr">
        <is>
          <t>不适用</t>
        </is>
      </c>
      <c r="Y530" s="2" t="inlineStr"/>
      <c r="Z530" s="2" t="inlineStr">
        <is>
          <t>https://api.crossref.org/works/10.11606/t.74.2021.tde-16082022-143011</t>
        </is>
      </c>
      <c r="AA530" s="2" t="inlineStr">
        <is>
          <t>非目标期刊论文或类型待核实，不进入JCR分母</t>
        </is>
      </c>
      <c r="AB530" s="2" t="inlineStr">
        <is>
          <t>original_files/R13948/fulltext/fulltext__thesis__8ae093e70cce8a05.pdf</t>
        </is>
      </c>
      <c r="AC530" s="2" t="inlineStr"/>
      <c r="AD530" s="2" t="inlineStr">
        <is>
          <t>https://github.com/Colliam-Vermilion/FirstCodex/blob/results/ad-oxygen-literature-20261006/results/ad-oxygen-literature-20261006/original_files/R13948/fulltext/fulltext__thesis__8ae093e70cce8a05.pdf</t>
        </is>
      </c>
    </row>
    <row r="531" ht="48" customHeight="1">
      <c r="A531" s="3" t="inlineStr">
        <is>
          <t>R13949</t>
        </is>
      </c>
      <c r="B531" s="3" t="inlineStr">
        <is>
          <t>Aerobic Pre-treatment for Performance Enhancement of Batch Anaerobic Digestion of Napier Grass</t>
        </is>
      </c>
      <c r="C531" s="3" t="inlineStr">
        <is>
          <t>2013</t>
        </is>
      </c>
      <c r="D531" s="3" t="inlineStr">
        <is>
          <t>2013</t>
        </is>
      </c>
      <c r="E531" s="3" t="inlineStr">
        <is>
          <t>10.5071/21steubce2013-2dv.4.23</t>
        </is>
      </c>
      <c r="F531" s="3" t="inlineStr">
        <is>
          <t>会议论文/会议资料（单列）</t>
        </is>
      </c>
      <c r="G531" s="3" t="inlineStr">
        <is>
          <t>3 独立好氧或微好氧预处理</t>
        </is>
      </c>
      <c r="H531" s="3" t="inlineStr">
        <is>
          <t>是</t>
        </is>
      </c>
      <c r="I531" s="3" t="inlineStr">
        <is>
          <t>会议/非期刊</t>
        </is>
      </c>
      <c r="J531" s="3" t="inlineStr">
        <is>
          <t>否</t>
        </is>
      </c>
      <c r="K531" s="3" t="inlineStr">
        <is>
          <t>ETA Florence</t>
        </is>
      </c>
      <c r="L531" s="3" t="inlineStr">
        <is>
          <t>ETA Florence</t>
        </is>
      </c>
      <c r="M531" s="3" t="inlineStr"/>
      <c r="N531" s="3" t="inlineStr"/>
      <c r="O531" s="3" t="inlineStr">
        <is>
          <t>未取得全文（上传件身份错配/相关版本，目标正文缺失）</t>
        </is>
      </c>
      <c r="P531" s="3" t="inlineStr">
        <is>
          <t>否</t>
        </is>
      </c>
      <c r="Q531" s="3" t="inlineStr">
        <is>
          <t>当前无补充材料原件；沿用既有缺失/无附件证据，不据此认定无附件</t>
        </is>
      </c>
      <c r="R531" s="3" t="inlineStr"/>
      <c r="S531" s="3" t="inlineStr"/>
      <c r="T531" s="3" t="inlineStr"/>
      <c r="U531" s="3" t="inlineStr"/>
      <c r="V531" s="3" t="inlineStr">
        <is>
          <t>不适用</t>
        </is>
      </c>
      <c r="W531" s="3" t="inlineStr">
        <is>
          <t>不适用</t>
        </is>
      </c>
      <c r="X531" s="3" t="inlineStr">
        <is>
          <t>不适用</t>
        </is>
      </c>
      <c r="Y531" s="3" t="inlineStr"/>
      <c r="Z531" s="3" t="inlineStr"/>
      <c r="AA531" s="3" t="inlineStr">
        <is>
          <t>既有DOI未由Crossref返回可用元数据（可能为DataCite/JaLC等）；不据此否认记录身份 | 非目标期刊论文或类型待核实，不进入JCR分母 | 上传Int. J. ChemTech Research 5(2) 558–564 (2013)碱预处理文章；目标为好氧预处理会议论文，处理方法及题名不一致</t>
        </is>
      </c>
      <c r="AB531" s="3" t="inlineStr"/>
      <c r="AC531" s="3" t="inlineStr"/>
      <c r="AD531" s="3" t="inlineStr"/>
    </row>
    <row r="532" ht="48" customHeight="1">
      <c r="A532" s="2" t="inlineStr">
        <is>
          <t>R13950</t>
        </is>
      </c>
      <c r="B532" s="2" t="inlineStr">
        <is>
          <t>Enhancement of hydrogen and methane production through anaerobic digestion using pre-treatments</t>
        </is>
      </c>
      <c r="C532" s="2" t="inlineStr"/>
      <c r="D532" s="2" t="inlineStr"/>
      <c r="E532" s="2" t="inlineStr"/>
      <c r="F532" s="2" t="inlineStr">
        <is>
          <t>学位论文（目录/摘要依据；详细授予信息待核验）</t>
        </is>
      </c>
      <c r="G532" s="2" t="inlineStr">
        <is>
          <t>3 独立好氧或微好氧预处理</t>
        </is>
      </c>
      <c r="H532" s="2" t="inlineStr">
        <is>
          <t>是</t>
        </is>
      </c>
      <c r="I532" s="2" t="inlineStr">
        <is>
          <t>学位/学生报告</t>
        </is>
      </c>
      <c r="J532" s="2" t="inlineStr">
        <is>
          <t>否</t>
        </is>
      </c>
      <c r="K532" s="2" t="inlineStr"/>
      <c r="L532" s="2" t="inlineStr"/>
      <c r="M532" s="2" t="inlineStr"/>
      <c r="N532" s="2" t="inlineStr"/>
      <c r="O532" s="2" t="inlineStr">
        <is>
          <t>已取得核验全文</t>
        </is>
      </c>
      <c r="P532" s="2" t="inlineStr">
        <is>
          <t>是</t>
        </is>
      </c>
      <c r="Q532" s="2" t="inlineStr">
        <is>
          <t>当前无补充材料原件；沿用既有缺失/无附件证据，不据此认定无附件</t>
        </is>
      </c>
      <c r="R532" s="2" t="inlineStr"/>
      <c r="S532" s="2" t="inlineStr"/>
      <c r="T532" s="2" t="inlineStr"/>
      <c r="U532" s="2" t="inlineStr"/>
      <c r="V532" s="2" t="inlineStr">
        <is>
          <t>不适用</t>
        </is>
      </c>
      <c r="W532" s="2" t="inlineStr">
        <is>
          <t>不适用</t>
        </is>
      </c>
      <c r="X532" s="2" t="inlineStr">
        <is>
          <t>不适用</t>
        </is>
      </c>
      <c r="Y532" s="2" t="inlineStr"/>
      <c r="Z532" s="2" t="inlineStr"/>
      <c r="AA532" s="2" t="inlineStr">
        <is>
          <t>非目标期刊论文或类型待核实，不进入JCR分母</t>
        </is>
      </c>
      <c r="AB532" s="2" t="inlineStr">
        <is>
          <t>original_files/R13950/fulltext/fulltext__thesis__2bf9b46c448685b9.pdf</t>
        </is>
      </c>
      <c r="AC532" s="2" t="inlineStr"/>
      <c r="AD532" s="2" t="inlineStr">
        <is>
          <t>https://github.com/Colliam-Vermilion/FirstCodex/blob/results/ad-oxygen-literature-20261006/results/ad-oxygen-literature-20261006/original_files/R13950/fulltext/fulltext__thesis__2bf9b46c448685b9.pdf</t>
        </is>
      </c>
    </row>
    <row r="533" ht="48" customHeight="1">
      <c r="A533" s="3" t="inlineStr">
        <is>
          <t>R13951</t>
        </is>
      </c>
      <c r="B533" s="3" t="inlineStr">
        <is>
          <t>Biological pre-treatment: Enhancing biogas production using the highly cellulolytic fungus Trichoderma viride</t>
        </is>
      </c>
      <c r="C533" s="3" t="inlineStr">
        <is>
          <t>2015</t>
        </is>
      </c>
      <c r="D533" s="3" t="inlineStr">
        <is>
          <t>2015</t>
        </is>
      </c>
      <c r="E533" s="3" t="inlineStr">
        <is>
          <t>10.1016/j.wasman.2015.05.011</t>
        </is>
      </c>
      <c r="F533" s="3" t="inlineStr">
        <is>
          <t>期刊原始研究</t>
        </is>
      </c>
      <c r="G533" s="3" t="inlineStr">
        <is>
          <t>3 独立好氧或微好氧预处理</t>
        </is>
      </c>
      <c r="H533" s="3" t="inlineStr">
        <is>
          <t>是</t>
        </is>
      </c>
      <c r="I533" s="3" t="inlineStr">
        <is>
          <t>研究类</t>
        </is>
      </c>
      <c r="J533" s="3" t="inlineStr">
        <is>
          <t>是</t>
        </is>
      </c>
      <c r="K533" s="3" t="inlineStr">
        <is>
          <t>Waste Management</t>
        </is>
      </c>
      <c r="L533" s="3" t="inlineStr">
        <is>
          <t>Waste Management</t>
        </is>
      </c>
      <c r="M533" s="3" t="inlineStr">
        <is>
          <t>0956-053X</t>
        </is>
      </c>
      <c r="N533" s="3" t="inlineStr"/>
      <c r="O533" s="3" t="inlineStr">
        <is>
          <t>已取得核验全文</t>
        </is>
      </c>
      <c r="P533" s="3" t="inlineStr">
        <is>
          <t>是</t>
        </is>
      </c>
      <c r="Q533" s="3" t="inlineStr">
        <is>
          <t>当前无补充材料原件；沿用既有缺失/无附件证据，不据此认定无附件</t>
        </is>
      </c>
      <c r="R533" s="3" t="n">
        <v>2024</v>
      </c>
      <c r="S533" s="3" t="inlineStr">
        <is>
          <t>2025发布版（2024指标年）</t>
        </is>
      </c>
      <c r="T533" s="3" t="inlineStr">
        <is>
          <t>ENGINEERING, ENVIRONMENTAL; ENVIRONMENTAL SCIENCES</t>
        </is>
      </c>
      <c r="U533" s="3" t="inlineStr">
        <is>
          <t>ENGINEERING, ENVIRONMENTAL: Q1; ENVIRONMENTAL SCIENCES: Q1</t>
        </is>
      </c>
      <c r="V533" s="4" t="inlineStr">
        <is>
          <t>是</t>
        </is>
      </c>
      <c r="W533" s="4" t="inlineStr">
        <is>
          <t>是</t>
        </is>
      </c>
      <c r="X533" s="3" t="inlineStr">
        <is>
          <t>是</t>
        </is>
      </c>
      <c r="Y533" s="3" t="inlineStr">
        <is>
          <t>https://topj.lib.whu.edu.cn/show.asp?cat=zk&amp;id=4000</t>
        </is>
      </c>
      <c r="Z533" s="3" t="inlineStr">
        <is>
          <t>https://api.crossref.org/works/10.1016/j.wasman.2015.05.011</t>
        </is>
      </c>
      <c r="AA533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33" s="3" t="inlineStr">
        <is>
          <t>original_files/R13951/fulltext/fulltext__published__0a4181c44f2c2a28.pdf</t>
        </is>
      </c>
      <c r="AC533" s="3" t="inlineStr"/>
      <c r="AD533" s="3" t="inlineStr">
        <is>
          <t>https://github.com/Colliam-Vermilion/FirstCodex/blob/results/ad-oxygen-literature-20261006/results/ad-oxygen-literature-20261006/original_files/R13951/fulltext/fulltext__published__0a4181c44f2c2a28.pdf</t>
        </is>
      </c>
    </row>
    <row r="534" ht="48" customHeight="1">
      <c r="A534" s="2" t="inlineStr">
        <is>
          <t>R13952</t>
        </is>
      </c>
      <c r="B534" s="2" t="inlineStr">
        <is>
          <t>Pretreatment in Anaerobic Treatment</t>
        </is>
      </c>
      <c r="C534" s="2" t="inlineStr">
        <is>
          <t>2018</t>
        </is>
      </c>
      <c r="D534" s="2" t="inlineStr">
        <is>
          <t>2018</t>
        </is>
      </c>
      <c r="E534" s="2" t="inlineStr">
        <is>
          <t>10.1201/9781351170529-4</t>
        </is>
      </c>
      <c r="F534" s="2" t="inlineStr">
        <is>
          <t>综述章节（非期刊）</t>
        </is>
      </c>
      <c r="G534" s="2" t="inlineStr">
        <is>
          <t>4 综述</t>
        </is>
      </c>
      <c r="H534" s="2" t="inlineStr">
        <is>
          <t>是</t>
        </is>
      </c>
      <c r="I534" s="2" t="inlineStr">
        <is>
          <t>会议/非期刊</t>
        </is>
      </c>
      <c r="J534" s="2" t="inlineStr">
        <is>
          <t>否</t>
        </is>
      </c>
      <c r="K534" s="2" t="inlineStr">
        <is>
          <t>Anaerobic Waste-Wastewater Treatment and Biogas Plants</t>
        </is>
      </c>
      <c r="L534" s="2" t="inlineStr">
        <is>
          <t>Anaerobic Waste-Wastewater Treatment and Biogas Plants</t>
        </is>
      </c>
      <c r="M534" s="2" t="inlineStr"/>
      <c r="N534" s="2" t="inlineStr"/>
      <c r="O534" s="2" t="inlineStr">
        <is>
          <t>未取得全文</t>
        </is>
      </c>
      <c r="P534" s="2" t="inlineStr">
        <is>
          <t>否</t>
        </is>
      </c>
      <c r="Q534" s="2" t="inlineStr">
        <is>
          <t>当前无补充材料原件；沿用既有缺失/无附件证据，不据此认定无附件</t>
        </is>
      </c>
      <c r="R534" s="2" t="inlineStr"/>
      <c r="S534" s="2" t="inlineStr"/>
      <c r="T534" s="2" t="inlineStr"/>
      <c r="U534" s="2" t="inlineStr"/>
      <c r="V534" s="2" t="inlineStr">
        <is>
          <t>不适用</t>
        </is>
      </c>
      <c r="W534" s="2" t="inlineStr">
        <is>
          <t>不适用</t>
        </is>
      </c>
      <c r="X534" s="2" t="inlineStr">
        <is>
          <t>不适用</t>
        </is>
      </c>
      <c r="Y534" s="2" t="inlineStr"/>
      <c r="Z534" s="2" t="inlineStr">
        <is>
          <t>https://api.crossref.org/works/10.1201/9781351170529-4</t>
        </is>
      </c>
      <c r="AA534" s="2" t="inlineStr">
        <is>
          <t>非目标期刊论文或类型待核实，不进入JCR分母</t>
        </is>
      </c>
      <c r="AB534" s="2" t="inlineStr"/>
      <c r="AC534" s="2" t="inlineStr"/>
      <c r="AD534" s="2" t="inlineStr"/>
    </row>
    <row r="535" ht="48" customHeight="1">
      <c r="A535" s="3" t="inlineStr">
        <is>
          <t>R13953</t>
        </is>
      </c>
      <c r="B535" s="3" t="inlineStr">
        <is>
          <t>Characterizing the variability of food waste quality: A need for efficient valorisation through anaerobic digestion</t>
        </is>
      </c>
      <c r="C535" s="3" t="inlineStr">
        <is>
          <t>2016</t>
        </is>
      </c>
      <c r="D535" s="3" t="inlineStr">
        <is>
          <t>2016</t>
        </is>
      </c>
      <c r="E535" s="3" t="inlineStr">
        <is>
          <t>10.1016/j.wasman.2016.01.041</t>
        </is>
      </c>
      <c r="F535" s="3" t="inlineStr">
        <is>
          <t>期刊综述</t>
        </is>
      </c>
      <c r="G535" s="3" t="inlineStr">
        <is>
          <t>4 综述</t>
        </is>
      </c>
      <c r="H535" s="3" t="inlineStr">
        <is>
          <t>是</t>
        </is>
      </c>
      <c r="I535" s="3" t="inlineStr">
        <is>
          <t>综述</t>
        </is>
      </c>
      <c r="J535" s="3" t="inlineStr">
        <is>
          <t>是</t>
        </is>
      </c>
      <c r="K535" s="3" t="inlineStr">
        <is>
          <t>Waste Management</t>
        </is>
      </c>
      <c r="L535" s="3" t="inlineStr">
        <is>
          <t>Waste Management</t>
        </is>
      </c>
      <c r="M535" s="3" t="inlineStr">
        <is>
          <t>0956-053X</t>
        </is>
      </c>
      <c r="N535" s="3" t="inlineStr"/>
      <c r="O535" s="3" t="inlineStr">
        <is>
          <t>已取得核验全文</t>
        </is>
      </c>
      <c r="P535" s="3" t="inlineStr">
        <is>
          <t>是</t>
        </is>
      </c>
      <c r="Q535" s="3" t="inlineStr">
        <is>
          <t>当前无补充材料原件；沿用既有缺失/无附件证据，不据此认定无附件</t>
        </is>
      </c>
      <c r="R535" s="3" t="n">
        <v>2024</v>
      </c>
      <c r="S535" s="3" t="inlineStr">
        <is>
          <t>2025发布版（2024指标年）</t>
        </is>
      </c>
      <c r="T535" s="3" t="inlineStr">
        <is>
          <t>ENGINEERING, ENVIRONMENTAL; ENVIRONMENTAL SCIENCES</t>
        </is>
      </c>
      <c r="U535" s="3" t="inlineStr">
        <is>
          <t>ENGINEERING, ENVIRONMENTAL: Q1; ENVIRONMENTAL SCIENCES: Q1</t>
        </is>
      </c>
      <c r="V535" s="4" t="inlineStr">
        <is>
          <t>是</t>
        </is>
      </c>
      <c r="W535" s="4" t="inlineStr">
        <is>
          <t>是</t>
        </is>
      </c>
      <c r="X535" s="3" t="inlineStr">
        <is>
          <t>是</t>
        </is>
      </c>
      <c r="Y535" s="3" t="inlineStr">
        <is>
          <t>https://topj.lib.whu.edu.cn/show.asp?cat=zk&amp;id=4000</t>
        </is>
      </c>
      <c r="Z535" s="3" t="inlineStr">
        <is>
          <t>https://api.crossref.org/works/10.1016/j.wasman.2016.01.041</t>
        </is>
      </c>
      <c r="AA535" s="3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35" s="3" t="inlineStr">
        <is>
          <t>original_files/R13953/fulltext/fulltext__published__4b8b9f306e49519c.pdf</t>
        </is>
      </c>
      <c r="AC535" s="3" t="inlineStr"/>
      <c r="AD535" s="3" t="inlineStr">
        <is>
          <t>https://github.com/Colliam-Vermilion/FirstCodex/blob/results/ad-oxygen-literature-20261006/results/ad-oxygen-literature-20261006/original_files/R13953/fulltext/fulltext__published__4b8b9f306e49519c.pdf</t>
        </is>
      </c>
    </row>
    <row r="536" ht="48" customHeight="1">
      <c r="A536" s="2" t="inlineStr">
        <is>
          <t>R13954</t>
        </is>
      </c>
      <c r="B536" s="2" t="inlineStr">
        <is>
          <t>Pre‐treatment with Trichoderma viride : Towards a better understanding of its consequences for anaerobic digestion</t>
        </is>
      </c>
      <c r="C536" s="2" t="inlineStr">
        <is>
          <t>2024</t>
        </is>
      </c>
      <c r="D536" s="2" t="inlineStr">
        <is>
          <t>2024</t>
        </is>
      </c>
      <c r="E536" s="2" t="inlineStr">
        <is>
          <t>10.1111/1758-2229.13281</t>
        </is>
      </c>
      <c r="F536" s="2" t="inlineStr">
        <is>
          <t>期刊原始研究</t>
        </is>
      </c>
      <c r="G536" s="2" t="inlineStr">
        <is>
          <t>3 独立好氧或微好氧预处理</t>
        </is>
      </c>
      <c r="H536" s="2" t="inlineStr">
        <is>
          <t>是</t>
        </is>
      </c>
      <c r="I536" s="2" t="inlineStr">
        <is>
          <t>研究类</t>
        </is>
      </c>
      <c r="J536" s="2" t="inlineStr">
        <is>
          <t>是</t>
        </is>
      </c>
      <c r="K536" s="2" t="inlineStr">
        <is>
          <t>ENVIRONMENTAL MICROBIOLOGY REPORTS</t>
        </is>
      </c>
      <c r="L536" s="2" t="inlineStr">
        <is>
          <t>Environmental Microbiology Reports</t>
        </is>
      </c>
      <c r="M536" s="2" t="inlineStr">
        <is>
          <t>1758-2229</t>
        </is>
      </c>
      <c r="N536" s="2" t="inlineStr">
        <is>
          <t>1758-2229</t>
        </is>
      </c>
      <c r="O536" s="2" t="inlineStr">
        <is>
          <t>已取得核验全文</t>
        </is>
      </c>
      <c r="P536" s="2" t="inlineStr">
        <is>
          <t>是</t>
        </is>
      </c>
      <c r="Q536" s="2" t="inlineStr">
        <is>
          <t>当前无补充材料原件；沿用既有缺失/无附件证据，不据此认定无附件</t>
        </is>
      </c>
      <c r="R536" s="2" t="n">
        <v>2024</v>
      </c>
      <c r="S536" s="2" t="inlineStr">
        <is>
          <t>2025发布版（2024指标年）</t>
        </is>
      </c>
      <c r="T536" s="2" t="inlineStr">
        <is>
          <t>ENVIRONMENTAL SCIENCES; MICROBIOLOGY</t>
        </is>
      </c>
      <c r="U536" s="2" t="inlineStr">
        <is>
          <t>ENVIRONMENTAL SCIENCES: Q3; MICROBIOLOGY: Q3</t>
        </is>
      </c>
      <c r="V536" s="2" t="inlineStr">
        <is>
          <t>否</t>
        </is>
      </c>
      <c r="W536" s="2" t="inlineStr">
        <is>
          <t>否</t>
        </is>
      </c>
      <c r="X536" s="2" t="inlineStr">
        <is>
          <t>是</t>
        </is>
      </c>
      <c r="Y536" s="2" t="inlineStr">
        <is>
          <t>https://topj.lib.whu.edu.cn/search.asp?cat=esi&amp;ordertype=&amp;page=7&amp;q=&amp;xk=19</t>
        </is>
      </c>
      <c r="Z536" s="2" t="inlineStr">
        <is>
          <t>https://api.crossref.org/works/10.1111/1758-2229.13281</t>
        </is>
      </c>
      <c r="AA536" s="2" t="inlineStr">
        <is>
          <t>机构2024年JCR列表栏：搜索索引可核验；原页直连未成功；仅统计已显示学科 | 全部Q1仅指本表全部已核实学科；无官方完整学科导出，不承诺没有未显示学科</t>
        </is>
      </c>
      <c r="AB536" s="2" t="inlineStr">
        <is>
          <t>original_files/R13954/fulltext/fulltext__published__09fac20b7a04ff4f.pdf</t>
        </is>
      </c>
      <c r="AC536" s="2" t="inlineStr"/>
      <c r="AD536" s="2" t="inlineStr">
        <is>
          <t>https://github.com/Colliam-Vermilion/FirstCodex/blob/results/ad-oxygen-literature-20261006/results/ad-oxygen-literature-20261006/original_files/R13954/fulltext/fulltext__published__09fac20b7a04ff4f.pdf</t>
        </is>
      </c>
    </row>
    <row r="537" ht="48" customHeight="1">
      <c r="A537" s="3" t="inlineStr">
        <is>
          <t>R13955</t>
        </is>
      </c>
      <c r="B537" s="3" t="inlineStr">
        <is>
          <t>Biogas Production from Lignocellulosic Biomass : Impact of pre-treatment, co-digestion, harvest time and inoculation</t>
        </is>
      </c>
      <c r="C537" s="3" t="inlineStr"/>
      <c r="D537" s="3" t="inlineStr"/>
      <c r="E537" s="3" t="inlineStr"/>
      <c r="F537" s="3" t="inlineStr">
        <is>
          <t>学位论文（目录/摘要依据；详细授予信息待核验）</t>
        </is>
      </c>
      <c r="G537" s="3" t="inlineStr">
        <is>
          <t>3 独立好氧或微好氧预处理</t>
        </is>
      </c>
      <c r="H537" s="3" t="inlineStr">
        <is>
          <t>是</t>
        </is>
      </c>
      <c r="I537" s="3" t="inlineStr">
        <is>
          <t>学位/学生报告</t>
        </is>
      </c>
      <c r="J537" s="3" t="inlineStr">
        <is>
          <t>否</t>
        </is>
      </c>
      <c r="K537" s="3" t="inlineStr"/>
      <c r="L537" s="3" t="inlineStr"/>
      <c r="M537" s="3" t="inlineStr"/>
      <c r="N537" s="3" t="inlineStr"/>
      <c r="O537" s="3" t="inlineStr">
        <is>
          <t>已取得核验全文</t>
        </is>
      </c>
      <c r="P537" s="3" t="inlineStr">
        <is>
          <t>是</t>
        </is>
      </c>
      <c r="Q537" s="3" t="inlineStr">
        <is>
          <t>当前无补充材料原件；沿用既有缺失/无附件证据，不据此认定无附件</t>
        </is>
      </c>
      <c r="R537" s="3" t="inlineStr"/>
      <c r="S537" s="3" t="inlineStr"/>
      <c r="T537" s="3" t="inlineStr"/>
      <c r="U537" s="3" t="inlineStr"/>
      <c r="V537" s="3" t="inlineStr">
        <is>
          <t>不适用</t>
        </is>
      </c>
      <c r="W537" s="3" t="inlineStr">
        <is>
          <t>不适用</t>
        </is>
      </c>
      <c r="X537" s="3" t="inlineStr">
        <is>
          <t>不适用</t>
        </is>
      </c>
      <c r="Y537" s="3" t="inlineStr"/>
      <c r="Z537" s="3" t="inlineStr"/>
      <c r="AA537" s="3" t="inlineStr">
        <is>
          <t>非目标期刊论文或类型待核实，不进入JCR分母</t>
        </is>
      </c>
      <c r="AB537" s="3" t="inlineStr">
        <is>
          <t>original_files/R13955/fulltext/fulltext__thesis__536763265cdc087f.pdf; original_files/R13955/fulltext/fulltext__thesis__82d3dd4c7af3e63a.pdf</t>
        </is>
      </c>
      <c r="AC537" s="3" t="inlineStr"/>
      <c r="AD537" s="3" t="inlineStr">
        <is>
          <t>https://github.com/Colliam-Vermilion/FirstCodex/blob/results/ad-oxygen-literature-20261006/results/ad-oxygen-literature-20261006/original_files/R13955/fulltext/fulltext__thesis__536763265cdc087f.pdf; https://github.com/Colliam-Vermilion/FirstCodex/blob/results/ad-oxygen-literature-20261006/results/ad-oxygen-literature-20261006/original_files/R13955/fulltext/fulltext__thesis__82d3dd4c7af3e63a.pdf</t>
        </is>
      </c>
    </row>
    <row r="538" ht="48" customHeight="1">
      <c r="A538" s="2" t="inlineStr">
        <is>
          <t>R13956</t>
        </is>
      </c>
      <c r="B538" s="2" t="inlineStr">
        <is>
          <t>Anaerobic digestion of mixed dried fallen leaves by mixing with cow dung</t>
        </is>
      </c>
      <c r="C538" s="2" t="inlineStr">
        <is>
          <t>2015</t>
        </is>
      </c>
      <c r="D538" s="2" t="inlineStr">
        <is>
          <t>2015</t>
        </is>
      </c>
      <c r="E538" s="2" t="inlineStr">
        <is>
          <t>10.3329/bjsir.v50i3.25579</t>
        </is>
      </c>
      <c r="F538" s="2" t="inlineStr">
        <is>
          <t>期刊原始研究</t>
        </is>
      </c>
      <c r="G538" s="2" t="inlineStr">
        <is>
          <t>3 独立好氧或微好氧预处理</t>
        </is>
      </c>
      <c r="H538" s="2" t="inlineStr">
        <is>
          <t>是</t>
        </is>
      </c>
      <c r="I538" s="2" t="inlineStr">
        <is>
          <t>研究类</t>
        </is>
      </c>
      <c r="J538" s="2" t="inlineStr">
        <is>
          <t>是</t>
        </is>
      </c>
      <c r="K538" s="2" t="inlineStr">
        <is>
          <t>Bangladesh Journal of Scientific and Industrial Research</t>
        </is>
      </c>
      <c r="L538" s="2" t="inlineStr">
        <is>
          <t>Bangladesh Journal of Scientific and Industrial Research</t>
        </is>
      </c>
      <c r="M538" s="2" t="inlineStr">
        <is>
          <t>0304-9809</t>
        </is>
      </c>
      <c r="N538" s="2" t="inlineStr">
        <is>
          <t>2224-7157</t>
        </is>
      </c>
      <c r="O538" s="2" t="inlineStr">
        <is>
          <t>已取得核验全文</t>
        </is>
      </c>
      <c r="P538" s="2" t="inlineStr">
        <is>
          <t>是</t>
        </is>
      </c>
      <c r="Q538" s="2" t="inlineStr">
        <is>
          <t>当前无补充材料原件；沿用既有缺失/无附件证据，不据此认定无附件</t>
        </is>
      </c>
      <c r="R538" s="2" t="n">
        <v>2024</v>
      </c>
      <c r="S538" s="2" t="inlineStr">
        <is>
          <t>2025发布版（2024指标年）</t>
        </is>
      </c>
      <c r="T538" s="2" t="inlineStr"/>
      <c r="U538" s="2" t="inlineStr"/>
      <c r="V538" s="2" t="inlineStr">
        <is>
          <t>待核实</t>
        </is>
      </c>
      <c r="W538" s="2" t="inlineStr">
        <is>
          <t>待核实</t>
        </is>
      </c>
      <c r="X538" s="2" t="inlineStr">
        <is>
          <t>否</t>
        </is>
      </c>
      <c r="Y538" s="2" t="inlineStr"/>
      <c r="Z538" s="2" t="inlineStr">
        <is>
          <t>https://api.crossref.org/works/10.3329/bjsir.v50i3.25579</t>
        </is>
      </c>
      <c r="AA538" s="2" t="inlineStr">
        <is>
          <t>2024指标年JCR分区未核实；空白不能当非Q1。需要2025发布版/2024指标年的JCR全部学科导出。</t>
        </is>
      </c>
      <c r="AB538" s="2" t="inlineStr">
        <is>
          <t>original_files/R13956/fulltext/fulltext__version_unverified__fedaffcdf5be81e2.pdf</t>
        </is>
      </c>
      <c r="AC538" s="2" t="inlineStr"/>
      <c r="AD538" s="2" t="inlineStr">
        <is>
          <t>https://github.com/Colliam-Vermilion/FirstCodex/blob/results/ad-oxygen-literature-20261006/results/ad-oxygen-literature-20261006/original_files/R13956/fulltext/fulltext__version_unverified__fedaffcdf5be81e2.pdf</t>
        </is>
      </c>
    </row>
    <row r="539" ht="48" customHeight="1">
      <c r="A539" s="3" t="inlineStr">
        <is>
          <t>R13957</t>
        </is>
      </c>
      <c r="B539" s="3" t="inlineStr">
        <is>
          <t>Microaeration for biogas desulfurization : experimental and simulation study of various reactor types</t>
        </is>
      </c>
      <c r="C539" s="3" t="inlineStr"/>
      <c r="D539" s="3" t="inlineStr"/>
      <c r="E539" s="3" t="inlineStr"/>
      <c r="F539" s="3" t="inlineStr">
        <is>
          <t>学位论文（目录/摘要依据；详细授予信息待核验）</t>
        </is>
      </c>
      <c r="G539" s="3" t="inlineStr">
        <is>
          <t>1 直接向 AD 反应器或内部循环系统供氧</t>
        </is>
      </c>
      <c r="H539" s="3" t="inlineStr">
        <is>
          <t>是</t>
        </is>
      </c>
      <c r="I539" s="3" t="inlineStr">
        <is>
          <t>学位/学生报告</t>
        </is>
      </c>
      <c r="J539" s="3" t="inlineStr">
        <is>
          <t>否</t>
        </is>
      </c>
      <c r="K539" s="3" t="inlineStr"/>
      <c r="L539" s="3" t="inlineStr"/>
      <c r="M539" s="3" t="inlineStr"/>
      <c r="N539" s="3" t="inlineStr"/>
      <c r="O539" s="3" t="inlineStr">
        <is>
          <t>已取得核验全文</t>
        </is>
      </c>
      <c r="P539" s="3" t="inlineStr">
        <is>
          <t>是</t>
        </is>
      </c>
      <c r="Q539" s="3" t="inlineStr">
        <is>
          <t>当前无补充材料原件；沿用既有缺失/无附件证据，不据此认定无附件</t>
        </is>
      </c>
      <c r="R539" s="3" t="inlineStr"/>
      <c r="S539" s="3" t="inlineStr"/>
      <c r="T539" s="3" t="inlineStr"/>
      <c r="U539" s="3" t="inlineStr"/>
      <c r="V539" s="3" t="inlineStr">
        <is>
          <t>不适用</t>
        </is>
      </c>
      <c r="W539" s="3" t="inlineStr">
        <is>
          <t>不适用</t>
        </is>
      </c>
      <c r="X539" s="3" t="inlineStr">
        <is>
          <t>不适用</t>
        </is>
      </c>
      <c r="Y539" s="3" t="inlineStr"/>
      <c r="Z539" s="3" t="inlineStr"/>
      <c r="AA539" s="3" t="inlineStr">
        <is>
          <t>非目标期刊论文或类型待核实，不进入JCR分母</t>
        </is>
      </c>
      <c r="AB539" s="3" t="inlineStr">
        <is>
          <t>original_files/R13957/fulltext/fulltext__thesis__3db804dcdefb7608.pdf</t>
        </is>
      </c>
      <c r="AC539" s="3" t="inlineStr"/>
      <c r="AD539" s="3" t="inlineStr">
        <is>
          <t>https://github.com/Colliam-Vermilion/FirstCodex/blob/results/ad-oxygen-literature-20261006/results/ad-oxygen-literature-20261006/original_files/R13957/fulltext/fulltext__thesis__3db804dcdefb7608.pdf</t>
        </is>
      </c>
    </row>
    <row r="540" ht="48" customHeight="1">
      <c r="A540" s="2" t="inlineStr">
        <is>
          <t>R13958</t>
        </is>
      </c>
      <c r="B540" s="2" t="inlineStr">
        <is>
          <t>Effects of Cell Lysis in Gas Yield and Sludge Stabilization by Combined Process of Thermophilic Aerobic and Anaerobic Digestion</t>
        </is>
      </c>
      <c r="C540" s="2" t="inlineStr">
        <is>
          <t>2016</t>
        </is>
      </c>
      <c r="D540" s="2" t="inlineStr">
        <is>
          <t>2016</t>
        </is>
      </c>
      <c r="E540" s="2" t="inlineStr">
        <is>
          <t>10.1016/j.proenv.2016.02.007</t>
        </is>
      </c>
      <c r="F540" s="2" t="inlineStr">
        <is>
          <t>期刊原始研究</t>
        </is>
      </c>
      <c r="G540" s="2" t="inlineStr">
        <is>
          <t>3 独立好氧或微好氧预处理</t>
        </is>
      </c>
      <c r="H540" s="2" t="inlineStr">
        <is>
          <t>是</t>
        </is>
      </c>
      <c r="I540" s="2" t="inlineStr">
        <is>
          <t>类型待核实</t>
        </is>
      </c>
      <c r="J540" s="2" t="inlineStr">
        <is>
          <t>否</t>
        </is>
      </c>
      <c r="K540" s="2" t="inlineStr">
        <is>
          <t>Procedia Environmental Sciences</t>
        </is>
      </c>
      <c r="L540" s="2" t="inlineStr">
        <is>
          <t>Procedia Environmental Sciences</t>
        </is>
      </c>
      <c r="M540" s="2" t="inlineStr">
        <is>
          <t>1878-0296</t>
        </is>
      </c>
      <c r="N540" s="2" t="inlineStr"/>
      <c r="O540" s="2" t="inlineStr">
        <is>
          <t>已取得核验全文</t>
        </is>
      </c>
      <c r="P540" s="2" t="inlineStr">
        <is>
          <t>是</t>
        </is>
      </c>
      <c r="Q540" s="2" t="inlineStr">
        <is>
          <t>当前无补充材料原件；沿用既有缺失/无附件证据，不据此认定无附件</t>
        </is>
      </c>
      <c r="R540" s="2" t="inlineStr"/>
      <c r="S540" s="2" t="inlineStr"/>
      <c r="T540" s="2" t="inlineStr"/>
      <c r="U540" s="2" t="inlineStr"/>
      <c r="V540" s="2" t="inlineStr">
        <is>
          <t>不适用</t>
        </is>
      </c>
      <c r="W540" s="2" t="inlineStr">
        <is>
          <t>不适用</t>
        </is>
      </c>
      <c r="X540" s="2" t="inlineStr">
        <is>
          <t>不适用</t>
        </is>
      </c>
      <c r="Y540" s="2" t="inlineStr"/>
      <c r="Z540" s="2" t="inlineStr">
        <is>
          <t>https://api.crossref.org/works/10.1016/j.proenv.2016.02.007</t>
        </is>
      </c>
      <c r="AA540" s="2" t="inlineStr">
        <is>
          <t>期刊/会议或其他载体身份缺少足够凭据，单列待核实，不混入期刊论文分母 | 非目标期刊论文或类型待核实，不进入JCR分母</t>
        </is>
      </c>
      <c r="AB540" s="2" t="inlineStr">
        <is>
          <t>original_files/R13958/fulltext/fulltext__published__599e1d0536c7a33e.pdf</t>
        </is>
      </c>
      <c r="AC540" s="2" t="inlineStr"/>
      <c r="AD540" s="2" t="inlineStr">
        <is>
          <t>https://github.com/Colliam-Vermilion/FirstCodex/blob/results/ad-oxygen-literature-20261006/results/ad-oxygen-literature-20261006/original_files/R13958/fulltext/fulltext__published__599e1d0536c7a33e.pdf</t>
        </is>
      </c>
    </row>
    <row r="541" ht="48" customHeight="1">
      <c r="A541" s="3" t="inlineStr">
        <is>
          <t>R13959</t>
        </is>
      </c>
      <c r="B541" s="3" t="inlineStr">
        <is>
          <t>Influence of Temperature and Oxidation-Reduction Potential on Hydrolysis of Swine Manure Wastewater</t>
        </is>
      </c>
      <c r="C541" s="3" t="inlineStr">
        <is>
          <t>2020</t>
        </is>
      </c>
      <c r="D541" s="3" t="inlineStr">
        <is>
          <t>2020</t>
        </is>
      </c>
      <c r="E541" s="3" t="inlineStr">
        <is>
          <t>10.18178/ijesd.2020.11.3.1241</t>
        </is>
      </c>
      <c r="F541" s="3" t="inlineStr">
        <is>
          <t>期刊原始研究</t>
        </is>
      </c>
      <c r="G541" s="3" t="inlineStr">
        <is>
          <t>3 独立好氧或微好氧预处理</t>
        </is>
      </c>
      <c r="H541" s="3" t="inlineStr">
        <is>
          <t>是</t>
        </is>
      </c>
      <c r="I541" s="3" t="inlineStr">
        <is>
          <t>研究类</t>
        </is>
      </c>
      <c r="J541" s="3" t="inlineStr">
        <is>
          <t>是</t>
        </is>
      </c>
      <c r="K541" s="3" t="inlineStr">
        <is>
          <t>International Journal of Environmental Science and Development</t>
        </is>
      </c>
      <c r="L541" s="3" t="inlineStr">
        <is>
          <t>International Journal of Environmental Science and Development</t>
        </is>
      </c>
      <c r="M541" s="3" t="inlineStr"/>
      <c r="N541" s="3" t="inlineStr">
        <is>
          <t>2010-0264</t>
        </is>
      </c>
      <c r="O541" s="3" t="inlineStr">
        <is>
          <t>已取得核验全文</t>
        </is>
      </c>
      <c r="P541" s="3" t="inlineStr">
        <is>
          <t>是</t>
        </is>
      </c>
      <c r="Q541" s="3" t="inlineStr">
        <is>
          <t>当前无补充材料原件；沿用既有缺失/无附件证据，不据此认定无附件</t>
        </is>
      </c>
      <c r="R541" s="3" t="n">
        <v>2024</v>
      </c>
      <c r="S541" s="3" t="inlineStr">
        <is>
          <t>2025发布版（2024指标年）</t>
        </is>
      </c>
      <c r="T541" s="3" t="inlineStr"/>
      <c r="U541" s="3" t="inlineStr"/>
      <c r="V541" s="3" t="inlineStr">
        <is>
          <t>待核实</t>
        </is>
      </c>
      <c r="W541" s="3" t="inlineStr">
        <is>
          <t>待核实</t>
        </is>
      </c>
      <c r="X541" s="3" t="inlineStr">
        <is>
          <t>否</t>
        </is>
      </c>
      <c r="Y541" s="3" t="inlineStr"/>
      <c r="Z541" s="3" t="inlineStr">
        <is>
          <t>https://api.crossref.org/works/10.18178/ijesd.2020.11.3.1241</t>
        </is>
      </c>
      <c r="AA541" s="3" t="inlineStr">
        <is>
          <t>2024指标年JCR分区未核实；空白不能当非Q1。需要2025发布版/2024指标年的JCR全部学科导出。</t>
        </is>
      </c>
      <c r="AB541" s="3" t="inlineStr">
        <is>
          <t>original_files/R13959/fulltext/fulltext__version_unverified__3da7041fe46dc44c.pdf</t>
        </is>
      </c>
      <c r="AC541" s="3" t="inlineStr"/>
      <c r="AD541" s="3" t="inlineStr">
        <is>
          <t>https://github.com/Colliam-Vermilion/FirstCodex/blob/results/ad-oxygen-literature-20261006/results/ad-oxygen-literature-20261006/original_files/R13959/fulltext/fulltext__version_unverified__3da7041fe46dc44c.pdf</t>
        </is>
      </c>
    </row>
    <row r="542" ht="48" customHeight="1">
      <c r="A542" s="2" t="inlineStr">
        <is>
          <t>R13960</t>
        </is>
      </c>
      <c r="B542" s="2" t="inlineStr">
        <is>
          <t>Nitrogen mass balance and biogas production in innovative semiaerobic-anaerobic-aerobic (S.An.A.) landfill</t>
        </is>
      </c>
      <c r="C542" s="2" t="inlineStr"/>
      <c r="D542" s="2" t="inlineStr"/>
      <c r="E542" s="2" t="inlineStr"/>
      <c r="F542" s="2" t="inlineStr">
        <is>
          <t>学位论文（目录/摘要依据；详细授予信息待核验）</t>
        </is>
      </c>
      <c r="G542" s="2" t="inlineStr">
        <is>
          <t>3 独立好氧或微好氧预处理</t>
        </is>
      </c>
      <c r="H542" s="2" t="inlineStr">
        <is>
          <t>是</t>
        </is>
      </c>
      <c r="I542" s="2" t="inlineStr">
        <is>
          <t>学位/学生报告</t>
        </is>
      </c>
      <c r="J542" s="2" t="inlineStr">
        <is>
          <t>否</t>
        </is>
      </c>
      <c r="K542" s="2" t="inlineStr"/>
      <c r="L542" s="2" t="inlineStr"/>
      <c r="M542" s="2" t="inlineStr"/>
      <c r="N542" s="2" t="inlineStr"/>
      <c r="O542" s="2" t="inlineStr">
        <is>
          <t>已取得核验全文</t>
        </is>
      </c>
      <c r="P542" s="2" t="inlineStr">
        <is>
          <t>是</t>
        </is>
      </c>
      <c r="Q542" s="2" t="inlineStr">
        <is>
          <t>当前无补充材料原件；沿用既有缺失/无附件证据，不据此认定无附件</t>
        </is>
      </c>
      <c r="R542" s="2" t="inlineStr"/>
      <c r="S542" s="2" t="inlineStr"/>
      <c r="T542" s="2" t="inlineStr"/>
      <c r="U542" s="2" t="inlineStr"/>
      <c r="V542" s="2" t="inlineStr">
        <is>
          <t>不适用</t>
        </is>
      </c>
      <c r="W542" s="2" t="inlineStr">
        <is>
          <t>不适用</t>
        </is>
      </c>
      <c r="X542" s="2" t="inlineStr">
        <is>
          <t>不适用</t>
        </is>
      </c>
      <c r="Y542" s="2" t="inlineStr"/>
      <c r="Z542" s="2" t="inlineStr"/>
      <c r="AA542" s="2" t="inlineStr">
        <is>
          <t>非目标期刊论文或类型待核实，不进入JCR分母</t>
        </is>
      </c>
      <c r="AB542" s="2" t="inlineStr">
        <is>
          <t>original_files/R13960/fulltext/fulltext__thesis__47d0f183004cfe45.pdf</t>
        </is>
      </c>
      <c r="AC542" s="2" t="inlineStr"/>
      <c r="AD542" s="2" t="inlineStr">
        <is>
          <t>https://github.com/Colliam-Vermilion/FirstCodex/blob/results/ad-oxygen-literature-20261006/results/ad-oxygen-literature-20261006/original_files/R13960/fulltext/fulltext__thesis__47d0f183004cfe45.pdf</t>
        </is>
      </c>
    </row>
    <row r="543" ht="48" customHeight="1">
      <c r="A543" s="3" t="inlineStr">
        <is>
          <t>R13961</t>
        </is>
      </c>
      <c r="B543" s="3" t="inlineStr">
        <is>
          <t>Comparison of oleate conversion under microaerophilic and anaerobic conditions</t>
        </is>
      </c>
      <c r="C543" s="3" t="inlineStr">
        <is>
          <t>2015</t>
        </is>
      </c>
      <c r="D543" s="3" t="inlineStr">
        <is>
          <t>2015</t>
        </is>
      </c>
      <c r="E543" s="3" t="inlineStr"/>
      <c r="F543" s="3" t="inlineStr">
        <is>
          <t>会议论文/会议资料（单列）</t>
        </is>
      </c>
      <c r="G543" s="3" t="inlineStr">
        <is>
          <t>1 直接向 AD 反应器或内部循环系统供氧</t>
        </is>
      </c>
      <c r="H543" s="3" t="inlineStr">
        <is>
          <t>是</t>
        </is>
      </c>
      <c r="I543" s="3" t="inlineStr">
        <is>
          <t>会议/非期刊</t>
        </is>
      </c>
      <c r="J543" s="3" t="inlineStr">
        <is>
          <t>否</t>
        </is>
      </c>
      <c r="K543" s="3" t="inlineStr">
        <is>
          <t>Portuguese National Funding Agency for Science, Research and Technology (RCAAP Project by FCT)</t>
        </is>
      </c>
      <c r="L543" s="3" t="inlineStr">
        <is>
          <t>Portuguese National Funding Agency for Science, Research and Technology (RCAAP Project by FCT)</t>
        </is>
      </c>
      <c r="M543" s="3" t="inlineStr"/>
      <c r="N543" s="3" t="inlineStr"/>
      <c r="O543" s="3" t="inlineStr">
        <is>
          <t>仅摘要，未取得全文</t>
        </is>
      </c>
      <c r="P543" s="3" t="inlineStr">
        <is>
          <t>否</t>
        </is>
      </c>
      <c r="Q543" s="3" t="inlineStr">
        <is>
          <t>当前无补充材料原件；沿用既有缺失/无附件证据，不据此认定无附件</t>
        </is>
      </c>
      <c r="R543" s="3" t="inlineStr"/>
      <c r="S543" s="3" t="inlineStr"/>
      <c r="T543" s="3" t="inlineStr"/>
      <c r="U543" s="3" t="inlineStr"/>
      <c r="V543" s="3" t="inlineStr">
        <is>
          <t>不适用</t>
        </is>
      </c>
      <c r="W543" s="3" t="inlineStr">
        <is>
          <t>不适用</t>
        </is>
      </c>
      <c r="X543" s="3" t="inlineStr">
        <is>
          <t>不适用</t>
        </is>
      </c>
      <c r="Y543" s="3" t="inlineStr"/>
      <c r="Z543" s="3" t="inlineStr"/>
      <c r="AA543" s="3" t="inlineStr">
        <is>
          <t>非目标期刊论文或类型待核实，不进入JCR分母</t>
        </is>
      </c>
      <c r="AB543" s="3" t="inlineStr"/>
      <c r="AC543" s="3" t="inlineStr"/>
      <c r="AD543" s="3" t="inlineStr"/>
    </row>
    <row r="544" ht="48" customHeight="1">
      <c r="A544" s="2" t="inlineStr">
        <is>
          <t>R13962</t>
        </is>
      </c>
      <c r="B544" s="2" t="inlineStr">
        <is>
          <t>Evaluation of single vs. staged mesophilic anaerobic digestion of kitchen waste with and without microwave pretreatment</t>
        </is>
      </c>
      <c r="C544" s="2" t="inlineStr">
        <is>
          <t>2013</t>
        </is>
      </c>
      <c r="D544" s="2" t="inlineStr">
        <is>
          <t>2013</t>
        </is>
      </c>
      <c r="E544" s="2" t="inlineStr">
        <is>
          <t>10.1016/j.jenvman.2013.03.042</t>
        </is>
      </c>
      <c r="F544" s="2" t="inlineStr">
        <is>
          <t>期刊原始研究</t>
        </is>
      </c>
      <c r="G544" s="2" t="inlineStr">
        <is>
          <t>2 向厌氧水解或产酸阶段供氧</t>
        </is>
      </c>
      <c r="H544" s="2" t="inlineStr">
        <is>
          <t>是</t>
        </is>
      </c>
      <c r="I544" s="2" t="inlineStr">
        <is>
          <t>研究类</t>
        </is>
      </c>
      <c r="J544" s="2" t="inlineStr">
        <is>
          <t>是</t>
        </is>
      </c>
      <c r="K544" s="2" t="inlineStr">
        <is>
          <t>Journal of Environmental Management</t>
        </is>
      </c>
      <c r="L544" s="2" t="inlineStr">
        <is>
          <t>Journal of Environmental Management</t>
        </is>
      </c>
      <c r="M544" s="2" t="inlineStr">
        <is>
          <t>0301-4797</t>
        </is>
      </c>
      <c r="N544" s="2" t="inlineStr"/>
      <c r="O544" s="2" t="inlineStr">
        <is>
          <t>已取得核验全文</t>
        </is>
      </c>
      <c r="P544" s="2" t="inlineStr">
        <is>
          <t>是</t>
        </is>
      </c>
      <c r="Q544" s="2" t="inlineStr">
        <is>
          <t>当前无补充材料原件；沿用既有缺失/无附件证据，不据此认定无附件</t>
        </is>
      </c>
      <c r="R544" s="2" t="n">
        <v>2024</v>
      </c>
      <c r="S544" s="2" t="inlineStr">
        <is>
          <t>2025发布版（2024指标年）</t>
        </is>
      </c>
      <c r="T544" s="2" t="inlineStr">
        <is>
          <t>ENVIRONMENTAL SCIENCES</t>
        </is>
      </c>
      <c r="U544" s="2" t="inlineStr">
        <is>
          <t>ENVIRONMENTAL SCIENCES: Q1</t>
        </is>
      </c>
      <c r="V544" s="4" t="inlineStr">
        <is>
          <t>是</t>
        </is>
      </c>
      <c r="W544" s="4" t="inlineStr">
        <is>
          <t>是</t>
        </is>
      </c>
      <c r="X544" s="2" t="inlineStr">
        <is>
          <t>是</t>
        </is>
      </c>
      <c r="Y544" s="2" t="inlineStr">
        <is>
          <t>https://topj.lib.whu.edu.cn/show.asp?cat=sci&amp;id=6965</t>
        </is>
      </c>
      <c r="Z544" s="2" t="inlineStr">
        <is>
          <t>https://api.crossref.org/works/10.1016/j.jenvman.2013.03.042</t>
        </is>
      </c>
      <c r="AA54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44" s="2" t="inlineStr">
        <is>
          <t>original_files/R13962/fulltext/fulltext__published__bf535b5026967581.pdf</t>
        </is>
      </c>
      <c r="AC544" s="2" t="inlineStr"/>
      <c r="AD544" s="2" t="inlineStr">
        <is>
          <t>https://github.com/Colliam-Vermilion/FirstCodex/blob/results/ad-oxygen-literature-20261006/results/ad-oxygen-literature-20261006/original_files/R13962/fulltext/fulltext__published__bf535b5026967581.pdf</t>
        </is>
      </c>
    </row>
    <row r="545" ht="48" customHeight="1">
      <c r="A545" s="3" t="inlineStr">
        <is>
          <t>R13963</t>
        </is>
      </c>
      <c r="B545" s="3" t="inlineStr">
        <is>
          <t>Experimental study on biogas production through anaerobic digestion of wheat straw and urban fallen leaves</t>
        </is>
      </c>
      <c r="C545" s="3" t="inlineStr">
        <is>
          <t>2013</t>
        </is>
      </c>
      <c r="D545" s="3" t="inlineStr">
        <is>
          <t>2013</t>
        </is>
      </c>
      <c r="E545" s="3" t="inlineStr">
        <is>
          <t>10.1109/icmree.2013.6893662</t>
        </is>
      </c>
      <c r="F545" s="3" t="inlineStr">
        <is>
          <t>会议论文/会议资料（单列）</t>
        </is>
      </c>
      <c r="G545" s="3" t="inlineStr">
        <is>
          <t>3 独立好氧或微好氧预处理</t>
        </is>
      </c>
      <c r="H545" s="3" t="inlineStr">
        <is>
          <t>是</t>
        </is>
      </c>
      <c r="I545" s="3" t="inlineStr">
        <is>
          <t>会议/非期刊</t>
        </is>
      </c>
      <c r="J545" s="3" t="inlineStr">
        <is>
          <t>否</t>
        </is>
      </c>
      <c r="K545" s="3" t="inlineStr">
        <is>
          <t>2013 International Conference on Materials for Renewable Energy and Environment</t>
        </is>
      </c>
      <c r="L545" s="3" t="inlineStr">
        <is>
          <t>2013 International Conference on Materials for Renewable Energy and Environment</t>
        </is>
      </c>
      <c r="M545" s="3" t="inlineStr"/>
      <c r="N545" s="3" t="inlineStr"/>
      <c r="O545" s="3" t="inlineStr">
        <is>
          <t>已取得核验全文</t>
        </is>
      </c>
      <c r="P545" s="3" t="inlineStr">
        <is>
          <t>是</t>
        </is>
      </c>
      <c r="Q545" s="3" t="inlineStr">
        <is>
          <t>当前无补充材料原件；沿用既有缺失/无附件证据，不据此认定无附件</t>
        </is>
      </c>
      <c r="R545" s="3" t="inlineStr"/>
      <c r="S545" s="3" t="inlineStr"/>
      <c r="T545" s="3" t="inlineStr"/>
      <c r="U545" s="3" t="inlineStr"/>
      <c r="V545" s="3" t="inlineStr">
        <is>
          <t>不适用</t>
        </is>
      </c>
      <c r="W545" s="3" t="inlineStr">
        <is>
          <t>不适用</t>
        </is>
      </c>
      <c r="X545" s="3" t="inlineStr">
        <is>
          <t>不适用</t>
        </is>
      </c>
      <c r="Y545" s="3" t="inlineStr"/>
      <c r="Z545" s="3" t="inlineStr">
        <is>
          <t>https://api.crossref.org/works/10.1109/icmree.2013.6893662</t>
        </is>
      </c>
      <c r="AA545" s="3" t="inlineStr">
        <is>
          <t>非目标期刊论文或类型待核实，不进入JCR分母</t>
        </is>
      </c>
      <c r="AB545" s="3" t="inlineStr">
        <is>
          <t>original_files/R13963/fulltext/fulltext__published__f9ae26e34ee8cdcc.pdf</t>
        </is>
      </c>
      <c r="AC545" s="3" t="inlineStr"/>
      <c r="AD545" s="3" t="inlineStr">
        <is>
          <t>https://github.com/Colliam-Vermilion/FirstCodex/blob/results/ad-oxygen-literature-20261006/results/ad-oxygen-literature-20261006/original_files/R13963/fulltext/fulltext__published__f9ae26e34ee8cdcc.pdf</t>
        </is>
      </c>
    </row>
    <row r="546" ht="48" customHeight="1">
      <c r="A546" s="2" t="inlineStr">
        <is>
          <t>R13964</t>
        </is>
      </c>
      <c r="B546" s="2" t="inlineStr">
        <is>
          <t>Hydrogen sulphide management in anaerobic digestion: A critical review on input control, process regulation, and post-treatment</t>
        </is>
      </c>
      <c r="C546" s="2" t="inlineStr">
        <is>
          <t>2022</t>
        </is>
      </c>
      <c r="D546" s="2" t="inlineStr">
        <is>
          <t>2022</t>
        </is>
      </c>
      <c r="E546" s="2" t="inlineStr">
        <is>
          <t>10.1016/j.biortech.2021.126634</t>
        </is>
      </c>
      <c r="F546" s="2" t="inlineStr">
        <is>
          <t>期刊综述</t>
        </is>
      </c>
      <c r="G546" s="2" t="inlineStr">
        <is>
          <t>4 综述</t>
        </is>
      </c>
      <c r="H546" s="2" t="inlineStr">
        <is>
          <t>是</t>
        </is>
      </c>
      <c r="I546" s="2" t="inlineStr">
        <is>
          <t>综述</t>
        </is>
      </c>
      <c r="J546" s="2" t="inlineStr">
        <is>
          <t>是</t>
        </is>
      </c>
      <c r="K546" s="2" t="inlineStr">
        <is>
          <t>BIORESOURCE TECHNOLOGY</t>
        </is>
      </c>
      <c r="L546" s="2" t="inlineStr">
        <is>
          <t>Bioresource Technology</t>
        </is>
      </c>
      <c r="M546" s="2" t="inlineStr">
        <is>
          <t>0960-8524</t>
        </is>
      </c>
      <c r="N546" s="2" t="inlineStr"/>
      <c r="O546" s="2" t="inlineStr">
        <is>
          <t>已取得核验全文</t>
        </is>
      </c>
      <c r="P546" s="2" t="inlineStr">
        <is>
          <t>是</t>
        </is>
      </c>
      <c r="Q546" s="2" t="inlineStr">
        <is>
          <t>当前无补充材料原件；沿用既有缺失/无附件证据，不据此认定无附件</t>
        </is>
      </c>
      <c r="R546" s="2" t="n">
        <v>2024</v>
      </c>
      <c r="S546" s="2" t="inlineStr">
        <is>
          <t>2025发布版（2024指标年）</t>
        </is>
      </c>
      <c r="T546" s="2" t="inlineStr">
        <is>
          <t>AGRICULTURAL ENGINEERING; BIOTECHNOLOGY &amp; APPLIED MICROBIOLOGY; ENERGY &amp; FUELS</t>
        </is>
      </c>
      <c r="U546" s="2" t="inlineStr">
        <is>
          <t>AGRICULTURAL ENGINEERING: Q1; BIOTECHNOLOGY &amp; APPLIED MICROBIOLOGY: Q1; ENERGY &amp; FUELS: Q1</t>
        </is>
      </c>
      <c r="V546" s="4" t="inlineStr">
        <is>
          <t>是</t>
        </is>
      </c>
      <c r="W546" s="4" t="inlineStr">
        <is>
          <t>是</t>
        </is>
      </c>
      <c r="X546" s="2" t="inlineStr">
        <is>
          <t>是</t>
        </is>
      </c>
      <c r="Y546" s="2" t="inlineStr">
        <is>
          <t>https://topj.lib.whu.edu.cn/show.asp?cat=zk&amp;id=3976</t>
        </is>
      </c>
      <c r="Z546" s="2" t="inlineStr">
        <is>
          <t>https://api.crossref.org/works/10.1016/j.biortech.2021.126634</t>
        </is>
      </c>
      <c r="AA546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46" s="2" t="inlineStr">
        <is>
          <t>original_files/R13964/fulltext/fulltext__published__68e01e692e7a2544.pdf</t>
        </is>
      </c>
      <c r="AC546" s="2" t="inlineStr"/>
      <c r="AD546" s="2" t="inlineStr">
        <is>
          <t>https://github.com/Colliam-Vermilion/FirstCodex/blob/results/ad-oxygen-literature-20261006/results/ad-oxygen-literature-20261006/original_files/R13964/fulltext/fulltext__published__68e01e692e7a2544.pdf</t>
        </is>
      </c>
    </row>
    <row r="547" ht="48" customHeight="1">
      <c r="A547" s="3" t="inlineStr">
        <is>
          <t>R13965</t>
        </is>
      </c>
      <c r="B547" s="3" t="inlineStr">
        <is>
          <t>Investigating the Anaerobic Digestion of Water Hyacinth (Eichhornia crassipes) Sourced from Hartbeespoort Dam in South Africa</t>
        </is>
      </c>
      <c r="C547" s="3" t="inlineStr">
        <is>
          <t>2023</t>
        </is>
      </c>
      <c r="D547" s="3" t="inlineStr">
        <is>
          <t>2023</t>
        </is>
      </c>
      <c r="E547" s="3" t="inlineStr">
        <is>
          <t>10.3390/fermentation9070685</t>
        </is>
      </c>
      <c r="F547" s="3" t="inlineStr">
        <is>
          <t>期刊原始研究</t>
        </is>
      </c>
      <c r="G547" s="3" t="inlineStr">
        <is>
          <t>3 独立好氧或微好氧预处理</t>
        </is>
      </c>
      <c r="H547" s="3" t="inlineStr">
        <is>
          <t>是</t>
        </is>
      </c>
      <c r="I547" s="3" t="inlineStr">
        <is>
          <t>研究类</t>
        </is>
      </c>
      <c r="J547" s="3" t="inlineStr">
        <is>
          <t>是</t>
        </is>
      </c>
      <c r="K547" s="3" t="inlineStr">
        <is>
          <t>Fermentation</t>
        </is>
      </c>
      <c r="L547" s="3" t="inlineStr">
        <is>
          <t>Fermentation</t>
        </is>
      </c>
      <c r="M547" s="3" t="inlineStr"/>
      <c r="N547" s="3" t="inlineStr">
        <is>
          <t>2311-5637</t>
        </is>
      </c>
      <c r="O547" s="3" t="inlineStr">
        <is>
          <t>已取得核验全文</t>
        </is>
      </c>
      <c r="P547" s="3" t="inlineStr">
        <is>
          <t>是</t>
        </is>
      </c>
      <c r="Q547" s="3" t="inlineStr">
        <is>
          <t>当前无补充材料原件；沿用既有缺失/无附件证据，不据此认定无附件</t>
        </is>
      </c>
      <c r="R547" s="3" t="n">
        <v>2024</v>
      </c>
      <c r="S547" s="3" t="inlineStr">
        <is>
          <t>2025发布版（2024指标年）</t>
        </is>
      </c>
      <c r="T547" s="3" t="inlineStr"/>
      <c r="U547" s="3" t="inlineStr"/>
      <c r="V547" s="3" t="inlineStr">
        <is>
          <t>待核实</t>
        </is>
      </c>
      <c r="W547" s="3" t="inlineStr">
        <is>
          <t>待核实</t>
        </is>
      </c>
      <c r="X547" s="3" t="inlineStr">
        <is>
          <t>否</t>
        </is>
      </c>
      <c r="Y547" s="3" t="inlineStr"/>
      <c r="Z547" s="3" t="inlineStr">
        <is>
          <t>https://api.crossref.org/works/10.3390/fermentation9070685</t>
        </is>
      </c>
      <c r="AA547" s="3" t="inlineStr">
        <is>
          <t>2024指标年JCR分区未核实；空白不能当非Q1。需要2025发布版/2024指标年的JCR全部学科导出。</t>
        </is>
      </c>
      <c r="AB547" s="3" t="inlineStr">
        <is>
          <t>original_files/R13965/fulltext/fulltext__published__4b881bf9f0bde719.pdf</t>
        </is>
      </c>
      <c r="AC547" s="3" t="inlineStr"/>
      <c r="AD547" s="3" t="inlineStr">
        <is>
          <t>https://github.com/Colliam-Vermilion/FirstCodex/blob/results/ad-oxygen-literature-20261006/results/ad-oxygen-literature-20261006/original_files/R13965/fulltext/fulltext__published__4b881bf9f0bde719.pdf</t>
        </is>
      </c>
    </row>
    <row r="548" ht="48" customHeight="1">
      <c r="A548" s="2" t="inlineStr">
        <is>
          <t>R13966</t>
        </is>
      </c>
      <c r="B548" s="2" t="inlineStr">
        <is>
          <t>Recent Progress on Dry Anaerobic Digestion of Organic Solid Wastes: Achievements and Challenges</t>
        </is>
      </c>
      <c r="C548" s="2" t="inlineStr">
        <is>
          <t>2015</t>
        </is>
      </c>
      <c r="D548" s="2" t="inlineStr">
        <is>
          <t>2015</t>
        </is>
      </c>
      <c r="E548" s="2" t="inlineStr">
        <is>
          <t>10.2174/1385272819666150119222633</t>
        </is>
      </c>
      <c r="F548" s="2" t="inlineStr">
        <is>
          <t>期刊综述</t>
        </is>
      </c>
      <c r="G548" s="2" t="inlineStr">
        <is>
          <t>4 综述</t>
        </is>
      </c>
      <c r="H548" s="2" t="inlineStr">
        <is>
          <t>是</t>
        </is>
      </c>
      <c r="I548" s="2" t="inlineStr">
        <is>
          <t>综述</t>
        </is>
      </c>
      <c r="J548" s="2" t="inlineStr">
        <is>
          <t>是</t>
        </is>
      </c>
      <c r="K548" s="2" t="inlineStr">
        <is>
          <t>Current Organic Chemistry</t>
        </is>
      </c>
      <c r="L548" s="2" t="inlineStr">
        <is>
          <t>Current Organic Chemistry</t>
        </is>
      </c>
      <c r="M548" s="2" t="inlineStr">
        <is>
          <t>1385-2728</t>
        </is>
      </c>
      <c r="N548" s="2" t="inlineStr"/>
      <c r="O548" s="2" t="inlineStr">
        <is>
          <t>已取得核验全文</t>
        </is>
      </c>
      <c r="P548" s="2" t="inlineStr">
        <is>
          <t>是</t>
        </is>
      </c>
      <c r="Q548" s="2" t="inlineStr">
        <is>
          <t>当前无补充材料原件；沿用既有缺失/无附件证据，不据此认定无附件</t>
        </is>
      </c>
      <c r="R548" s="2" t="n">
        <v>2024</v>
      </c>
      <c r="S548" s="2" t="inlineStr">
        <is>
          <t>2025发布版（2024指标年）</t>
        </is>
      </c>
      <c r="T548" s="2" t="inlineStr"/>
      <c r="U548" s="2" t="inlineStr"/>
      <c r="V548" s="2" t="inlineStr">
        <is>
          <t>待核实</t>
        </is>
      </c>
      <c r="W548" s="2" t="inlineStr">
        <is>
          <t>待核实</t>
        </is>
      </c>
      <c r="X548" s="2" t="inlineStr">
        <is>
          <t>否</t>
        </is>
      </c>
      <c r="Y548" s="2" t="inlineStr"/>
      <c r="Z548" s="2" t="inlineStr">
        <is>
          <t>https://api.crossref.org/works/10.2174/1385272819666150119222633</t>
        </is>
      </c>
      <c r="AA548" s="2" t="inlineStr">
        <is>
          <t>2024指标年JCR分区未核实；空白不能当非Q1。需要2025发布版/2024指标年的JCR全部学科导出。</t>
        </is>
      </c>
      <c r="AB548" s="2" t="inlineStr">
        <is>
          <t>original_files/R13966/fulltext/fulltext__version_unverified__122a9569f31981ee.pdf</t>
        </is>
      </c>
      <c r="AC548" s="2" t="inlineStr"/>
      <c r="AD548" s="2" t="inlineStr">
        <is>
          <t>https://github.com/Colliam-Vermilion/FirstCodex/blob/results/ad-oxygen-literature-20261006/results/ad-oxygen-literature-20261006/original_files/R13966/fulltext/fulltext__version_unverified__122a9569f31981ee.pdf</t>
        </is>
      </c>
    </row>
    <row r="549" ht="48" customHeight="1">
      <c r="A549" s="3" t="inlineStr">
        <is>
          <t>R13967</t>
        </is>
      </c>
      <c r="B549" s="3" t="inlineStr">
        <is>
          <t>An Improved Biomass Waste Anaerobic Degradation Technology for Producing Bio-gas Energy and Bio-fertilizers</t>
        </is>
      </c>
      <c r="C549" s="3" t="inlineStr">
        <is>
          <t>2012</t>
        </is>
      </c>
      <c r="D549" s="3" t="inlineStr">
        <is>
          <t>2012</t>
        </is>
      </c>
      <c r="E549" s="3" t="inlineStr"/>
      <c r="F549" s="3" t="inlineStr">
        <is>
          <t>会议论文/会议资料（单列）</t>
        </is>
      </c>
      <c r="G549" s="3" t="inlineStr">
        <is>
          <t>3 独立好氧或微好氧预处理</t>
        </is>
      </c>
      <c r="H549" s="3" t="inlineStr">
        <is>
          <t>是</t>
        </is>
      </c>
      <c r="I549" s="3" t="inlineStr">
        <is>
          <t>会议/非期刊</t>
        </is>
      </c>
      <c r="J549" s="3" t="inlineStr">
        <is>
          <t>否</t>
        </is>
      </c>
      <c r="K549" s="3" t="inlineStr"/>
      <c r="L549" s="3" t="inlineStr"/>
      <c r="M549" s="3" t="inlineStr"/>
      <c r="N549" s="3" t="inlineStr"/>
      <c r="O549" s="3" t="inlineStr">
        <is>
          <t>已取得核验全文</t>
        </is>
      </c>
      <c r="P549" s="3" t="inlineStr">
        <is>
          <t>是</t>
        </is>
      </c>
      <c r="Q549" s="3" t="inlineStr">
        <is>
          <t>当前无补充材料原件；沿用既有缺失/无附件证据，不据此认定无附件</t>
        </is>
      </c>
      <c r="R549" s="3" t="inlineStr"/>
      <c r="S549" s="3" t="inlineStr"/>
      <c r="T549" s="3" t="inlineStr"/>
      <c r="U549" s="3" t="inlineStr"/>
      <c r="V549" s="3" t="inlineStr">
        <is>
          <t>不适用</t>
        </is>
      </c>
      <c r="W549" s="3" t="inlineStr">
        <is>
          <t>不适用</t>
        </is>
      </c>
      <c r="X549" s="3" t="inlineStr">
        <is>
          <t>不适用</t>
        </is>
      </c>
      <c r="Y549" s="3" t="inlineStr"/>
      <c r="Z549" s="3" t="inlineStr"/>
      <c r="AA549" s="3" t="inlineStr">
        <is>
          <t>非目标期刊论文或类型待核实，不进入JCR分母</t>
        </is>
      </c>
      <c r="AB549" s="3" t="inlineStr">
        <is>
          <t>original_files/R13967/fulltext/fulltext__published__5e9f84dbaf01dd19.pdf</t>
        </is>
      </c>
      <c r="AC549" s="3" t="inlineStr"/>
      <c r="AD549" s="3" t="inlineStr">
        <is>
          <t>https://github.com/Colliam-Vermilion/FirstCodex/blob/results/ad-oxygen-literature-20261006/results/ad-oxygen-literature-20261006/original_files/R13967/fulltext/fulltext__published__5e9f84dbaf01dd19.pdf</t>
        </is>
      </c>
    </row>
    <row r="550" ht="48" customHeight="1">
      <c r="A550" s="2" t="inlineStr">
        <is>
          <t>R13968</t>
        </is>
      </c>
      <c r="B550" s="2" t="inlineStr">
        <is>
          <t>Enhancement of separate hydrogen and methane production from ethanol wastewater by Microaeration</t>
        </is>
      </c>
      <c r="C550" s="2" t="inlineStr"/>
      <c r="D550" s="2" t="inlineStr"/>
      <c r="E550" s="2" t="inlineStr">
        <is>
          <t>10.58837/chula.the.2015.1957</t>
        </is>
      </c>
      <c r="F550" s="2" t="inlineStr">
        <is>
          <t>学位论文（目录/摘要依据；详细授予信息待核验）</t>
        </is>
      </c>
      <c r="G550" s="2" t="inlineStr">
        <is>
          <t>1 直接向 AD 反应器或内部循环系统供氧</t>
        </is>
      </c>
      <c r="H550" s="2" t="inlineStr">
        <is>
          <t>是</t>
        </is>
      </c>
      <c r="I550" s="2" t="inlineStr">
        <is>
          <t>学位/学生报告</t>
        </is>
      </c>
      <c r="J550" s="2" t="inlineStr">
        <is>
          <t>否</t>
        </is>
      </c>
      <c r="K550" s="2" t="inlineStr"/>
      <c r="L550" s="2" t="inlineStr"/>
      <c r="M550" s="2" t="inlineStr"/>
      <c r="N550" s="2" t="inlineStr"/>
      <c r="O550" s="2" t="inlineStr">
        <is>
          <t>已取得核验全文</t>
        </is>
      </c>
      <c r="P550" s="2" t="inlineStr">
        <is>
          <t>是</t>
        </is>
      </c>
      <c r="Q550" s="2" t="inlineStr">
        <is>
          <t>当前无补充材料原件；沿用既有缺失/无附件证据，不据此认定无附件</t>
        </is>
      </c>
      <c r="R550" s="2" t="inlineStr"/>
      <c r="S550" s="2" t="inlineStr"/>
      <c r="T550" s="2" t="inlineStr"/>
      <c r="U550" s="2" t="inlineStr"/>
      <c r="V550" s="2" t="inlineStr">
        <is>
          <t>不适用</t>
        </is>
      </c>
      <c r="W550" s="2" t="inlineStr">
        <is>
          <t>不适用</t>
        </is>
      </c>
      <c r="X550" s="2" t="inlineStr">
        <is>
          <t>不适用</t>
        </is>
      </c>
      <c r="Y550" s="2" t="inlineStr"/>
      <c r="Z550" s="2" t="inlineStr">
        <is>
          <t>https://api.crossref.org/works/10.58837/chula.the.2015.1957</t>
        </is>
      </c>
      <c r="AA550" s="2" t="inlineStr">
        <is>
          <t>非目标期刊论文或类型待核实，不进入JCR分母</t>
        </is>
      </c>
      <c r="AB550" s="2" t="inlineStr">
        <is>
          <t>original_files/R13968/fulltext/fulltext__thesis__a98ded9fe4a3b73c.pdf; original_files/R13968/fulltext/fulltext__thesis__ed6af2c70fa34cca.pdf; original_files/R13968/fulltext/fulltext__thesis__db164a7cb44673e9.pdf; original_files/R13968/fulltext/fulltext__thesis__a58d9c0c6dccab4f.pdf; original_files/R13968/fulltext/fulltext__thesis__31fee06cf27de2a2.pdf; original_files/R13968/fulltext/fulltext__thesis__a97b06850912d4a8.pdf; original_files/R13968/fulltext/fulltext__thesis__1eeabd66eb09e704.pdf</t>
        </is>
      </c>
      <c r="AC550" s="2" t="inlineStr"/>
      <c r="AD550" s="2" t="inlineStr">
        <is>
          <t>https://github.com/Colliam-Vermilion/FirstCodex/blob/results/ad-oxygen-literature-20261006/results/ad-oxygen-literature-20261006/original_files/R13968/fulltext/fulltext__thesis__a98ded9fe4a3b73c.pdf; https://github.com/Colliam-Vermilion/FirstCodex/blob/results/ad-oxygen-literature-20261006/results/ad-oxygen-literature-20261006/original_files/R13968/fulltext/fulltext__thesis__ed6af2c70fa34cca.pdf; https://github.com/Colliam-Vermilion/FirstCodex/blob/results/ad-oxygen-literature-20261006/results/ad-oxygen-literature-20261006/original_files/R13968/fulltext/fulltext__thesis__db164a7cb44673e9.pdf; https://github.com/Colliam-Vermilion/FirstCodex/blob/results/ad-oxygen-literature-20261006/results/ad-oxygen-literature-20261006/original_files/R13968/fulltext/fulltext__thesis__a58d9c0c6dccab4f.pdf; https://github.com/Colliam-Vermilion/FirstCodex/blob/results/ad-oxygen-literature-20261006/results/ad-oxygen-literature-20261006/original_files/R13968/fulltext/fulltext__thesis__31fee06cf27de2a2.pdf; https://github.com/Colliam-Vermilion/FirstCodex/blob/results/ad-oxygen-literature-20261006/results/ad-oxygen-literature-20261006/original_files/R13968/fulltext/fulltext__thesis__a97b06850912d4a8.pdf; https://github.com/Colliam-Vermilion/FirstCodex/blob/results/ad-oxygen-literature-20261006/results/ad-oxygen-literature-20261006/original_files/R13968/fulltext/fulltext__thesis__1eeabd66eb09e704.pdf</t>
        </is>
      </c>
    </row>
    <row r="551" ht="48" customHeight="1">
      <c r="A551" s="3" t="inlineStr">
        <is>
          <t>R13969</t>
        </is>
      </c>
      <c r="B551" s="3" t="inlineStr">
        <is>
          <t>Effects of microaeration on hydrogen and methane production from cassava wastewater using a two-stage UASB system</t>
        </is>
      </c>
      <c r="C551" s="3" t="inlineStr"/>
      <c r="D551" s="3" t="inlineStr"/>
      <c r="E551" s="3" t="inlineStr">
        <is>
          <t>10.58837/chula.the.2015.1953</t>
        </is>
      </c>
      <c r="F551" s="3" t="inlineStr">
        <is>
          <t>学位论文（目录/摘要依据；详细授予信息待核验）</t>
        </is>
      </c>
      <c r="G551" s="3" t="inlineStr">
        <is>
          <t>1 直接向 AD 反应器或内部循环系统供氧</t>
        </is>
      </c>
      <c r="H551" s="3" t="inlineStr">
        <is>
          <t>是</t>
        </is>
      </c>
      <c r="I551" s="3" t="inlineStr">
        <is>
          <t>学位/学生报告</t>
        </is>
      </c>
      <c r="J551" s="3" t="inlineStr">
        <is>
          <t>否</t>
        </is>
      </c>
      <c r="K551" s="3" t="inlineStr"/>
      <c r="L551" s="3" t="inlineStr"/>
      <c r="M551" s="3" t="inlineStr"/>
      <c r="N551" s="3" t="inlineStr"/>
      <c r="O551" s="3" t="inlineStr">
        <is>
          <t>已取得核验全文</t>
        </is>
      </c>
      <c r="P551" s="3" t="inlineStr">
        <is>
          <t>是</t>
        </is>
      </c>
      <c r="Q551" s="3" t="inlineStr">
        <is>
          <t>当前无补充材料原件；沿用既有缺失/无附件证据，不据此认定无附件</t>
        </is>
      </c>
      <c r="R551" s="3" t="inlineStr"/>
      <c r="S551" s="3" t="inlineStr"/>
      <c r="T551" s="3" t="inlineStr"/>
      <c r="U551" s="3" t="inlineStr"/>
      <c r="V551" s="3" t="inlineStr">
        <is>
          <t>不适用</t>
        </is>
      </c>
      <c r="W551" s="3" t="inlineStr">
        <is>
          <t>不适用</t>
        </is>
      </c>
      <c r="X551" s="3" t="inlineStr">
        <is>
          <t>不适用</t>
        </is>
      </c>
      <c r="Y551" s="3" t="inlineStr"/>
      <c r="Z551" s="3" t="inlineStr">
        <is>
          <t>https://api.crossref.org/works/10.58837/chula.the.2015.1953</t>
        </is>
      </c>
      <c r="AA551" s="3" t="inlineStr">
        <is>
          <t>非目标期刊论文或类型待核实，不进入JCR分母</t>
        </is>
      </c>
      <c r="AB551" s="3" t="inlineStr">
        <is>
          <t>original_files/R13969/fulltext/fulltext__thesis__82240174e4cc091f.pdf; original_files/R13969/fulltext/fulltext__thesis__239995a5c23d7580.pdf; original_files/R13969/fulltext/fulltext__thesis__e243a1071df26efb.pdf; original_files/R13969/fulltext/fulltext__thesis__32ca8cbb364b193d.pdf; original_files/R13969/fulltext/fulltext__thesis__61359ef0b77b9afe.pdf; original_files/R13969/fulltext/fulltext__thesis__546cae968d98e8de.pdf; original_files/R13969/fulltext/fulltext__thesis__cd34536c2889613d.pdf</t>
        </is>
      </c>
      <c r="AC551" s="3" t="inlineStr"/>
      <c r="AD551" s="3" t="inlineStr">
        <is>
          <t>https://github.com/Colliam-Vermilion/FirstCodex/blob/results/ad-oxygen-literature-20261006/results/ad-oxygen-literature-20261006/original_files/R13969/fulltext/fulltext__thesis__82240174e4cc091f.pdf; https://github.com/Colliam-Vermilion/FirstCodex/blob/results/ad-oxygen-literature-20261006/results/ad-oxygen-literature-20261006/original_files/R13969/fulltext/fulltext__thesis__239995a5c23d7580.pdf; https://github.com/Colliam-Vermilion/FirstCodex/blob/results/ad-oxygen-literature-20261006/results/ad-oxygen-literature-20261006/original_files/R13969/fulltext/fulltext__thesis__e243a1071df26efb.pdf; https://github.com/Colliam-Vermilion/FirstCodex/blob/results/ad-oxygen-literature-20261006/results/ad-oxygen-literature-20261006/original_files/R13969/fulltext/fulltext__thesis__32ca8cbb364b193d.pdf; https://github.com/Colliam-Vermilion/FirstCodex/blob/results/ad-oxygen-literature-20261006/results/ad-oxygen-literature-20261006/original_files/R13969/fulltext/fulltext__thesis__61359ef0b77b9afe.pdf; https://github.com/Colliam-Vermilion/FirstCodex/blob/results/ad-oxygen-literature-20261006/results/ad-oxygen-literature-20261006/original_files/R13969/fulltext/fulltext__thesis__546cae968d98e8de.pdf; https://github.com/Colliam-Vermilion/FirstCodex/blob/results/ad-oxygen-literature-20261006/results/ad-oxygen-literature-20261006/original_files/R13969/fulltext/fulltext__thesis__cd34536c2889613d.pdf</t>
        </is>
      </c>
    </row>
    <row r="552" ht="48" customHeight="1">
      <c r="A552" s="2" t="inlineStr">
        <is>
          <t>R13970</t>
        </is>
      </c>
      <c r="B552" s="2" t="inlineStr">
        <is>
          <t>Anaerobic and microaerobic treatment of synthetic BTEX contaminated waters</t>
        </is>
      </c>
      <c r="C552" s="2" t="inlineStr"/>
      <c r="D552" s="2" t="inlineStr"/>
      <c r="E552" s="2" t="inlineStr"/>
      <c r="F552" s="2" t="inlineStr">
        <is>
          <t>学位论文（目录/摘要依据；详细授予信息待核验）</t>
        </is>
      </c>
      <c r="G552" s="2" t="inlineStr">
        <is>
          <t>1 直接向 AD 反应器或内部循环系统供氧</t>
        </is>
      </c>
      <c r="H552" s="2" t="inlineStr">
        <is>
          <t>是</t>
        </is>
      </c>
      <c r="I552" s="2" t="inlineStr">
        <is>
          <t>学位/学生报告</t>
        </is>
      </c>
      <c r="J552" s="2" t="inlineStr">
        <is>
          <t>否</t>
        </is>
      </c>
      <c r="K552" s="2" t="inlineStr"/>
      <c r="L552" s="2" t="inlineStr"/>
      <c r="M552" s="2" t="inlineStr"/>
      <c r="N552" s="2" t="inlineStr"/>
      <c r="O552" s="2" t="inlineStr">
        <is>
          <t>未取得全文</t>
        </is>
      </c>
      <c r="P552" s="2" t="inlineStr">
        <is>
          <t>否</t>
        </is>
      </c>
      <c r="Q552" s="2" t="inlineStr">
        <is>
          <t>当前无补充材料原件；沿用既有缺失/无附件证据，不据此认定无附件</t>
        </is>
      </c>
      <c r="R552" s="2" t="inlineStr"/>
      <c r="S552" s="2" t="inlineStr"/>
      <c r="T552" s="2" t="inlineStr"/>
      <c r="U552" s="2" t="inlineStr"/>
      <c r="V552" s="2" t="inlineStr">
        <is>
          <t>不适用</t>
        </is>
      </c>
      <c r="W552" s="2" t="inlineStr">
        <is>
          <t>不适用</t>
        </is>
      </c>
      <c r="X552" s="2" t="inlineStr">
        <is>
          <t>不适用</t>
        </is>
      </c>
      <c r="Y552" s="2" t="inlineStr"/>
      <c r="Z552" s="2" t="inlineStr"/>
      <c r="AA552" s="2" t="inlineStr">
        <is>
          <t>非目标期刊论文或类型待核实，不进入JCR分母</t>
        </is>
      </c>
      <c r="AB552" s="2" t="inlineStr"/>
      <c r="AC552" s="2" t="inlineStr"/>
      <c r="AD552" s="2" t="inlineStr"/>
    </row>
    <row r="553" ht="48" customHeight="1">
      <c r="A553" s="3" t="inlineStr">
        <is>
          <t>R13971</t>
        </is>
      </c>
      <c r="B553" s="3" t="inlineStr">
        <is>
          <t>Evaluation of the removal of emergent micropollutants and nitrogen in anaerobic and microaerobic systems followed by percolating biological filters subjected to natural and forced aeration</t>
        </is>
      </c>
      <c r="C553" s="3" t="inlineStr"/>
      <c r="D553" s="3" t="inlineStr"/>
      <c r="E553" s="3" t="inlineStr"/>
      <c r="F553" s="3" t="inlineStr">
        <is>
          <t>学位论文（目录/摘要依据；详细授予信息待核验）</t>
        </is>
      </c>
      <c r="G553" s="3" t="inlineStr">
        <is>
          <t>1 直接向 AD 反应器或内部循环系统供氧</t>
        </is>
      </c>
      <c r="H553" s="3" t="inlineStr">
        <is>
          <t>是</t>
        </is>
      </c>
      <c r="I553" s="3" t="inlineStr">
        <is>
          <t>学位/学生报告</t>
        </is>
      </c>
      <c r="J553" s="3" t="inlineStr">
        <is>
          <t>否</t>
        </is>
      </c>
      <c r="K553" s="3" t="inlineStr"/>
      <c r="L553" s="3" t="inlineStr"/>
      <c r="M553" s="3" t="inlineStr"/>
      <c r="N553" s="3" t="inlineStr"/>
      <c r="O553" s="3" t="inlineStr">
        <is>
          <t>未取得全文</t>
        </is>
      </c>
      <c r="P553" s="3" t="inlineStr">
        <is>
          <t>否</t>
        </is>
      </c>
      <c r="Q553" s="3" t="inlineStr">
        <is>
          <t>当前无补充材料原件；沿用既有缺失/无附件证据，不据此认定无附件</t>
        </is>
      </c>
      <c r="R553" s="3" t="inlineStr"/>
      <c r="S553" s="3" t="inlineStr"/>
      <c r="T553" s="3" t="inlineStr"/>
      <c r="U553" s="3" t="inlineStr"/>
      <c r="V553" s="3" t="inlineStr">
        <is>
          <t>不适用</t>
        </is>
      </c>
      <c r="W553" s="3" t="inlineStr">
        <is>
          <t>不适用</t>
        </is>
      </c>
      <c r="X553" s="3" t="inlineStr">
        <is>
          <t>不适用</t>
        </is>
      </c>
      <c r="Y553" s="3" t="inlineStr"/>
      <c r="Z553" s="3" t="inlineStr"/>
      <c r="AA553" s="3" t="inlineStr">
        <is>
          <t>非目标期刊论文或类型待核实，不进入JCR分母</t>
        </is>
      </c>
      <c r="AB553" s="3" t="inlineStr"/>
      <c r="AC553" s="3" t="inlineStr"/>
      <c r="AD553" s="3" t="inlineStr"/>
    </row>
    <row r="554" ht="48" customHeight="1">
      <c r="A554" s="2" t="inlineStr">
        <is>
          <t>R13972</t>
        </is>
      </c>
      <c r="B554" s="2" t="inlineStr">
        <is>
          <t>Enhancing methane production of anaerobic digested sewage sludge by advanced wet oxidation &amp; steam explosion pretreatment</t>
        </is>
      </c>
      <c r="C554" s="2" t="inlineStr">
        <is>
          <t>2022</t>
        </is>
      </c>
      <c r="D554" s="2" t="inlineStr">
        <is>
          <t>2022</t>
        </is>
      </c>
      <c r="E554" s="2" t="inlineStr">
        <is>
          <t>10.1016/j.eti.2022.102923</t>
        </is>
      </c>
      <c r="F554" s="2" t="inlineStr">
        <is>
          <t>期刊原始研究</t>
        </is>
      </c>
      <c r="G554" s="2" t="inlineStr">
        <is>
          <t>3 独立好氧或微好氧预处理</t>
        </is>
      </c>
      <c r="H554" s="2" t="inlineStr">
        <is>
          <t>是</t>
        </is>
      </c>
      <c r="I554" s="2" t="inlineStr">
        <is>
          <t>研究类</t>
        </is>
      </c>
      <c r="J554" s="2" t="inlineStr">
        <is>
          <t>是</t>
        </is>
      </c>
      <c r="K554" s="2" t="inlineStr">
        <is>
          <t>Environmental Technology &amp; Innovation</t>
        </is>
      </c>
      <c r="L554" s="2" t="inlineStr">
        <is>
          <t>Environmental Technology &amp;amp; Innovation</t>
        </is>
      </c>
      <c r="M554" s="2" t="inlineStr">
        <is>
          <t>2352-1864</t>
        </is>
      </c>
      <c r="N554" s="2" t="inlineStr"/>
      <c r="O554" s="2" t="inlineStr">
        <is>
          <t>已取得核验全文</t>
        </is>
      </c>
      <c r="P554" s="2" t="inlineStr">
        <is>
          <t>是</t>
        </is>
      </c>
      <c r="Q554" s="2" t="inlineStr">
        <is>
          <t>当前无补充材料原件；沿用既有缺失/无附件证据，不据此认定无附件</t>
        </is>
      </c>
      <c r="R554" s="2" t="n">
        <v>2024</v>
      </c>
      <c r="S554" s="2" t="inlineStr">
        <is>
          <t>2025发布版（2024指标年）</t>
        </is>
      </c>
      <c r="T554" s="2" t="inlineStr">
        <is>
          <t>BIOTECHNOLOGY &amp; APPLIED MICROBIOLOGY; ENGINEERING, ENVIRONMENTAL; ENVIRONMENTAL SCIENCES</t>
        </is>
      </c>
      <c r="U554" s="2" t="inlineStr">
        <is>
          <t>BIOTECHNOLOGY &amp; APPLIED MICROBIOLOGY: Q1; ENGINEERING, ENVIRONMENTAL: Q1; ENVIRONMENTAL SCIENCES: Q1</t>
        </is>
      </c>
      <c r="V554" s="4" t="inlineStr">
        <is>
          <t>是</t>
        </is>
      </c>
      <c r="W554" s="4" t="inlineStr">
        <is>
          <t>是</t>
        </is>
      </c>
      <c r="X554" s="2" t="inlineStr">
        <is>
          <t>是</t>
        </is>
      </c>
      <c r="Y554" s="2" t="inlineStr">
        <is>
          <t>https://topj.lib.whu.edu.cn/show.asp?cat=zk&amp;id=4040</t>
        </is>
      </c>
      <c r="Z554" s="2" t="inlineStr">
        <is>
          <t>https://api.crossref.org/works/10.1016/j.eti.2022.102923</t>
        </is>
      </c>
      <c r="AA554" s="2" t="inlineStr">
        <is>
          <t>机构JCR栏：搜索索引可核验；原页面直连未成功；非Clarivate账户导出 | 全部Q1仅指本表全部已核实学科；无官方完整学科导出，不承诺没有未显示学科</t>
        </is>
      </c>
      <c r="AB554" s="2" t="inlineStr">
        <is>
          <t>original_files/R13972/fulltext/fulltext__published__5e28a259f16f5a00.pdf</t>
        </is>
      </c>
      <c r="AC554" s="2" t="inlineStr"/>
      <c r="AD554" s="2" t="inlineStr">
        <is>
          <t>https://github.com/Colliam-Vermilion/FirstCodex/blob/results/ad-oxygen-literature-20261006/results/ad-oxygen-literature-20261006/original_files/R13972/fulltext/fulltext__published__5e28a259f16f5a00.pdf</t>
        </is>
      </c>
    </row>
    <row r="555" ht="48" customHeight="1">
      <c r="A555" s="3" t="inlineStr">
        <is>
          <t>R13973</t>
        </is>
      </c>
      <c r="B555" s="3" t="inlineStr">
        <is>
          <t>Optimizing the anaerobic co-digestion of brown water and food waste for clean energy recovery, by phase separation and microaerotion : laboratory reactor performance and microbial community profiling</t>
        </is>
      </c>
      <c r="C555" s="3" t="inlineStr"/>
      <c r="D555" s="3" t="inlineStr"/>
      <c r="E555" s="3" t="inlineStr">
        <is>
          <t>10.32657/10356/65271</t>
        </is>
      </c>
      <c r="F555" s="3" t="inlineStr">
        <is>
          <t>学位论文（目录/摘要依据；详细授予信息待核验）</t>
        </is>
      </c>
      <c r="G555" s="3" t="inlineStr">
        <is>
          <t>1 直接向 AD 反应器或内部循环系统供氧</t>
        </is>
      </c>
      <c r="H555" s="3" t="inlineStr">
        <is>
          <t>是</t>
        </is>
      </c>
      <c r="I555" s="3" t="inlineStr">
        <is>
          <t>学位/学生报告</t>
        </is>
      </c>
      <c r="J555" s="3" t="inlineStr">
        <is>
          <t>否</t>
        </is>
      </c>
      <c r="K555" s="3" t="inlineStr"/>
      <c r="L555" s="3" t="inlineStr"/>
      <c r="M555" s="3" t="inlineStr"/>
      <c r="N555" s="3" t="inlineStr"/>
      <c r="O555" s="3" t="inlineStr">
        <is>
          <t>已取得核验全文</t>
        </is>
      </c>
      <c r="P555" s="3" t="inlineStr">
        <is>
          <t>是</t>
        </is>
      </c>
      <c r="Q555" s="3" t="inlineStr">
        <is>
          <t>当前无补充材料原件；沿用既有缺失/无附件证据，不据此认定无附件</t>
        </is>
      </c>
      <c r="R555" s="3" t="inlineStr"/>
      <c r="S555" s="3" t="inlineStr"/>
      <c r="T555" s="3" t="inlineStr"/>
      <c r="U555" s="3" t="inlineStr"/>
      <c r="V555" s="3" t="inlineStr">
        <is>
          <t>不适用</t>
        </is>
      </c>
      <c r="W555" s="3" t="inlineStr">
        <is>
          <t>不适用</t>
        </is>
      </c>
      <c r="X555" s="3" t="inlineStr">
        <is>
          <t>不适用</t>
        </is>
      </c>
      <c r="Y555" s="3" t="inlineStr"/>
      <c r="Z555" s="3" t="inlineStr">
        <is>
          <t>https://api.crossref.org/works/10.32657/10356/65271</t>
        </is>
      </c>
      <c r="AA555" s="3" t="inlineStr">
        <is>
          <t>非目标期刊论文或类型待核实，不进入JCR分母</t>
        </is>
      </c>
      <c r="AB555" s="3" t="inlineStr">
        <is>
          <t>original_files/R13973/fulltext/fulltext__thesis__fd2ff5b6b7fe8a44.pdf</t>
        </is>
      </c>
      <c r="AC555" s="3" t="inlineStr"/>
      <c r="AD555" s="3" t="inlineStr">
        <is>
          <t>https://github.com/Colliam-Vermilion/FirstCodex/blob/results/ad-oxygen-literature-20261006/results/ad-oxygen-literature-20261006/original_files/R13973/fulltext/fulltext__thesis__fd2ff5b6b7fe8a44.pdf</t>
        </is>
      </c>
    </row>
  </sheetData>
  <autoFilter ref="A1:AD5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  <col width="15" customWidth="1" min="9" max="9"/>
    <col width="15" customWidth="1" min="10" max="10"/>
    <col width="48" customWidth="1" min="11" max="11"/>
    <col width="48" customWidth="1" min="12" max="12"/>
    <col width="15" customWidth="1" min="13" max="13"/>
    <col width="15" customWidth="1" min="14" max="14"/>
    <col width="15" customWidth="1" min="15" max="15"/>
    <col width="48" customWidth="1" min="16" max="16"/>
    <col width="48" customWidth="1" min="17" max="17"/>
  </cols>
  <sheetData>
    <row r="1" ht="34" customHeight="1">
      <c r="A1" s="1" t="inlineStr">
        <is>
          <t>规范期刊</t>
        </is>
      </c>
      <c r="B1" s="1" t="inlineStr">
        <is>
          <t>ISSN</t>
        </is>
      </c>
      <c r="C1" s="1" t="inlineStr">
        <is>
          <t>eISSN</t>
        </is>
      </c>
      <c r="D1" s="1" t="inlineStr">
        <is>
          <t>纳入记录数</t>
        </is>
      </c>
      <c r="E1" s="1" t="inlineStr">
        <is>
          <t>已获取核验全文数</t>
        </is>
      </c>
      <c r="F1" s="1" t="inlineStr">
        <is>
          <t>研究类</t>
        </is>
      </c>
      <c r="G1" s="1" t="inlineStr">
        <is>
          <t>综述</t>
        </is>
      </c>
      <c r="H1" s="1" t="inlineStr">
        <is>
          <t>其他期刊论文</t>
        </is>
      </c>
      <c r="I1" s="1" t="inlineStr">
        <is>
          <t>JCR数据年份</t>
        </is>
      </c>
      <c r="J1" s="1" t="inlineStr">
        <is>
          <t>JCR发布版本</t>
        </is>
      </c>
      <c r="K1" s="1" t="inlineStr">
        <is>
          <t>学科类别</t>
        </is>
      </c>
      <c r="L1" s="1" t="inlineStr">
        <is>
          <t>分区逐学科</t>
        </is>
      </c>
      <c r="M1" s="1" t="inlineStr">
        <is>
          <t>至少一学科Q1</t>
        </is>
      </c>
      <c r="N1" s="1" t="inlineStr">
        <is>
          <t>全部已核实学科均Q1</t>
        </is>
      </c>
      <c r="O1" s="1" t="inlineStr">
        <is>
          <t>JCR核实</t>
        </is>
      </c>
      <c r="P1" s="1" t="inlineStr">
        <is>
          <t>查询来源</t>
        </is>
      </c>
      <c r="Q1" s="1" t="inlineStr">
        <is>
          <t>核验备注</t>
        </is>
      </c>
    </row>
    <row r="2" ht="38" customHeight="1">
      <c r="A2" s="2" t="inlineStr">
        <is>
          <t>BIORESOURCE TECHNOLOGY</t>
        </is>
      </c>
      <c r="B2" s="2" t="inlineStr">
        <is>
          <t>0960-8524</t>
        </is>
      </c>
      <c r="C2" s="2" t="inlineStr"/>
      <c r="D2" s="2" t="n">
        <v>82</v>
      </c>
      <c r="E2" s="2" t="n">
        <v>82</v>
      </c>
      <c r="F2" s="2" t="n">
        <v>76</v>
      </c>
      <c r="G2" s="2" t="n">
        <v>6</v>
      </c>
      <c r="H2" s="2" t="n">
        <v>0</v>
      </c>
      <c r="I2" s="2" t="n">
        <v>2024</v>
      </c>
      <c r="J2" s="2" t="n">
        <v>2025</v>
      </c>
      <c r="K2" s="2" t="inlineStr">
        <is>
          <t>AGRICULTURAL ENGINEERING; BIOTECHNOLOGY &amp; APPLIED MICROBIOLOGY; ENERGY &amp; FUELS</t>
        </is>
      </c>
      <c r="L2" s="2" t="inlineStr">
        <is>
          <t>AGRICULTURAL ENGINEERING: Q1; BIOTECHNOLOGY &amp; APPLIED MICROBIOLOGY: Q1; ENERGY &amp; FUELS: Q1</t>
        </is>
      </c>
      <c r="M2" s="4" t="inlineStr">
        <is>
          <t>是</t>
        </is>
      </c>
      <c r="N2" s="4" t="inlineStr">
        <is>
          <t>是</t>
        </is>
      </c>
      <c r="O2" s="2" t="inlineStr">
        <is>
          <t>是</t>
        </is>
      </c>
      <c r="P2" s="2" t="inlineStr">
        <is>
          <t>https://topj.lib.whu.edu.cn/show.asp?cat=zk&amp;id=3976</t>
        </is>
      </c>
      <c r="Q2" s="2" t="inlineStr">
        <is>
          <t>统一名称及印刷/电子ISSN并集；多学科按全部已核实行保留；未知不作非Q1；原期刊名异名见文献明细</t>
        </is>
      </c>
    </row>
    <row r="3" ht="38" customHeight="1">
      <c r="A3" s="3" t="inlineStr">
        <is>
          <t>Chemical Engineering Journal</t>
        </is>
      </c>
      <c r="B3" s="3" t="inlineStr">
        <is>
          <t>1385-8947</t>
        </is>
      </c>
      <c r="C3" s="3" t="inlineStr"/>
      <c r="D3" s="3" t="n">
        <v>19</v>
      </c>
      <c r="E3" s="3" t="n">
        <v>19</v>
      </c>
      <c r="F3" s="3" t="n">
        <v>19</v>
      </c>
      <c r="G3" s="3" t="n">
        <v>0</v>
      </c>
      <c r="H3" s="3" t="n">
        <v>0</v>
      </c>
      <c r="I3" s="3" t="n">
        <v>2024</v>
      </c>
      <c r="J3" s="3" t="n">
        <v>2025</v>
      </c>
      <c r="K3" s="3" t="inlineStr">
        <is>
          <t>ENGINEERING, CHEMICAL; ENGINEERING, ENVIRONMENTAL</t>
        </is>
      </c>
      <c r="L3" s="3" t="inlineStr">
        <is>
          <t>ENGINEERING, CHEMICAL: Q1; ENGINEERING, ENVIRONMENTAL: Q1</t>
        </is>
      </c>
      <c r="M3" s="4" t="inlineStr">
        <is>
          <t>是</t>
        </is>
      </c>
      <c r="N3" s="4" t="inlineStr">
        <is>
          <t>是</t>
        </is>
      </c>
      <c r="O3" s="3" t="inlineStr">
        <is>
          <t>是</t>
        </is>
      </c>
      <c r="P3" s="3" t="inlineStr">
        <is>
          <t>https://topj.lib.whu.edu.cn/show.asp?cat=zk&amp;id=2740</t>
        </is>
      </c>
      <c r="Q3" s="3" t="inlineStr">
        <is>
          <t>统一名称及印刷/电子ISSN并集；多学科按全部已核实行保留；未知不作非Q1；原期刊名异名见文献明细</t>
        </is>
      </c>
    </row>
    <row r="4" ht="38" customHeight="1">
      <c r="A4" s="2" t="inlineStr">
        <is>
          <t>Waste Management</t>
        </is>
      </c>
      <c r="B4" s="2" t="inlineStr">
        <is>
          <t>0956-053X</t>
        </is>
      </c>
      <c r="C4" s="2" t="inlineStr"/>
      <c r="D4" s="2" t="n">
        <v>16</v>
      </c>
      <c r="E4" s="2" t="n">
        <v>16</v>
      </c>
      <c r="F4" s="2" t="n">
        <v>15</v>
      </c>
      <c r="G4" s="2" t="n">
        <v>1</v>
      </c>
      <c r="H4" s="2" t="n">
        <v>0</v>
      </c>
      <c r="I4" s="2" t="n">
        <v>2024</v>
      </c>
      <c r="J4" s="2" t="n">
        <v>2025</v>
      </c>
      <c r="K4" s="2" t="inlineStr">
        <is>
          <t>ENGINEERING, ENVIRONMENTAL; ENVIRONMENTAL SCIENCES</t>
        </is>
      </c>
      <c r="L4" s="2" t="inlineStr">
        <is>
          <t>ENGINEERING, ENVIRONMENTAL: Q1; ENVIRONMENTAL SCIENCES: Q1</t>
        </is>
      </c>
      <c r="M4" s="4" t="inlineStr">
        <is>
          <t>是</t>
        </is>
      </c>
      <c r="N4" s="4" t="inlineStr">
        <is>
          <t>是</t>
        </is>
      </c>
      <c r="O4" s="2" t="inlineStr">
        <is>
          <t>是</t>
        </is>
      </c>
      <c r="P4" s="2" t="inlineStr">
        <is>
          <t>https://topj.lib.whu.edu.cn/show.asp?cat=zk&amp;id=4000</t>
        </is>
      </c>
      <c r="Q4" s="2" t="inlineStr">
        <is>
          <t>统一名称及印刷/电子ISSN并集；多学科按全部已核实行保留；未知不作非Q1；原期刊名异名见文献明细</t>
        </is>
      </c>
    </row>
    <row r="5" ht="38" customHeight="1">
      <c r="A5" s="3" t="inlineStr">
        <is>
          <t>WATER RESEARCH</t>
        </is>
      </c>
      <c r="B5" s="3" t="inlineStr">
        <is>
          <t>0043-1354</t>
        </is>
      </c>
      <c r="C5" s="3" t="inlineStr"/>
      <c r="D5" s="3" t="n">
        <v>12</v>
      </c>
      <c r="E5" s="3" t="n">
        <v>12</v>
      </c>
      <c r="F5" s="3" t="n">
        <v>11</v>
      </c>
      <c r="G5" s="3" t="n">
        <v>1</v>
      </c>
      <c r="H5" s="3" t="n">
        <v>0</v>
      </c>
      <c r="I5" s="3" t="n">
        <v>2024</v>
      </c>
      <c r="J5" s="3" t="n">
        <v>2025</v>
      </c>
      <c r="K5" s="3" t="inlineStr">
        <is>
          <t>WATER RESOURCES; ENGINEERING, ENVIRONMENTAL; ENVIRONMENTAL SCIENCES</t>
        </is>
      </c>
      <c r="L5" s="3" t="inlineStr">
        <is>
          <t>WATER RESOURCES: Q1; ENGINEERING, ENVIRONMENTAL: Q1; ENVIRONMENTAL SCIENCES: Q1</t>
        </is>
      </c>
      <c r="M5" s="4" t="inlineStr">
        <is>
          <t>是</t>
        </is>
      </c>
      <c r="N5" s="4" t="inlineStr">
        <is>
          <t>是</t>
        </is>
      </c>
      <c r="O5" s="3" t="inlineStr">
        <is>
          <t>是</t>
        </is>
      </c>
      <c r="P5" s="3" t="inlineStr">
        <is>
          <t>https://topj.lib.whu.edu.cn/show.asp?cat=zk&amp;id=3962</t>
        </is>
      </c>
      <c r="Q5" s="3" t="inlineStr">
        <is>
          <t>统一名称及印刷/电子ISSN并集；多学科按全部已核实行保留；未知不作非Q1；原期刊名异名见文献明细</t>
        </is>
      </c>
    </row>
    <row r="6" ht="38" customHeight="1">
      <c r="A6" s="2" t="inlineStr">
        <is>
          <t>ENVIRONMENTAL TECHNOLOGY</t>
        </is>
      </c>
      <c r="B6" s="2" t="inlineStr">
        <is>
          <t>0959-3330</t>
        </is>
      </c>
      <c r="C6" s="2" t="inlineStr">
        <is>
          <t>1479-487X</t>
        </is>
      </c>
      <c r="D6" s="2" t="n">
        <v>9</v>
      </c>
      <c r="E6" s="2" t="n">
        <v>9</v>
      </c>
      <c r="F6" s="2" t="n">
        <v>9</v>
      </c>
      <c r="G6" s="2" t="n">
        <v>0</v>
      </c>
      <c r="H6" s="2" t="n">
        <v>0</v>
      </c>
      <c r="I6" s="2" t="n">
        <v>2024</v>
      </c>
      <c r="J6" s="2" t="n">
        <v>2025</v>
      </c>
      <c r="K6" s="2" t="inlineStr">
        <is>
          <t>ENVIRONMENTAL SCIENCES</t>
        </is>
      </c>
      <c r="L6" s="2" t="inlineStr">
        <is>
          <t>ENVIRONMENTAL SCIENCES: Q3</t>
        </is>
      </c>
      <c r="M6" s="2" t="inlineStr">
        <is>
          <t>否</t>
        </is>
      </c>
      <c r="N6" s="2" t="inlineStr">
        <is>
          <t>否</t>
        </is>
      </c>
      <c r="O6" s="2" t="inlineStr">
        <is>
          <t>是</t>
        </is>
      </c>
      <c r="P6" s="2" t="inlineStr">
        <is>
          <t>https://topj.lib.whu.edu.cn/searchxk1.asp?ordertype=desc&amp;page=11&amp;q=&amp;xk=488</t>
        </is>
      </c>
      <c r="Q6" s="2" t="inlineStr">
        <is>
          <t>统一名称及印刷/电子ISSN并集；多学科按全部已核实行保留；未知不作非Q1；原期刊名异名见文献明细</t>
        </is>
      </c>
    </row>
    <row r="7" ht="38" customHeight="1">
      <c r="A7" s="3" t="inlineStr">
        <is>
          <t>Renewable Energy</t>
        </is>
      </c>
      <c r="B7" s="3" t="inlineStr">
        <is>
          <t>0960-1481</t>
        </is>
      </c>
      <c r="C7" s="3" t="inlineStr"/>
      <c r="D7" s="3" t="n">
        <v>9</v>
      </c>
      <c r="E7" s="3" t="n">
        <v>9</v>
      </c>
      <c r="F7" s="3" t="n">
        <v>9</v>
      </c>
      <c r="G7" s="3" t="n">
        <v>0</v>
      </c>
      <c r="H7" s="3" t="n">
        <v>0</v>
      </c>
      <c r="I7" s="3" t="n">
        <v>2024</v>
      </c>
      <c r="J7" s="3" t="n">
        <v>2025</v>
      </c>
      <c r="K7" s="3" t="inlineStr">
        <is>
          <t>ENERGY &amp; FUELS; GREEN &amp; SUSTAINABLE SCIENCE &amp; TECHNOLOGY</t>
        </is>
      </c>
      <c r="L7" s="3" t="inlineStr">
        <is>
          <t>ENERGY &amp; FUELS: Q1; GREEN &amp; SUSTAINABLE SCIENCE &amp; TECHNOLOGY: Q1</t>
        </is>
      </c>
      <c r="M7" s="4" t="inlineStr">
        <is>
          <t>是</t>
        </is>
      </c>
      <c r="N7" s="4" t="inlineStr">
        <is>
          <t>是</t>
        </is>
      </c>
      <c r="O7" s="3" t="inlineStr">
        <is>
          <t>是</t>
        </is>
      </c>
      <c r="P7" s="3" t="inlineStr">
        <is>
          <t>https://topj.lib.whu.edu.cn/show.asp?cat=sci&amp;id=8240</t>
        </is>
      </c>
      <c r="Q7" s="3" t="inlineStr">
        <is>
          <t>统一名称及印刷/电子ISSN并集；多学科按全部已核实行保留；未知不作非Q1；原期刊名异名见文献明细</t>
        </is>
      </c>
    </row>
    <row r="8" ht="38" customHeight="1">
      <c r="A8" s="2" t="inlineStr">
        <is>
          <t>Science of The Total Environment</t>
        </is>
      </c>
      <c r="B8" s="2" t="inlineStr">
        <is>
          <t>0048-9697</t>
        </is>
      </c>
      <c r="C8" s="2" t="inlineStr"/>
      <c r="D8" s="2" t="n">
        <v>9</v>
      </c>
      <c r="E8" s="2" t="n">
        <v>9</v>
      </c>
      <c r="F8" s="2" t="n">
        <v>5</v>
      </c>
      <c r="G8" s="2" t="n">
        <v>4</v>
      </c>
      <c r="H8" s="2" t="n">
        <v>0</v>
      </c>
      <c r="I8" s="2" t="n">
        <v>2024</v>
      </c>
      <c r="J8" s="2" t="n">
        <v>2025</v>
      </c>
      <c r="K8" s="2" t="inlineStr">
        <is>
          <t>ENVIRONMENTAL SCIENCES</t>
        </is>
      </c>
      <c r="L8" s="2" t="inlineStr">
        <is>
          <t>ENVIRONMENTAL SCIENCES: Q1</t>
        </is>
      </c>
      <c r="M8" s="4" t="inlineStr">
        <is>
          <t>是</t>
        </is>
      </c>
      <c r="N8" s="4" t="inlineStr">
        <is>
          <t>是</t>
        </is>
      </c>
      <c r="O8" s="2" t="inlineStr">
        <is>
          <t>是</t>
        </is>
      </c>
      <c r="P8" s="2" t="inlineStr">
        <is>
          <t>https://topj.lib.whu.edu.cn/show.asp?cat=zk&amp;id=4001</t>
        </is>
      </c>
      <c r="Q8" s="2" t="inlineStr">
        <is>
          <t>统一名称及印刷/电子ISSN并集；多学科按全部已核实行保留；未知不作非Q1；原期刊名异名见文献明细</t>
        </is>
      </c>
    </row>
    <row r="9" ht="38" customHeight="1">
      <c r="A9" s="3" t="inlineStr">
        <is>
          <t>Chemosphere</t>
        </is>
      </c>
      <c r="B9" s="3" t="inlineStr">
        <is>
          <t>0045-6535</t>
        </is>
      </c>
      <c r="C9" s="3" t="inlineStr"/>
      <c r="D9" s="3" t="n">
        <v>7</v>
      </c>
      <c r="E9" s="3" t="n">
        <v>7</v>
      </c>
      <c r="F9" s="3" t="n">
        <v>7</v>
      </c>
      <c r="G9" s="3" t="n">
        <v>0</v>
      </c>
      <c r="H9" s="3" t="n">
        <v>0</v>
      </c>
      <c r="I9" s="3" t="n">
        <v>2024</v>
      </c>
      <c r="J9" s="3" t="n">
        <v>2025</v>
      </c>
      <c r="K9" s="3" t="inlineStr"/>
      <c r="L9" s="3" t="inlineStr"/>
      <c r="M9" s="3" t="inlineStr">
        <is>
          <t>待核实</t>
        </is>
      </c>
      <c r="N9" s="3" t="inlineStr">
        <is>
          <t>待核实</t>
        </is>
      </c>
      <c r="O9" s="3" t="inlineStr">
        <is>
          <t>否</t>
        </is>
      </c>
      <c r="P9" s="3" t="inlineStr"/>
      <c r="Q9" s="3" t="inlineStr">
        <is>
          <t>统一名称及印刷/电子ISSN并集；多学科按全部已核实行保留；未知不作非Q1；原期刊名异名见文献明细</t>
        </is>
      </c>
    </row>
    <row r="10" ht="38" customHeight="1">
      <c r="A10" s="2" t="inlineStr">
        <is>
          <t>Journal of Environmental Management</t>
        </is>
      </c>
      <c r="B10" s="2" t="inlineStr">
        <is>
          <t>0301-4797</t>
        </is>
      </c>
      <c r="C10" s="2" t="inlineStr"/>
      <c r="D10" s="2" t="n">
        <v>7</v>
      </c>
      <c r="E10" s="2" t="n">
        <v>7</v>
      </c>
      <c r="F10" s="2" t="n">
        <v>6</v>
      </c>
      <c r="G10" s="2" t="n">
        <v>1</v>
      </c>
      <c r="H10" s="2" t="n">
        <v>0</v>
      </c>
      <c r="I10" s="2" t="n">
        <v>2024</v>
      </c>
      <c r="J10" s="2" t="n">
        <v>2025</v>
      </c>
      <c r="K10" s="2" t="inlineStr">
        <is>
          <t>ENVIRONMENTAL SCIENCES</t>
        </is>
      </c>
      <c r="L10" s="2" t="inlineStr">
        <is>
          <t>ENVIRONMENTAL SCIENCES: Q1</t>
        </is>
      </c>
      <c r="M10" s="4" t="inlineStr">
        <is>
          <t>是</t>
        </is>
      </c>
      <c r="N10" s="4" t="inlineStr">
        <is>
          <t>是</t>
        </is>
      </c>
      <c r="O10" s="2" t="inlineStr">
        <is>
          <t>是</t>
        </is>
      </c>
      <c r="P10" s="2" t="inlineStr">
        <is>
          <t>https://topj.lib.whu.edu.cn/show.asp?cat=sci&amp;id=6965</t>
        </is>
      </c>
      <c r="Q10" s="2" t="inlineStr">
        <is>
          <t>统一名称及印刷/电子ISSN并集；多学科按全部已核实行保留；未知不作非Q1；原期刊名异名见文献明细</t>
        </is>
      </c>
    </row>
    <row r="11" ht="38" customHeight="1">
      <c r="A11" s="3" t="inlineStr">
        <is>
          <t>WATER SCIENCE AND TECHNOLOGY</t>
        </is>
      </c>
      <c r="B11" s="3" t="inlineStr">
        <is>
          <t>0273-1223</t>
        </is>
      </c>
      <c r="C11" s="3" t="inlineStr">
        <is>
          <t>1996-9732</t>
        </is>
      </c>
      <c r="D11" s="3" t="n">
        <v>7</v>
      </c>
      <c r="E11" s="3" t="n">
        <v>7</v>
      </c>
      <c r="F11" s="3" t="n">
        <v>7</v>
      </c>
      <c r="G11" s="3" t="n">
        <v>0</v>
      </c>
      <c r="H11" s="3" t="n">
        <v>0</v>
      </c>
      <c r="I11" s="3" t="n">
        <v>2024</v>
      </c>
      <c r="J11" s="3" t="n">
        <v>2025</v>
      </c>
      <c r="K11" s="3" t="inlineStr">
        <is>
          <t>WATER RESOURCES; ENGINEERING, ENVIRONMENTAL; ENVIRONMENTAL SCIENCES</t>
        </is>
      </c>
      <c r="L11" s="3" t="inlineStr">
        <is>
          <t>WATER RESOURCES: Q2; ENGINEERING, ENVIRONMENTAL: Q3; ENVIRONMENTAL SCIENCES: Q3</t>
        </is>
      </c>
      <c r="M11" s="3" t="inlineStr">
        <is>
          <t>否</t>
        </is>
      </c>
      <c r="N11" s="3" t="inlineStr">
        <is>
          <t>否</t>
        </is>
      </c>
      <c r="O11" s="3" t="inlineStr">
        <is>
          <t>是</t>
        </is>
      </c>
      <c r="P11" s="3" t="inlineStr">
        <is>
          <t>https://topj.lib.whu.edu.cn/search2.asp?ordertype=&amp;page=2&amp;q=&amp;sea=w&amp;searchtype=esi</t>
        </is>
      </c>
      <c r="Q11" s="3" t="inlineStr">
        <is>
          <t>统一名称及印刷/电子ISSN并集；多学科按全部已核实行保留；未知不作非Q1；原期刊名异名见文献明细</t>
        </is>
      </c>
    </row>
    <row r="12" ht="38" customHeight="1">
      <c r="A12" s="2" t="inlineStr">
        <is>
          <t>Bioresource Technology Reports</t>
        </is>
      </c>
      <c r="B12" s="2" t="inlineStr">
        <is>
          <t>2589-014X</t>
        </is>
      </c>
      <c r="C12" s="2" t="inlineStr"/>
      <c r="D12" s="2" t="n">
        <v>6</v>
      </c>
      <c r="E12" s="2" t="n">
        <v>6</v>
      </c>
      <c r="F12" s="2" t="n">
        <v>5</v>
      </c>
      <c r="G12" s="2" t="n">
        <v>1</v>
      </c>
      <c r="H12" s="2" t="n">
        <v>0</v>
      </c>
      <c r="I12" s="2" t="n">
        <v>2024</v>
      </c>
      <c r="J12" s="2" t="n">
        <v>2025</v>
      </c>
      <c r="K12" s="2" t="inlineStr"/>
      <c r="L12" s="2" t="inlineStr"/>
      <c r="M12" s="2" t="inlineStr">
        <is>
          <t>待核实</t>
        </is>
      </c>
      <c r="N12" s="2" t="inlineStr">
        <is>
          <t>待核实</t>
        </is>
      </c>
      <c r="O12" s="2" t="inlineStr">
        <is>
          <t>否</t>
        </is>
      </c>
      <c r="P12" s="2" t="inlineStr"/>
      <c r="Q12" s="2" t="inlineStr">
        <is>
          <t>统一名称及印刷/电子ISSN并集；多学科按全部已核实行保留；未知不作非Q1；原期刊名异名见文献明细</t>
        </is>
      </c>
    </row>
    <row r="13" ht="38" customHeight="1">
      <c r="A13" s="3" t="inlineStr">
        <is>
          <t>Energies</t>
        </is>
      </c>
      <c r="B13" s="3" t="inlineStr"/>
      <c r="C13" s="3" t="inlineStr">
        <is>
          <t>1996-1073</t>
        </is>
      </c>
      <c r="D13" s="3" t="n">
        <v>6</v>
      </c>
      <c r="E13" s="3" t="n">
        <v>6</v>
      </c>
      <c r="F13" s="3" t="n">
        <v>6</v>
      </c>
      <c r="G13" s="3" t="n">
        <v>0</v>
      </c>
      <c r="H13" s="3" t="n">
        <v>0</v>
      </c>
      <c r="I13" s="3" t="n">
        <v>2024</v>
      </c>
      <c r="J13" s="3" t="n">
        <v>2025</v>
      </c>
      <c r="K13" s="3" t="inlineStr"/>
      <c r="L13" s="3" t="inlineStr"/>
      <c r="M13" s="3" t="inlineStr">
        <is>
          <t>待核实</t>
        </is>
      </c>
      <c r="N13" s="3" t="inlineStr">
        <is>
          <t>待核实</t>
        </is>
      </c>
      <c r="O13" s="3" t="inlineStr">
        <is>
          <t>否</t>
        </is>
      </c>
      <c r="P13" s="3" t="inlineStr"/>
      <c r="Q13" s="3" t="inlineStr">
        <is>
          <t>统一名称及印刷/电子ISSN并集；多学科按全部已核实行保留；未知不作非Q1；原期刊名异名见文献明细</t>
        </is>
      </c>
    </row>
    <row r="14" ht="38" customHeight="1">
      <c r="A14" s="2" t="inlineStr">
        <is>
          <t>Fuel</t>
        </is>
      </c>
      <c r="B14" s="2" t="inlineStr">
        <is>
          <t>0016-2361</t>
        </is>
      </c>
      <c r="C14" s="2" t="inlineStr"/>
      <c r="D14" s="2" t="n">
        <v>6</v>
      </c>
      <c r="E14" s="2" t="n">
        <v>6</v>
      </c>
      <c r="F14" s="2" t="n">
        <v>6</v>
      </c>
      <c r="G14" s="2" t="n">
        <v>0</v>
      </c>
      <c r="H14" s="2" t="n">
        <v>0</v>
      </c>
      <c r="I14" s="2" t="n">
        <v>2024</v>
      </c>
      <c r="J14" s="2" t="n">
        <v>2025</v>
      </c>
      <c r="K14" s="2" t="inlineStr">
        <is>
          <t>ENERGY &amp; FUELS; ENGINEERING, CHEMICAL</t>
        </is>
      </c>
      <c r="L14" s="2" t="inlineStr">
        <is>
          <t>ENERGY &amp; FUELS: Q1; ENGINEERING, CHEMICAL: Q1</t>
        </is>
      </c>
      <c r="M14" s="4" t="inlineStr">
        <is>
          <t>是</t>
        </is>
      </c>
      <c r="N14" s="4" t="inlineStr">
        <is>
          <t>是</t>
        </is>
      </c>
      <c r="O14" s="2" t="inlineStr">
        <is>
          <t>是</t>
        </is>
      </c>
      <c r="P14" s="2" t="inlineStr">
        <is>
          <t>https://topj.lib.whu.edu.cn/show.asp?cat=sci&amp;id=5597</t>
        </is>
      </c>
      <c r="Q14" s="2" t="inlineStr">
        <is>
          <t>统一名称及印刷/电子ISSN并集；多学科按全部已核实行保留；未知不作非Q1；原期刊名异名见文献明细</t>
        </is>
      </c>
    </row>
    <row r="15" ht="38" customHeight="1">
      <c r="A15" s="3" t="inlineStr">
        <is>
          <t>JOURNAL OF CLEANER PRODUCTION</t>
        </is>
      </c>
      <c r="B15" s="3" t="inlineStr">
        <is>
          <t>0959-6526</t>
        </is>
      </c>
      <c r="C15" s="3" t="inlineStr"/>
      <c r="D15" s="3" t="n">
        <v>6</v>
      </c>
      <c r="E15" s="3" t="n">
        <v>6</v>
      </c>
      <c r="F15" s="3" t="n">
        <v>5</v>
      </c>
      <c r="G15" s="3" t="n">
        <v>1</v>
      </c>
      <c r="H15" s="3" t="n">
        <v>0</v>
      </c>
      <c r="I15" s="3" t="n">
        <v>2024</v>
      </c>
      <c r="J15" s="3" t="n">
        <v>2025</v>
      </c>
      <c r="K15" s="3" t="inlineStr">
        <is>
          <t>ENGINEERING, ENVIRONMENTAL; ENVIRONMENTAL SCIENCES; GREEN &amp; SUSTAINABLE SCIENCE &amp; TECHNOLOGY</t>
        </is>
      </c>
      <c r="L15" s="3" t="inlineStr">
        <is>
          <t>ENGINEERING, ENVIRONMENTAL: Q1; ENVIRONMENTAL SCIENCES: Q1; GREEN &amp; SUSTAINABLE SCIENCE &amp; TECHNOLOGY: Q1</t>
        </is>
      </c>
      <c r="M15" s="4" t="inlineStr">
        <is>
          <t>是</t>
        </is>
      </c>
      <c r="N15" s="4" t="inlineStr">
        <is>
          <t>是</t>
        </is>
      </c>
      <c r="O15" s="3" t="inlineStr">
        <is>
          <t>是</t>
        </is>
      </c>
      <c r="P15" s="3" t="inlineStr">
        <is>
          <t>https://topj.lib.whu.edu.cn/show.asp?cat=esi&amp;id=6394</t>
        </is>
      </c>
      <c r="Q15" s="3" t="inlineStr">
        <is>
          <t>统一名称及印刷/电子ISSN并集；多学科按全部已核实行保留；未知不作非Q1；原期刊名异名见文献明细</t>
        </is>
      </c>
    </row>
    <row r="16" ht="38" customHeight="1">
      <c r="A16" s="2" t="inlineStr">
        <is>
          <t>Journal of Biobased Materials and Bioenergy</t>
        </is>
      </c>
      <c r="B16" s="2" t="inlineStr">
        <is>
          <t>1556-6560</t>
        </is>
      </c>
      <c r="C16" s="2" t="inlineStr"/>
      <c r="D16" s="2" t="n">
        <v>5</v>
      </c>
      <c r="E16" s="2" t="n">
        <v>0</v>
      </c>
      <c r="F16" s="2" t="n">
        <v>5</v>
      </c>
      <c r="G16" s="2" t="n">
        <v>0</v>
      </c>
      <c r="H16" s="2" t="n">
        <v>0</v>
      </c>
      <c r="I16" s="2" t="n">
        <v>2024</v>
      </c>
      <c r="J16" s="2" t="n">
        <v>2025</v>
      </c>
      <c r="K16" s="2" t="inlineStr"/>
      <c r="L16" s="2" t="inlineStr"/>
      <c r="M16" s="2" t="inlineStr">
        <is>
          <t>待核实</t>
        </is>
      </c>
      <c r="N16" s="2" t="inlineStr">
        <is>
          <t>待核实</t>
        </is>
      </c>
      <c r="O16" s="2" t="inlineStr">
        <is>
          <t>否</t>
        </is>
      </c>
      <c r="P16" s="2" t="inlineStr"/>
      <c r="Q16" s="2" t="inlineStr">
        <is>
          <t>统一名称及印刷/电子ISSN并集；多学科按全部已核实行保留；未知不作非Q1；原期刊名异名见文献明细</t>
        </is>
      </c>
    </row>
    <row r="17" ht="38" customHeight="1">
      <c r="A17" s="3" t="inlineStr">
        <is>
          <t>Journal of Environmental Chemical Engineering</t>
        </is>
      </c>
      <c r="B17" s="3" t="inlineStr">
        <is>
          <t>2213-3437; 2213-2929</t>
        </is>
      </c>
      <c r="C17" s="3" t="inlineStr"/>
      <c r="D17" s="3" t="n">
        <v>5</v>
      </c>
      <c r="E17" s="3" t="n">
        <v>5</v>
      </c>
      <c r="F17" s="3" t="n">
        <v>4</v>
      </c>
      <c r="G17" s="3" t="n">
        <v>1</v>
      </c>
      <c r="H17" s="3" t="n">
        <v>0</v>
      </c>
      <c r="I17" s="3" t="n">
        <v>2024</v>
      </c>
      <c r="J17" s="3" t="n">
        <v>2025</v>
      </c>
      <c r="K17" s="3" t="inlineStr">
        <is>
          <t>ENGINEERING, CHEMICAL; ENGINEERING, ENVIRONMENTAL</t>
        </is>
      </c>
      <c r="L17" s="3" t="inlineStr">
        <is>
          <t>ENGINEERING, CHEMICAL: Q1; ENGINEERING, ENVIRONMENTAL: Q1</t>
        </is>
      </c>
      <c r="M17" s="4" t="inlineStr">
        <is>
          <t>是</t>
        </is>
      </c>
      <c r="N17" s="4" t="inlineStr">
        <is>
          <t>是</t>
        </is>
      </c>
      <c r="O17" s="3" t="inlineStr">
        <is>
          <t>是</t>
        </is>
      </c>
      <c r="P17" s="3" t="inlineStr">
        <is>
          <t>https://topj.lib.whu.edu.cn/show.asp?cat=zk&amp;id=5142</t>
        </is>
      </c>
      <c r="Q17" s="3" t="inlineStr">
        <is>
          <t>统一名称及印刷/电子ISSN并集；多学科按全部已核实行保留；未知不作非Q1；原期刊名异名见文献明细</t>
        </is>
      </c>
    </row>
    <row r="18" ht="38" customHeight="1">
      <c r="A18" s="2" t="inlineStr">
        <is>
          <t>Journal of Water Process Engineering</t>
        </is>
      </c>
      <c r="B18" s="2" t="inlineStr">
        <is>
          <t>2214-7144</t>
        </is>
      </c>
      <c r="C18" s="2" t="inlineStr"/>
      <c r="D18" s="2" t="n">
        <v>5</v>
      </c>
      <c r="E18" s="2" t="n">
        <v>5</v>
      </c>
      <c r="F18" s="2" t="n">
        <v>4</v>
      </c>
      <c r="G18" s="2" t="n">
        <v>1</v>
      </c>
      <c r="H18" s="2" t="n">
        <v>0</v>
      </c>
      <c r="I18" s="2" t="n">
        <v>2024</v>
      </c>
      <c r="J18" s="2" t="n">
        <v>2025</v>
      </c>
      <c r="K18" s="2" t="inlineStr">
        <is>
          <t>WATER RESOURCES; ENGINEERING, CHEMICAL; ENGINEERING, ENVIRONMENTAL</t>
        </is>
      </c>
      <c r="L18" s="2" t="inlineStr">
        <is>
          <t>WATER RESOURCES: Q1; ENGINEERING, CHEMICAL: Q1; ENGINEERING, ENVIRONMENTAL: Q2</t>
        </is>
      </c>
      <c r="M18" s="4" t="inlineStr">
        <is>
          <t>是</t>
        </is>
      </c>
      <c r="N18" s="2" t="inlineStr">
        <is>
          <t>否</t>
        </is>
      </c>
      <c r="O18" s="2" t="inlineStr">
        <is>
          <t>是</t>
        </is>
      </c>
      <c r="P18" s="2" t="inlineStr">
        <is>
          <t>https://topj.lib.whu.edu.cn/show.asp?cat=sci&amp;id=6383</t>
        </is>
      </c>
      <c r="Q18" s="2" t="inlineStr">
        <is>
          <t>统一名称及印刷/电子ISSN并集；多学科按全部已核实行保留；未知不作非Q1；原期刊名异名见文献明细</t>
        </is>
      </c>
    </row>
    <row r="19" ht="38" customHeight="1">
      <c r="A19" s="3" t="inlineStr">
        <is>
          <t>BIOMASS &amp; BIOENERGY</t>
        </is>
      </c>
      <c r="B19" s="3" t="inlineStr">
        <is>
          <t>0961-9534</t>
        </is>
      </c>
      <c r="C19" s="3" t="inlineStr"/>
      <c r="D19" s="3" t="n">
        <v>4</v>
      </c>
      <c r="E19" s="3" t="n">
        <v>4</v>
      </c>
      <c r="F19" s="3" t="n">
        <v>4</v>
      </c>
      <c r="G19" s="3" t="n">
        <v>0</v>
      </c>
      <c r="H19" s="3" t="n">
        <v>0</v>
      </c>
      <c r="I19" s="3" t="n">
        <v>2024</v>
      </c>
      <c r="J19" s="3" t="n">
        <v>2025</v>
      </c>
      <c r="K19" s="3" t="inlineStr">
        <is>
          <t>AGRICULTURAL ENGINEERING; BIOTECHNOLOGY &amp; APPLIED MICROBIOLOGY; ENERGY &amp; FUELS</t>
        </is>
      </c>
      <c r="L19" s="3" t="inlineStr">
        <is>
          <t>AGRICULTURAL ENGINEERING: Q1; BIOTECHNOLOGY &amp; APPLIED MICROBIOLOGY: Q1; ENERGY &amp; FUELS: Q2</t>
        </is>
      </c>
      <c r="M19" s="4" t="inlineStr">
        <is>
          <t>是</t>
        </is>
      </c>
      <c r="N19" s="3" t="inlineStr">
        <is>
          <t>否</t>
        </is>
      </c>
      <c r="O19" s="3" t="inlineStr">
        <is>
          <t>是</t>
        </is>
      </c>
      <c r="P19" s="3" t="inlineStr">
        <is>
          <t>https://topj.lib.whu.edu.cn/show.asp?cat=sci&amp;id=5613</t>
        </is>
      </c>
      <c r="Q19" s="3" t="inlineStr">
        <is>
          <t>统一名称及印刷/电子ISSN并集；多学科按全部已核实行保留；未知不作非Q1；原期刊名异名见文献明细</t>
        </is>
      </c>
    </row>
    <row r="20" ht="38" customHeight="1">
      <c r="A20" s="2" t="inlineStr">
        <is>
          <t>ENVIRONMENTAL RESEARCH</t>
        </is>
      </c>
      <c r="B20" s="2" t="inlineStr">
        <is>
          <t>0013-9351</t>
        </is>
      </c>
      <c r="C20" s="2" t="inlineStr"/>
      <c r="D20" s="2" t="n">
        <v>4</v>
      </c>
      <c r="E20" s="2" t="n">
        <v>4</v>
      </c>
      <c r="F20" s="2" t="n">
        <v>3</v>
      </c>
      <c r="G20" s="2" t="n">
        <v>1</v>
      </c>
      <c r="H20" s="2" t="n">
        <v>0</v>
      </c>
      <c r="I20" s="2" t="n">
        <v>2024</v>
      </c>
      <c r="J20" s="2" t="n">
        <v>2025</v>
      </c>
      <c r="K20" s="2" t="inlineStr">
        <is>
          <t>ENVIRONMENTAL SCIENCES; PUBLIC, ENVIRONMENTAL &amp; OCCUPATIONAL HEALTH</t>
        </is>
      </c>
      <c r="L20" s="2" t="inlineStr">
        <is>
          <t>ENVIRONMENTAL SCIENCES: Q1; PUBLIC, ENVIRONMENTAL &amp; OCCUPATIONAL HEALTH: Q1</t>
        </is>
      </c>
      <c r="M20" s="4" t="inlineStr">
        <is>
          <t>是</t>
        </is>
      </c>
      <c r="N20" s="4" t="inlineStr">
        <is>
          <t>是</t>
        </is>
      </c>
      <c r="O20" s="2" t="inlineStr">
        <is>
          <t>是</t>
        </is>
      </c>
      <c r="P20" s="2" t="inlineStr">
        <is>
          <t>https://topj.lib.whu.edu.cn/show.asp?cat=esi&amp;id=3602</t>
        </is>
      </c>
      <c r="Q20" s="2" t="inlineStr">
        <is>
          <t>统一名称及印刷/电子ISSN并集；多学科按全部已核实行保留；未知不作非Q1；原期刊名异名见文献明细</t>
        </is>
      </c>
    </row>
    <row r="21" ht="38" customHeight="1">
      <c r="A21" s="3" t="inlineStr">
        <is>
          <t>Fermentation</t>
        </is>
      </c>
      <c r="B21" s="3" t="inlineStr"/>
      <c r="C21" s="3" t="inlineStr">
        <is>
          <t>2311-5637</t>
        </is>
      </c>
      <c r="D21" s="3" t="n">
        <v>4</v>
      </c>
      <c r="E21" s="3" t="n">
        <v>4</v>
      </c>
      <c r="F21" s="3" t="n">
        <v>3</v>
      </c>
      <c r="G21" s="3" t="n">
        <v>1</v>
      </c>
      <c r="H21" s="3" t="n">
        <v>0</v>
      </c>
      <c r="I21" s="3" t="n">
        <v>2024</v>
      </c>
      <c r="J21" s="3" t="n">
        <v>2025</v>
      </c>
      <c r="K21" s="3" t="inlineStr"/>
      <c r="L21" s="3" t="inlineStr"/>
      <c r="M21" s="3" t="inlineStr">
        <is>
          <t>待核实</t>
        </is>
      </c>
      <c r="N21" s="3" t="inlineStr">
        <is>
          <t>待核实</t>
        </is>
      </c>
      <c r="O21" s="3" t="inlineStr">
        <is>
          <t>否</t>
        </is>
      </c>
      <c r="P21" s="3" t="inlineStr"/>
      <c r="Q21" s="3" t="inlineStr">
        <is>
          <t>统一名称及印刷/电子ISSN并集；多学科按全部已核实行保留；未知不作非Q1；原期刊名异名见文献明细</t>
        </is>
      </c>
    </row>
    <row r="22" ht="38" customHeight="1">
      <c r="A22" s="2" t="inlineStr">
        <is>
          <t>Processes</t>
        </is>
      </c>
      <c r="B22" s="2" t="inlineStr"/>
      <c r="C22" s="2" t="inlineStr">
        <is>
          <t>2227-9717</t>
        </is>
      </c>
      <c r="D22" s="2" t="n">
        <v>4</v>
      </c>
      <c r="E22" s="2" t="n">
        <v>4</v>
      </c>
      <c r="F22" s="2" t="n">
        <v>3</v>
      </c>
      <c r="G22" s="2" t="n">
        <v>1</v>
      </c>
      <c r="H22" s="2" t="n">
        <v>0</v>
      </c>
      <c r="I22" s="2" t="n">
        <v>2024</v>
      </c>
      <c r="J22" s="2" t="n">
        <v>2025</v>
      </c>
      <c r="K22" s="2" t="inlineStr"/>
      <c r="L22" s="2" t="inlineStr"/>
      <c r="M22" s="2" t="inlineStr">
        <is>
          <t>待核实</t>
        </is>
      </c>
      <c r="N22" s="2" t="inlineStr">
        <is>
          <t>待核实</t>
        </is>
      </c>
      <c r="O22" s="2" t="inlineStr">
        <is>
          <t>否</t>
        </is>
      </c>
      <c r="P22" s="2" t="inlineStr"/>
      <c r="Q22" s="2" t="inlineStr">
        <is>
          <t>统一名称及印刷/电子ISSN并集；多学科按全部已核实行保留；未知不作非Q1；原期刊名异名见文献明细</t>
        </is>
      </c>
    </row>
    <row r="23" ht="38" customHeight="1">
      <c r="A23" s="3" t="inlineStr">
        <is>
          <t>Sustainability</t>
        </is>
      </c>
      <c r="B23" s="3" t="inlineStr"/>
      <c r="C23" s="3" t="inlineStr">
        <is>
          <t>2071-1050</t>
        </is>
      </c>
      <c r="D23" s="3" t="n">
        <v>4</v>
      </c>
      <c r="E23" s="3" t="n">
        <v>4</v>
      </c>
      <c r="F23" s="3" t="n">
        <v>4</v>
      </c>
      <c r="G23" s="3" t="n">
        <v>0</v>
      </c>
      <c r="H23" s="3" t="n">
        <v>0</v>
      </c>
      <c r="I23" s="3" t="n">
        <v>2024</v>
      </c>
      <c r="J23" s="3" t="n">
        <v>2025</v>
      </c>
      <c r="K23" s="3" t="inlineStr"/>
      <c r="L23" s="3" t="inlineStr"/>
      <c r="M23" s="3" t="inlineStr">
        <is>
          <t>待核实</t>
        </is>
      </c>
      <c r="N23" s="3" t="inlineStr">
        <is>
          <t>待核实</t>
        </is>
      </c>
      <c r="O23" s="3" t="inlineStr">
        <is>
          <t>否</t>
        </is>
      </c>
      <c r="P23" s="3" t="inlineStr"/>
      <c r="Q23" s="3" t="inlineStr">
        <is>
          <t>统一名称及印刷/电子ISSN并集；多学科按全部已核实行保留；未知不作非Q1；原期刊名异名见文献明细</t>
        </is>
      </c>
    </row>
    <row r="24" ht="38" customHeight="1">
      <c r="A24" s="2" t="inlineStr">
        <is>
          <t>Waste and Biomass Valorization</t>
        </is>
      </c>
      <c r="B24" s="2" t="inlineStr">
        <is>
          <t>1877-2641</t>
        </is>
      </c>
      <c r="C24" s="2" t="inlineStr">
        <is>
          <t>1877-265X</t>
        </is>
      </c>
      <c r="D24" s="2" t="n">
        <v>4</v>
      </c>
      <c r="E24" s="2" t="n">
        <v>4</v>
      </c>
      <c r="F24" s="2" t="n">
        <v>3</v>
      </c>
      <c r="G24" s="2" t="n">
        <v>1</v>
      </c>
      <c r="H24" s="2" t="n">
        <v>0</v>
      </c>
      <c r="I24" s="2" t="n">
        <v>2024</v>
      </c>
      <c r="J24" s="2" t="n">
        <v>2025</v>
      </c>
      <c r="K24" s="2" t="inlineStr">
        <is>
          <t>ENVIRONMENTAL SCIENCES</t>
        </is>
      </c>
      <c r="L24" s="2" t="inlineStr">
        <is>
          <t>ENVIRONMENTAL SCIENCES: Q3</t>
        </is>
      </c>
      <c r="M24" s="2" t="inlineStr">
        <is>
          <t>否</t>
        </is>
      </c>
      <c r="N24" s="2" t="inlineStr">
        <is>
          <t>否</t>
        </is>
      </c>
      <c r="O24" s="2" t="inlineStr">
        <is>
          <t>是</t>
        </is>
      </c>
      <c r="P24" s="2" t="inlineStr">
        <is>
          <t>https://topj.lib.whu.edu.cn/show.asp?cat=zk&amp;id=4277</t>
        </is>
      </c>
      <c r="Q24" s="2" t="inlineStr">
        <is>
          <t>统一名称及印刷/电子ISSN并集；多学科按全部已核实行保留；未知不作非Q1；原期刊名异名见文献明细</t>
        </is>
      </c>
    </row>
    <row r="25" ht="38" customHeight="1">
      <c r="A25" s="3" t="inlineStr">
        <is>
          <t>ACS ES&amp;T Water</t>
        </is>
      </c>
      <c r="B25" s="3" t="inlineStr">
        <is>
          <t>2690-0637</t>
        </is>
      </c>
      <c r="C25" s="3" t="inlineStr">
        <is>
          <t>2690-0637</t>
        </is>
      </c>
      <c r="D25" s="3" t="n">
        <v>3</v>
      </c>
      <c r="E25" s="3" t="n">
        <v>3</v>
      </c>
      <c r="F25" s="3" t="n">
        <v>3</v>
      </c>
      <c r="G25" s="3" t="n">
        <v>0</v>
      </c>
      <c r="H25" s="3" t="n">
        <v>0</v>
      </c>
      <c r="I25" s="3" t="n">
        <v>2024</v>
      </c>
      <c r="J25" s="3" t="n">
        <v>2025</v>
      </c>
      <c r="K25" s="3" t="inlineStr"/>
      <c r="L25" s="3" t="inlineStr"/>
      <c r="M25" s="3" t="inlineStr">
        <is>
          <t>待核实</t>
        </is>
      </c>
      <c r="N25" s="3" t="inlineStr">
        <is>
          <t>待核实</t>
        </is>
      </c>
      <c r="O25" s="3" t="inlineStr">
        <is>
          <t>否</t>
        </is>
      </c>
      <c r="P25" s="3" t="inlineStr"/>
      <c r="Q25" s="3" t="inlineStr">
        <is>
          <t>统一名称及印刷/电子ISSN并集；多学科按全部已核实行保留；未知不作非Q1；原期刊名异名见文献明细</t>
        </is>
      </c>
    </row>
    <row r="26" ht="38" customHeight="1">
      <c r="A26" s="2" t="inlineStr">
        <is>
          <t>APPLIED MICROBIOLOGY AND BIOTECHNOLOGY</t>
        </is>
      </c>
      <c r="B26" s="2" t="inlineStr">
        <is>
          <t>0175-7598</t>
        </is>
      </c>
      <c r="C26" s="2" t="inlineStr">
        <is>
          <t>1432-0614</t>
        </is>
      </c>
      <c r="D26" s="2" t="n">
        <v>3</v>
      </c>
      <c r="E26" s="2" t="n">
        <v>3</v>
      </c>
      <c r="F26" s="2" t="n">
        <v>2</v>
      </c>
      <c r="G26" s="2" t="n">
        <v>1</v>
      </c>
      <c r="H26" s="2" t="n">
        <v>0</v>
      </c>
      <c r="I26" s="2" t="n">
        <v>2024</v>
      </c>
      <c r="J26" s="2" t="n">
        <v>2025</v>
      </c>
      <c r="K26" s="2" t="inlineStr">
        <is>
          <t>BIOTECHNOLOGY &amp; APPLIED MICROBIOLOGY</t>
        </is>
      </c>
      <c r="L26" s="2" t="inlineStr">
        <is>
          <t>BIOTECHNOLOGY &amp; APPLIED MICROBIOLOGY: Q1</t>
        </is>
      </c>
      <c r="M26" s="4" t="inlineStr">
        <is>
          <t>是</t>
        </is>
      </c>
      <c r="N26" s="4" t="inlineStr">
        <is>
          <t>是</t>
        </is>
      </c>
      <c r="O26" s="2" t="inlineStr">
        <is>
          <t>是</t>
        </is>
      </c>
      <c r="P26" s="2" t="inlineStr">
        <is>
          <t>https://topj.lib.whu.edu.cn/searchxk1.asp?ordertype=asc&amp;page=6&amp;q=&amp;xk=291</t>
        </is>
      </c>
      <c r="Q26" s="2" t="inlineStr">
        <is>
          <t>统一名称及印刷/电子ISSN并集；多学科按全部已核实行保留；未知不作非Q1；原期刊名异名见文献明细</t>
        </is>
      </c>
    </row>
    <row r="27" ht="38" customHeight="1">
      <c r="A27" s="3" t="inlineStr">
        <is>
          <t>ENERGY &amp; FUELS</t>
        </is>
      </c>
      <c r="B27" s="3" t="inlineStr">
        <is>
          <t>0887-0624</t>
        </is>
      </c>
      <c r="C27" s="3" t="inlineStr">
        <is>
          <t>1520-5029</t>
        </is>
      </c>
      <c r="D27" s="3" t="n">
        <v>3</v>
      </c>
      <c r="E27" s="3" t="n">
        <v>3</v>
      </c>
      <c r="F27" s="3" t="n">
        <v>3</v>
      </c>
      <c r="G27" s="3" t="n">
        <v>0</v>
      </c>
      <c r="H27" s="3" t="n">
        <v>0</v>
      </c>
      <c r="I27" s="3" t="n">
        <v>2024</v>
      </c>
      <c r="J27" s="3" t="n">
        <v>2025</v>
      </c>
      <c r="K27" s="3" t="inlineStr">
        <is>
          <t>ENERGY &amp; FUELS; ENGINEERING, CHEMICAL</t>
        </is>
      </c>
      <c r="L27" s="3" t="inlineStr">
        <is>
          <t>ENERGY &amp; FUELS: Q2; ENGINEERING, CHEMICAL: Q1</t>
        </is>
      </c>
      <c r="M27" s="4" t="inlineStr">
        <is>
          <t>是</t>
        </is>
      </c>
      <c r="N27" s="3" t="inlineStr">
        <is>
          <t>否</t>
        </is>
      </c>
      <c r="O27" s="3" t="inlineStr">
        <is>
          <t>是</t>
        </is>
      </c>
      <c r="P27" s="3" t="inlineStr">
        <is>
          <t>https://topj.lib.whu.edu.cn/show.asp?cat=zk&amp;id=5342</t>
        </is>
      </c>
      <c r="Q27" s="3" t="inlineStr">
        <is>
          <t>统一名称及印刷/电子ISSN并集；多学科按全部已核实行保留；未知不作非Q1；原期刊名异名见文献明细</t>
        </is>
      </c>
    </row>
    <row r="28" ht="38" customHeight="1">
      <c r="A28" s="2" t="inlineStr">
        <is>
          <t>ENERGY CONVERSION AND MANAGEMENT</t>
        </is>
      </c>
      <c r="B28" s="2" t="inlineStr">
        <is>
          <t>0196-8904</t>
        </is>
      </c>
      <c r="C28" s="2" t="inlineStr"/>
      <c r="D28" s="2" t="n">
        <v>3</v>
      </c>
      <c r="E28" s="2" t="n">
        <v>3</v>
      </c>
      <c r="F28" s="2" t="n">
        <v>2</v>
      </c>
      <c r="G28" s="2" t="n">
        <v>1</v>
      </c>
      <c r="H28" s="2" t="n">
        <v>0</v>
      </c>
      <c r="I28" s="2" t="n">
        <v>2024</v>
      </c>
      <c r="J28" s="2" t="n">
        <v>2025</v>
      </c>
      <c r="K28" s="2" t="inlineStr">
        <is>
          <t>THERMODYNAMICS; ENERGY &amp; FUELS; MECHANICS</t>
        </is>
      </c>
      <c r="L28" s="2" t="inlineStr">
        <is>
          <t>THERMODYNAMICS: Q1; ENERGY &amp; FUELS: Q1; MECHANICS: Q1</t>
        </is>
      </c>
      <c r="M28" s="4" t="inlineStr">
        <is>
          <t>是</t>
        </is>
      </c>
      <c r="N28" s="4" t="inlineStr">
        <is>
          <t>是</t>
        </is>
      </c>
      <c r="O28" s="2" t="inlineStr">
        <is>
          <t>是</t>
        </is>
      </c>
      <c r="P28" s="2" t="inlineStr">
        <is>
          <t>https://topj.lib.whu.edu.cn/show.asp?cat=esi&amp;id=3481</t>
        </is>
      </c>
      <c r="Q28" s="2" t="inlineStr">
        <is>
          <t>统一名称及印刷/电子ISSN并集；多学科按全部已核实行保留；未知不作非Q1；原期刊名异名见文献明细</t>
        </is>
      </c>
    </row>
    <row r="29" ht="38" customHeight="1">
      <c r="A29" s="3" t="inlineStr">
        <is>
          <t>ENVIRONMENTAL SCIENCE &amp; TECHNOLOGY</t>
        </is>
      </c>
      <c r="B29" s="3" t="inlineStr">
        <is>
          <t>0013-936X</t>
        </is>
      </c>
      <c r="C29" s="3" t="inlineStr">
        <is>
          <t>1520-5851</t>
        </is>
      </c>
      <c r="D29" s="3" t="n">
        <v>3</v>
      </c>
      <c r="E29" s="3" t="n">
        <v>3</v>
      </c>
      <c r="F29" s="3" t="n">
        <v>3</v>
      </c>
      <c r="G29" s="3" t="n">
        <v>0</v>
      </c>
      <c r="H29" s="3" t="n">
        <v>0</v>
      </c>
      <c r="I29" s="3" t="n">
        <v>2024</v>
      </c>
      <c r="J29" s="3" t="n">
        <v>2025</v>
      </c>
      <c r="K29" s="3" t="inlineStr">
        <is>
          <t>ENGINEERING, ENVIRONMENTAL; ENVIRONMENTAL SCIENCES</t>
        </is>
      </c>
      <c r="L29" s="3" t="inlineStr">
        <is>
          <t>ENGINEERING, ENVIRONMENTAL: Q1; ENVIRONMENTAL SCIENCES: Q1</t>
        </is>
      </c>
      <c r="M29" s="4" t="inlineStr">
        <is>
          <t>是</t>
        </is>
      </c>
      <c r="N29" s="4" t="inlineStr">
        <is>
          <t>是</t>
        </is>
      </c>
      <c r="O29" s="3" t="inlineStr">
        <is>
          <t>是</t>
        </is>
      </c>
      <c r="P29" s="3" t="inlineStr">
        <is>
          <t>https://topj.lib.whu.edu.cn/show.asp?cat=zk&amp;id=3966</t>
        </is>
      </c>
      <c r="Q29" s="3" t="inlineStr">
        <is>
          <t>统一名称及印刷/电子ISSN并集；多学科按全部已核实行保留；未知不作非Q1；原期刊名异名见文献明细</t>
        </is>
      </c>
    </row>
    <row r="30" ht="38" customHeight="1">
      <c r="A30" s="2" t="inlineStr">
        <is>
          <t>Engenharia Sanitaria e Ambiental</t>
        </is>
      </c>
      <c r="B30" s="2" t="inlineStr">
        <is>
          <t>1413-4152</t>
        </is>
      </c>
      <c r="C30" s="2" t="inlineStr">
        <is>
          <t>1809-4457</t>
        </is>
      </c>
      <c r="D30" s="2" t="n">
        <v>3</v>
      </c>
      <c r="E30" s="2" t="n">
        <v>3</v>
      </c>
      <c r="F30" s="2" t="n">
        <v>3</v>
      </c>
      <c r="G30" s="2" t="n">
        <v>0</v>
      </c>
      <c r="H30" s="2" t="n">
        <v>0</v>
      </c>
      <c r="I30" s="2" t="n">
        <v>2024</v>
      </c>
      <c r="J30" s="2" t="n">
        <v>2025</v>
      </c>
      <c r="K30" s="2" t="inlineStr"/>
      <c r="L30" s="2" t="inlineStr"/>
      <c r="M30" s="2" t="inlineStr">
        <is>
          <t>待核实</t>
        </is>
      </c>
      <c r="N30" s="2" t="inlineStr">
        <is>
          <t>待核实</t>
        </is>
      </c>
      <c r="O30" s="2" t="inlineStr">
        <is>
          <t>否</t>
        </is>
      </c>
      <c r="P30" s="2" t="inlineStr"/>
      <c r="Q30" s="2" t="inlineStr">
        <is>
          <t>统一名称及印刷/电子ISSN并集；多学科按全部已核实行保留；未知不作非Q1；原期刊名异名见文献明细</t>
        </is>
      </c>
    </row>
    <row r="31" ht="38" customHeight="1">
      <c r="A31" s="3" t="inlineStr">
        <is>
          <t>Environments</t>
        </is>
      </c>
      <c r="B31" s="3" t="inlineStr"/>
      <c r="C31" s="3" t="inlineStr">
        <is>
          <t>2076-3298</t>
        </is>
      </c>
      <c r="D31" s="3" t="n">
        <v>3</v>
      </c>
      <c r="E31" s="3" t="n">
        <v>3</v>
      </c>
      <c r="F31" s="3" t="n">
        <v>2</v>
      </c>
      <c r="G31" s="3" t="n">
        <v>1</v>
      </c>
      <c r="H31" s="3" t="n">
        <v>0</v>
      </c>
      <c r="I31" s="3" t="n">
        <v>2024</v>
      </c>
      <c r="J31" s="3" t="n">
        <v>2025</v>
      </c>
      <c r="K31" s="3" t="inlineStr"/>
      <c r="L31" s="3" t="inlineStr"/>
      <c r="M31" s="3" t="inlineStr">
        <is>
          <t>待核实</t>
        </is>
      </c>
      <c r="N31" s="3" t="inlineStr">
        <is>
          <t>待核实</t>
        </is>
      </c>
      <c r="O31" s="3" t="inlineStr">
        <is>
          <t>否</t>
        </is>
      </c>
      <c r="P31" s="3" t="inlineStr"/>
      <c r="Q31" s="3" t="inlineStr">
        <is>
          <t>统一名称及印刷/电子ISSN并集；多学科按全部已核实行保留；未知不作非Q1；原期刊名异名见文献明细</t>
        </is>
      </c>
    </row>
    <row r="32" ht="38" customHeight="1">
      <c r="A32" s="2" t="inlineStr">
        <is>
          <t>INTERNATIONAL BIODETERIORATION &amp; BIODEGRADATION</t>
        </is>
      </c>
      <c r="B32" s="2" t="inlineStr">
        <is>
          <t>0964-8305</t>
        </is>
      </c>
      <c r="C32" s="2" t="inlineStr"/>
      <c r="D32" s="2" t="n">
        <v>3</v>
      </c>
      <c r="E32" s="2" t="n">
        <v>3</v>
      </c>
      <c r="F32" s="2" t="n">
        <v>3</v>
      </c>
      <c r="G32" s="2" t="n">
        <v>0</v>
      </c>
      <c r="H32" s="2" t="n">
        <v>0</v>
      </c>
      <c r="I32" s="2" t="n">
        <v>2024</v>
      </c>
      <c r="J32" s="2" t="n">
        <v>2025</v>
      </c>
      <c r="K32" s="2" t="inlineStr">
        <is>
          <t>BIOTECHNOLOGY &amp; APPLIED MICROBIOLOGY; ENVIRONMENTAL SCIENCES</t>
        </is>
      </c>
      <c r="L32" s="2" t="inlineStr">
        <is>
          <t>BIOTECHNOLOGY &amp; APPLIED MICROBIOLOGY: Q2; ENVIRONMENTAL SCIENCES: Q2</t>
        </is>
      </c>
      <c r="M32" s="2" t="inlineStr">
        <is>
          <t>否</t>
        </is>
      </c>
      <c r="N32" s="2" t="inlineStr">
        <is>
          <t>否</t>
        </is>
      </c>
      <c r="O32" s="2" t="inlineStr">
        <is>
          <t>是</t>
        </is>
      </c>
      <c r="P32" s="2" t="inlineStr">
        <is>
          <t>https://topj.lib.whu.edu.cn/show.asp?cat=sci&amp;id=7031</t>
        </is>
      </c>
      <c r="Q32" s="2" t="inlineStr">
        <is>
          <t>统一名称及印刷/电子ISSN并集；多学科按全部已核实行保留；未知不作非Q1；原期刊名异名见文献明细</t>
        </is>
      </c>
    </row>
    <row r="33" ht="38" customHeight="1">
      <c r="A33" s="3" t="inlineStr">
        <is>
          <t>JOURNAL OF HAZARDOUS MATERIALS</t>
        </is>
      </c>
      <c r="B33" s="3" t="inlineStr">
        <is>
          <t>0304-3894</t>
        </is>
      </c>
      <c r="C33" s="3" t="inlineStr"/>
      <c r="D33" s="3" t="n">
        <v>3</v>
      </c>
      <c r="E33" s="3" t="n">
        <v>3</v>
      </c>
      <c r="F33" s="3" t="n">
        <v>3</v>
      </c>
      <c r="G33" s="3" t="n">
        <v>0</v>
      </c>
      <c r="H33" s="3" t="n">
        <v>0</v>
      </c>
      <c r="I33" s="3" t="n">
        <v>2024</v>
      </c>
      <c r="J33" s="3" t="n">
        <v>2025</v>
      </c>
      <c r="K33" s="3" t="inlineStr">
        <is>
          <t>ENGINEERING, ENVIRONMENTAL; ENVIRONMENTAL SCIENCES</t>
        </is>
      </c>
      <c r="L33" s="3" t="inlineStr">
        <is>
          <t>ENGINEERING, ENVIRONMENTAL: Q1; ENVIRONMENTAL SCIENCES: Q1</t>
        </is>
      </c>
      <c r="M33" s="4" t="inlineStr">
        <is>
          <t>是</t>
        </is>
      </c>
      <c r="N33" s="4" t="inlineStr">
        <is>
          <t>是</t>
        </is>
      </c>
      <c r="O33" s="3" t="inlineStr">
        <is>
          <t>是</t>
        </is>
      </c>
      <c r="P33" s="3" t="inlineStr">
        <is>
          <t>https://topj.lib.whu.edu.cn/show.asp?cat=sci&amp;id=6955</t>
        </is>
      </c>
      <c r="Q33" s="3" t="inlineStr">
        <is>
          <t>统一名称及印刷/电子ISSN并集；多学科按全部已核实行保留；未知不作非Q1；原期刊名异名见文献明细</t>
        </is>
      </c>
    </row>
    <row r="34" ht="38" customHeight="1">
      <c r="A34" s="2" t="inlineStr">
        <is>
          <t>PROCESS SAFETY AND ENVIRONMENTAL PROTECTION</t>
        </is>
      </c>
      <c r="B34" s="2" t="inlineStr">
        <is>
          <t>0957-5820</t>
        </is>
      </c>
      <c r="C34" s="2" t="inlineStr"/>
      <c r="D34" s="2" t="n">
        <v>3</v>
      </c>
      <c r="E34" s="2" t="n">
        <v>3</v>
      </c>
      <c r="F34" s="2" t="n">
        <v>2</v>
      </c>
      <c r="G34" s="2" t="n">
        <v>1</v>
      </c>
      <c r="H34" s="2" t="n">
        <v>0</v>
      </c>
      <c r="I34" s="2" t="n">
        <v>2024</v>
      </c>
      <c r="J34" s="2" t="n">
        <v>2025</v>
      </c>
      <c r="K34" s="2" t="inlineStr">
        <is>
          <t>ENGINEERING, CHEMICAL; ENGINEERING, ENVIRONMENTAL</t>
        </is>
      </c>
      <c r="L34" s="2" t="inlineStr">
        <is>
          <t>ENGINEERING, CHEMICAL: Q1; ENGINEERING, ENVIRONMENTAL: Q1</t>
        </is>
      </c>
      <c r="M34" s="4" t="inlineStr">
        <is>
          <t>是</t>
        </is>
      </c>
      <c r="N34" s="4" t="inlineStr">
        <is>
          <t>是</t>
        </is>
      </c>
      <c r="O34" s="2" t="inlineStr">
        <is>
          <t>是</t>
        </is>
      </c>
      <c r="P34" s="2" t="inlineStr">
        <is>
          <t>https://topj.lib.whu.edu.cn/show.asp?cat=zk&amp;id=3996</t>
        </is>
      </c>
      <c r="Q34" s="2" t="inlineStr">
        <is>
          <t>统一名称及印刷/电子ISSN并集；多学科按全部已核实行保留；未知不作非Q1；原期刊名异名见文献明细</t>
        </is>
      </c>
    </row>
    <row r="35" ht="38" customHeight="1">
      <c r="A35" s="3" t="inlineStr">
        <is>
          <t>APPLIED BIOCHEMISTRY AND BIOTECHNOLOGY</t>
        </is>
      </c>
      <c r="B35" s="3" t="inlineStr">
        <is>
          <t>0273-2289</t>
        </is>
      </c>
      <c r="C35" s="3" t="inlineStr">
        <is>
          <t>1559-0291</t>
        </is>
      </c>
      <c r="D35" s="3" t="n">
        <v>2</v>
      </c>
      <c r="E35" s="3" t="n">
        <v>2</v>
      </c>
      <c r="F35" s="3" t="n">
        <v>2</v>
      </c>
      <c r="G35" s="3" t="n">
        <v>0</v>
      </c>
      <c r="H35" s="3" t="n">
        <v>0</v>
      </c>
      <c r="I35" s="3" t="n">
        <v>2024</v>
      </c>
      <c r="J35" s="3" t="n">
        <v>2025</v>
      </c>
      <c r="K35" s="3" t="inlineStr">
        <is>
          <t>BIOCHEMISTRY &amp; MOLECULAR BIOLOGY; BIOTECHNOLOGY &amp; APPLIED MICROBIOLOGY</t>
        </is>
      </c>
      <c r="L35" s="3" t="inlineStr">
        <is>
          <t>BIOCHEMISTRY &amp; MOLECULAR BIOLOGY: Q2; BIOTECHNOLOGY &amp; APPLIED MICROBIOLOGY: Q2</t>
        </is>
      </c>
      <c r="M35" s="3" t="inlineStr">
        <is>
          <t>否</t>
        </is>
      </c>
      <c r="N35" s="3" t="inlineStr">
        <is>
          <t>否</t>
        </is>
      </c>
      <c r="O35" s="3" t="inlineStr">
        <is>
          <t>是</t>
        </is>
      </c>
      <c r="P35" s="3" t="inlineStr">
        <is>
          <t>https://topj.lib.whu.edu.cn/show.asp?cat=sci&amp;id=2805</t>
        </is>
      </c>
      <c r="Q35" s="3" t="inlineStr">
        <is>
          <t>统一名称及印刷/电子ISSN并集；多学科按全部已核实行保留；未知不作非Q1；原期刊名异名见文献明细</t>
        </is>
      </c>
    </row>
    <row r="36" ht="38" customHeight="1">
      <c r="A36" s="2" t="inlineStr">
        <is>
          <t>BIOENERGY RESEARCH</t>
        </is>
      </c>
      <c r="B36" s="2" t="inlineStr">
        <is>
          <t>1939-1234</t>
        </is>
      </c>
      <c r="C36" s="2" t="inlineStr">
        <is>
          <t>1939-1242</t>
        </is>
      </c>
      <c r="D36" s="2" t="n">
        <v>2</v>
      </c>
      <c r="E36" s="2" t="n">
        <v>2</v>
      </c>
      <c r="F36" s="2" t="n">
        <v>1</v>
      </c>
      <c r="G36" s="2" t="n">
        <v>1</v>
      </c>
      <c r="H36" s="2" t="n">
        <v>0</v>
      </c>
      <c r="I36" s="2" t="n">
        <v>2024</v>
      </c>
      <c r="J36" s="2" t="n">
        <v>2025</v>
      </c>
      <c r="K36" s="2" t="inlineStr">
        <is>
          <t>ENERGY &amp; FUELS; ENVIRONMENTAL SCIENCES</t>
        </is>
      </c>
      <c r="L36" s="2" t="inlineStr">
        <is>
          <t>ENERGY &amp; FUELS: Q3; ENVIRONMENTAL SCIENCES: Q3</t>
        </is>
      </c>
      <c r="M36" s="2" t="inlineStr">
        <is>
          <t>否</t>
        </is>
      </c>
      <c r="N36" s="2" t="inlineStr">
        <is>
          <t>否</t>
        </is>
      </c>
      <c r="O36" s="2" t="inlineStr">
        <is>
          <t>是</t>
        </is>
      </c>
      <c r="P36" s="2" t="inlineStr">
        <is>
          <t>https://topj.lib.whu.edu.cn/search.asp?cat=esi&amp;ordertype=desc&amp;page=7&amp;q=&amp;xk=19</t>
        </is>
      </c>
      <c r="Q36" s="2" t="inlineStr">
        <is>
          <t>统一名称及印刷/电子ISSN并集；多学科按全部已核实行保留；未知不作非Q1；原期刊名异名见文献明细</t>
        </is>
      </c>
    </row>
    <row r="37" ht="38" customHeight="1">
      <c r="A37" s="3" t="inlineStr">
        <is>
          <t>BIOPROCESS AND BIOSYSTEMS ENGINEERING</t>
        </is>
      </c>
      <c r="B37" s="3" t="inlineStr">
        <is>
          <t>1615-7591</t>
        </is>
      </c>
      <c r="C37" s="3" t="inlineStr">
        <is>
          <t>1615-7605</t>
        </is>
      </c>
      <c r="D37" s="3" t="n">
        <v>2</v>
      </c>
      <c r="E37" s="3" t="n">
        <v>2</v>
      </c>
      <c r="F37" s="3" t="n">
        <v>2</v>
      </c>
      <c r="G37" s="3" t="n">
        <v>0</v>
      </c>
      <c r="H37" s="3" t="n">
        <v>0</v>
      </c>
      <c r="I37" s="3" t="n">
        <v>2024</v>
      </c>
      <c r="J37" s="3" t="n">
        <v>2025</v>
      </c>
      <c r="K37" s="3" t="inlineStr">
        <is>
          <t>BIOTECHNOLOGY &amp; APPLIED MICROBIOLOGY; ENGINEERING, CHEMICAL</t>
        </is>
      </c>
      <c r="L37" s="3" t="inlineStr">
        <is>
          <t>BIOTECHNOLOGY &amp; APPLIED MICROBIOLOGY: Q2; ENGINEERING, CHEMICAL: Q2</t>
        </is>
      </c>
      <c r="M37" s="3" t="inlineStr">
        <is>
          <t>否</t>
        </is>
      </c>
      <c r="N37" s="3" t="inlineStr">
        <is>
          <t>否</t>
        </is>
      </c>
      <c r="O37" s="3" t="inlineStr">
        <is>
          <t>是</t>
        </is>
      </c>
      <c r="P37" s="3" t="inlineStr">
        <is>
          <t>https://topj.lib.whu.edu.cn/show.asp?cat=sci&amp;id=5879</t>
        </is>
      </c>
      <c r="Q37" s="3" t="inlineStr">
        <is>
          <t>统一名称及印刷/电子ISSN并集；多学科按全部已核实行保留；未知不作非Q1；原期刊名异名见文献明细</t>
        </is>
      </c>
    </row>
    <row r="38" ht="38" customHeight="1">
      <c r="A38" s="2" t="inlineStr">
        <is>
          <t>BIOTECHNOLOGY ADVANCES</t>
        </is>
      </c>
      <c r="B38" s="2" t="inlineStr">
        <is>
          <t>0734-9750</t>
        </is>
      </c>
      <c r="C38" s="2" t="inlineStr"/>
      <c r="D38" s="2" t="n">
        <v>2</v>
      </c>
      <c r="E38" s="2" t="n">
        <v>2</v>
      </c>
      <c r="F38" s="2" t="n">
        <v>1</v>
      </c>
      <c r="G38" s="2" t="n">
        <v>1</v>
      </c>
      <c r="H38" s="2" t="n">
        <v>0</v>
      </c>
      <c r="I38" s="2" t="n">
        <v>2024</v>
      </c>
      <c r="J38" s="2" t="n">
        <v>2025</v>
      </c>
      <c r="K38" s="2" t="inlineStr">
        <is>
          <t>BIOTECHNOLOGY &amp; APPLIED MICROBIOLOGY</t>
        </is>
      </c>
      <c r="L38" s="2" t="inlineStr">
        <is>
          <t>BIOTECHNOLOGY &amp; APPLIED MICROBIOLOGY: Q1</t>
        </is>
      </c>
      <c r="M38" s="4" t="inlineStr">
        <is>
          <t>是</t>
        </is>
      </c>
      <c r="N38" s="4" t="inlineStr">
        <is>
          <t>是</t>
        </is>
      </c>
      <c r="O38" s="2" t="inlineStr">
        <is>
          <t>是</t>
        </is>
      </c>
      <c r="P38" s="2" t="inlineStr">
        <is>
          <t>https://topj.lib.whu.edu.cn/show.asp?cat=sci&amp;id=2745</t>
        </is>
      </c>
      <c r="Q38" s="2" t="inlineStr">
        <is>
          <t>统一名称及印刷/电子ISSN并集；多学科按全部已核实行保留；未知不作非Q1；原期刊名异名见文献明细</t>
        </is>
      </c>
    </row>
    <row r="39" ht="38" customHeight="1">
      <c r="A39" s="3" t="inlineStr">
        <is>
          <t>Biochemical Engineering Journal</t>
        </is>
      </c>
      <c r="B39" s="3" t="inlineStr">
        <is>
          <t>1369-703X</t>
        </is>
      </c>
      <c r="C39" s="3" t="inlineStr"/>
      <c r="D39" s="3" t="n">
        <v>2</v>
      </c>
      <c r="E39" s="3" t="n">
        <v>2</v>
      </c>
      <c r="F39" s="3" t="n">
        <v>2</v>
      </c>
      <c r="G39" s="3" t="n">
        <v>0</v>
      </c>
      <c r="H39" s="3" t="n">
        <v>0</v>
      </c>
      <c r="I39" s="3" t="n">
        <v>2024</v>
      </c>
      <c r="J39" s="3" t="n">
        <v>2025</v>
      </c>
      <c r="K39" s="3" t="inlineStr">
        <is>
          <t>BIOTECHNOLOGY &amp; APPLIED MICROBIOLOGY; ENGINEERING, CHEMICAL</t>
        </is>
      </c>
      <c r="L39" s="3" t="inlineStr">
        <is>
          <t>BIOTECHNOLOGY &amp; APPLIED MICROBIOLOGY: Q2; ENGINEERING, CHEMICAL: Q2</t>
        </is>
      </c>
      <c r="M39" s="3" t="inlineStr">
        <is>
          <t>否</t>
        </is>
      </c>
      <c r="N39" s="3" t="inlineStr">
        <is>
          <t>否</t>
        </is>
      </c>
      <c r="O39" s="3" t="inlineStr">
        <is>
          <t>是</t>
        </is>
      </c>
      <c r="P39" s="3" t="inlineStr">
        <is>
          <t>https://topj.lib.whu.edu.cn/show.asp?cat=sci&amp;id=5875</t>
        </is>
      </c>
      <c r="Q39" s="3" t="inlineStr">
        <is>
          <t>统一名称及印刷/电子ISSN并集；多学科按全部已核实行保留；未知不作非Q1；原期刊名异名见文献明细</t>
        </is>
      </c>
    </row>
    <row r="40" ht="38" customHeight="1">
      <c r="A40" s="2" t="inlineStr">
        <is>
          <t>ChemBioEng Reviews</t>
        </is>
      </c>
      <c r="B40" s="2" t="inlineStr">
        <is>
          <t>2196-9744</t>
        </is>
      </c>
      <c r="C40" s="2" t="inlineStr">
        <is>
          <t>2196-9744</t>
        </is>
      </c>
      <c r="D40" s="2" t="n">
        <v>2</v>
      </c>
      <c r="E40" s="2" t="n">
        <v>2</v>
      </c>
      <c r="F40" s="2" t="n">
        <v>0</v>
      </c>
      <c r="G40" s="2" t="n">
        <v>2</v>
      </c>
      <c r="H40" s="2" t="n">
        <v>0</v>
      </c>
      <c r="I40" s="2" t="n">
        <v>2024</v>
      </c>
      <c r="J40" s="2" t="n">
        <v>2025</v>
      </c>
      <c r="K40" s="2" t="inlineStr">
        <is>
          <t>ENGINEERING, CHEMICAL</t>
        </is>
      </c>
      <c r="L40" s="2" t="inlineStr">
        <is>
          <t>ENGINEERING, CHEMICAL: Q1</t>
        </is>
      </c>
      <c r="M40" s="4" t="inlineStr">
        <is>
          <t>是</t>
        </is>
      </c>
      <c r="N40" s="4" t="inlineStr">
        <is>
          <t>是</t>
        </is>
      </c>
      <c r="O40" s="2" t="inlineStr">
        <is>
          <t>是</t>
        </is>
      </c>
      <c r="P40" s="2" t="inlineStr">
        <is>
          <t>https://topj.lib.whu.edu.cn/show.asp?cat=zk&amp;id=5139</t>
        </is>
      </c>
      <c r="Q40" s="2" t="inlineStr">
        <is>
          <t>统一名称及印刷/电子ISSN并集；多学科按全部已核实行保留；未知不作非Q1；原期刊名异名见文献明细</t>
        </is>
      </c>
    </row>
    <row r="41" ht="38" customHeight="1">
      <c r="A41" s="3" t="inlineStr">
        <is>
          <t>Current Organic Chemistry</t>
        </is>
      </c>
      <c r="B41" s="3" t="inlineStr">
        <is>
          <t>1385-2728</t>
        </is>
      </c>
      <c r="C41" s="3" t="inlineStr"/>
      <c r="D41" s="3" t="n">
        <v>2</v>
      </c>
      <c r="E41" s="3" t="n">
        <v>1</v>
      </c>
      <c r="F41" s="3" t="n">
        <v>0</v>
      </c>
      <c r="G41" s="3" t="n">
        <v>2</v>
      </c>
      <c r="H41" s="3" t="n">
        <v>0</v>
      </c>
      <c r="I41" s="3" t="n">
        <v>2024</v>
      </c>
      <c r="J41" s="3" t="n">
        <v>2025</v>
      </c>
      <c r="K41" s="3" t="inlineStr"/>
      <c r="L41" s="3" t="inlineStr"/>
      <c r="M41" s="3" t="inlineStr">
        <is>
          <t>待核实</t>
        </is>
      </c>
      <c r="N41" s="3" t="inlineStr">
        <is>
          <t>待核实</t>
        </is>
      </c>
      <c r="O41" s="3" t="inlineStr">
        <is>
          <t>否</t>
        </is>
      </c>
      <c r="P41" s="3" t="inlineStr"/>
      <c r="Q41" s="3" t="inlineStr">
        <is>
          <t>统一名称及印刷/电子ISSN并集；多学科按全部已核实行保留；未知不作非Q1；原期刊名异名见文献明细</t>
        </is>
      </c>
    </row>
    <row r="42" ht="38" customHeight="1">
      <c r="A42" s="2" t="inlineStr">
        <is>
          <t>Desalination and Water Treatment</t>
        </is>
      </c>
      <c r="B42" s="2" t="inlineStr">
        <is>
          <t>1944-3986</t>
        </is>
      </c>
      <c r="C42" s="2" t="inlineStr"/>
      <c r="D42" s="2" t="n">
        <v>2</v>
      </c>
      <c r="E42" s="2" t="n">
        <v>2</v>
      </c>
      <c r="F42" s="2" t="n">
        <v>2</v>
      </c>
      <c r="G42" s="2" t="n">
        <v>0</v>
      </c>
      <c r="H42" s="2" t="n">
        <v>0</v>
      </c>
      <c r="I42" s="2" t="n">
        <v>2024</v>
      </c>
      <c r="J42" s="2" t="n">
        <v>2025</v>
      </c>
      <c r="K42" s="2" t="inlineStr">
        <is>
          <t>WATER RESOURCES; ENGINEERING, CHEMICAL</t>
        </is>
      </c>
      <c r="L42" s="2" t="inlineStr">
        <is>
          <t>WATER RESOURCES: Q4; ENGINEERING, CHEMICAL: Q4</t>
        </is>
      </c>
      <c r="M42" s="2" t="inlineStr">
        <is>
          <t>否</t>
        </is>
      </c>
      <c r="N42" s="2" t="inlineStr">
        <is>
          <t>否</t>
        </is>
      </c>
      <c r="O42" s="2" t="inlineStr">
        <is>
          <t>是</t>
        </is>
      </c>
      <c r="P42" s="2" t="inlineStr">
        <is>
          <t>https://topj.lib.whu.edu.cn/show.asp?cat=sci&amp;id=5937</t>
        </is>
      </c>
      <c r="Q42" s="2" t="inlineStr">
        <is>
          <t>统一名称及印刷/电子ISSN并集；多学科按全部已核实行保留；未知不作非Q1；原期刊名异名见文献明细</t>
        </is>
      </c>
    </row>
    <row r="43" ht="38" customHeight="1">
      <c r="A43" s="3" t="inlineStr">
        <is>
          <t>ENVIRONMENTAL ENGINEERING RESEARCH</t>
        </is>
      </c>
      <c r="B43" s="3" t="inlineStr">
        <is>
          <t>1226-1025</t>
        </is>
      </c>
      <c r="C43" s="3" t="inlineStr">
        <is>
          <t>2005-968X</t>
        </is>
      </c>
      <c r="D43" s="3" t="n">
        <v>2</v>
      </c>
      <c r="E43" s="3" t="n">
        <v>2</v>
      </c>
      <c r="F43" s="3" t="n">
        <v>2</v>
      </c>
      <c r="G43" s="3" t="n">
        <v>0</v>
      </c>
      <c r="H43" s="3" t="n">
        <v>0</v>
      </c>
      <c r="I43" s="3" t="n">
        <v>2024</v>
      </c>
      <c r="J43" s="3" t="n">
        <v>2025</v>
      </c>
      <c r="K43" s="3" t="inlineStr">
        <is>
          <t>ENGINEERING, ENVIRONMENTAL; ENVIRONMENTAL SCIENCES</t>
        </is>
      </c>
      <c r="L43" s="3" t="inlineStr">
        <is>
          <t>ENGINEERING, ENVIRONMENTAL: Q3; ENVIRONMENTAL SCIENCES: Q3</t>
        </is>
      </c>
      <c r="M43" s="3" t="inlineStr">
        <is>
          <t>否</t>
        </is>
      </c>
      <c r="N43" s="3" t="inlineStr">
        <is>
          <t>否</t>
        </is>
      </c>
      <c r="O43" s="3" t="inlineStr">
        <is>
          <t>是</t>
        </is>
      </c>
      <c r="P43" s="3" t="inlineStr">
        <is>
          <t>https://topj.lib.whu.edu.cn/search2.asp?ordertype=&amp;page=18&amp;q=&amp;sea=e&amp;searchtype=esi</t>
        </is>
      </c>
      <c r="Q43" s="3" t="inlineStr">
        <is>
          <t>统一名称及印刷/电子ISSN并集；多学科按全部已核实行保留；未知不作非Q1；原期刊名异名见文献明细</t>
        </is>
      </c>
    </row>
    <row r="44" ht="38" customHeight="1">
      <c r="A44" s="2" t="inlineStr">
        <is>
          <t>JOURNAL OF CHEMICAL TECHNOLOGY AND BIOTECHNOLOGY</t>
        </is>
      </c>
      <c r="B44" s="2" t="inlineStr">
        <is>
          <t>0268-2575</t>
        </is>
      </c>
      <c r="C44" s="2" t="inlineStr">
        <is>
          <t>1097-4660</t>
        </is>
      </c>
      <c r="D44" s="2" t="n">
        <v>2</v>
      </c>
      <c r="E44" s="2" t="n">
        <v>2</v>
      </c>
      <c r="F44" s="2" t="n">
        <v>2</v>
      </c>
      <c r="G44" s="2" t="n">
        <v>0</v>
      </c>
      <c r="H44" s="2" t="n">
        <v>0</v>
      </c>
      <c r="I44" s="2" t="n">
        <v>2024</v>
      </c>
      <c r="J44" s="2" t="n">
        <v>2025</v>
      </c>
      <c r="K44" s="2" t="inlineStr">
        <is>
          <t>BIOTECHNOLOGY &amp; APPLIED MICROBIOLOGY; CHEMISTRY, MULTIDISCIPLINARY; ENGINEERING, CHEMICAL; ENGINEERING, ENVIRONMENTAL</t>
        </is>
      </c>
      <c r="L44" s="2" t="inlineStr">
        <is>
          <t>BIOTECHNOLOGY &amp; APPLIED MICROBIOLOGY: Q3; CHEMISTRY, MULTIDISCIPLINARY: Q3; ENGINEERING, CHEMICAL: Q3; ENGINEERING, ENVIRONMENTAL: Q3</t>
        </is>
      </c>
      <c r="M44" s="2" t="inlineStr">
        <is>
          <t>否</t>
        </is>
      </c>
      <c r="N44" s="2" t="inlineStr">
        <is>
          <t>否</t>
        </is>
      </c>
      <c r="O44" s="2" t="inlineStr">
        <is>
          <t>是</t>
        </is>
      </c>
      <c r="P44" s="2" t="inlineStr">
        <is>
          <t>https://topj.lib.whu.edu.cn/show.asp?cat=zk&amp;id=7182</t>
        </is>
      </c>
      <c r="Q44" s="2" t="inlineStr">
        <is>
          <t>统一名称及印刷/电子ISSN并集；多学科按全部已核实行保留；未知不作非Q1；原期刊名异名见文献明细</t>
        </is>
      </c>
    </row>
    <row r="45" ht="38" customHeight="1">
      <c r="A45" s="3" t="inlineStr">
        <is>
          <t>JOURNAL OF ENVIRONMENTAL SCIENCE AND HEALTH PART A-TOXIC/HAZARDOUS SUBSTANCES &amp; ENVIRONMENTAL ENGINEERING</t>
        </is>
      </c>
      <c r="B45" s="3" t="inlineStr">
        <is>
          <t>1093-4529</t>
        </is>
      </c>
      <c r="C45" s="3" t="inlineStr">
        <is>
          <t>1532-4117</t>
        </is>
      </c>
      <c r="D45" s="3" t="n">
        <v>2</v>
      </c>
      <c r="E45" s="3" t="n">
        <v>2</v>
      </c>
      <c r="F45" s="3" t="n">
        <v>2</v>
      </c>
      <c r="G45" s="3" t="n">
        <v>0</v>
      </c>
      <c r="H45" s="3" t="n">
        <v>0</v>
      </c>
      <c r="I45" s="3" t="n">
        <v>2024</v>
      </c>
      <c r="J45" s="3" t="n">
        <v>2025</v>
      </c>
      <c r="K45" s="3" t="inlineStr">
        <is>
          <t>ENGINEERING, ENVIRONMENTAL; ENVIRONMENTAL SCIENCES</t>
        </is>
      </c>
      <c r="L45" s="3" t="inlineStr">
        <is>
          <t>ENGINEERING, ENVIRONMENTAL: Q4; ENVIRONMENTAL SCIENCES: Q3</t>
        </is>
      </c>
      <c r="M45" s="3" t="inlineStr">
        <is>
          <t>否</t>
        </is>
      </c>
      <c r="N45" s="3" t="inlineStr">
        <is>
          <t>否</t>
        </is>
      </c>
      <c r="O45" s="3" t="inlineStr">
        <is>
          <t>是</t>
        </is>
      </c>
      <c r="P45" s="3" t="inlineStr">
        <is>
          <t>https://topj.lib.whu.edu.cn/show.asp?cat=zk&amp;id=4361</t>
        </is>
      </c>
      <c r="Q45" s="3" t="inlineStr">
        <is>
          <t>统一名称及印刷/电子ISSN并集；多学科按全部已核实行保留；未知不作非Q1；原期刊名异名见文献明细</t>
        </is>
      </c>
    </row>
    <row r="46" ht="38" customHeight="1">
      <c r="A46" s="2" t="inlineStr">
        <is>
          <t>Journal of Material Cycles and Waste Management</t>
        </is>
      </c>
      <c r="B46" s="2" t="inlineStr">
        <is>
          <t>1438-4957</t>
        </is>
      </c>
      <c r="C46" s="2" t="inlineStr">
        <is>
          <t>1611-8227</t>
        </is>
      </c>
      <c r="D46" s="2" t="n">
        <v>2</v>
      </c>
      <c r="E46" s="2" t="n">
        <v>2</v>
      </c>
      <c r="F46" s="2" t="n">
        <v>2</v>
      </c>
      <c r="G46" s="2" t="n">
        <v>0</v>
      </c>
      <c r="H46" s="2" t="n">
        <v>0</v>
      </c>
      <c r="I46" s="2" t="n">
        <v>2024</v>
      </c>
      <c r="J46" s="2" t="n">
        <v>2025</v>
      </c>
      <c r="K46" s="2" t="inlineStr">
        <is>
          <t>ENVIRONMENTAL SCIENCES</t>
        </is>
      </c>
      <c r="L46" s="2" t="inlineStr">
        <is>
          <t>ENVIRONMENTAL SCIENCES: Q3</t>
        </is>
      </c>
      <c r="M46" s="2" t="inlineStr">
        <is>
          <t>否</t>
        </is>
      </c>
      <c r="N46" s="2" t="inlineStr">
        <is>
          <t>否</t>
        </is>
      </c>
      <c r="O46" s="2" t="inlineStr">
        <is>
          <t>是</t>
        </is>
      </c>
      <c r="P46" s="2" t="inlineStr">
        <is>
          <t>https://topj.lib.whu.edu.cn/show.asp?cat=zk&amp;id=4243</t>
        </is>
      </c>
      <c r="Q46" s="2" t="inlineStr">
        <is>
          <t>统一名称及印刷/电子ISSN并集；多学科按全部已核实行保留；未知不作非Q1；原期刊名异名见文献明细</t>
        </is>
      </c>
    </row>
    <row r="47" ht="38" customHeight="1">
      <c r="A47" s="3" t="inlineStr">
        <is>
          <t>Journal of Residuals Science &amp; Technology</t>
        </is>
      </c>
      <c r="B47" s="3" t="inlineStr">
        <is>
          <t>1544-8053</t>
        </is>
      </c>
      <c r="C47" s="3" t="inlineStr"/>
      <c r="D47" s="3" t="n">
        <v>2</v>
      </c>
      <c r="E47" s="3" t="n">
        <v>2</v>
      </c>
      <c r="F47" s="3" t="n">
        <v>2</v>
      </c>
      <c r="G47" s="3" t="n">
        <v>0</v>
      </c>
      <c r="H47" s="3" t="n">
        <v>0</v>
      </c>
      <c r="I47" s="3" t="n">
        <v>2024</v>
      </c>
      <c r="J47" s="3" t="n">
        <v>2025</v>
      </c>
      <c r="K47" s="3" t="inlineStr"/>
      <c r="L47" s="3" t="inlineStr"/>
      <c r="M47" s="3" t="inlineStr">
        <is>
          <t>待核实</t>
        </is>
      </c>
      <c r="N47" s="3" t="inlineStr">
        <is>
          <t>待核实</t>
        </is>
      </c>
      <c r="O47" s="3" t="inlineStr">
        <is>
          <t>否</t>
        </is>
      </c>
      <c r="P47" s="3" t="inlineStr"/>
      <c r="Q47" s="3" t="inlineStr">
        <is>
          <t>统一名称及印刷/电子ISSN并集；多学科按全部已核实行保留；未知不作非Q1；原期刊名异名见文献明细</t>
        </is>
      </c>
    </row>
    <row r="48" ht="38" customHeight="1">
      <c r="A48" s="2" t="inlineStr">
        <is>
          <t>Microorganisms</t>
        </is>
      </c>
      <c r="B48" s="2" t="inlineStr"/>
      <c r="C48" s="2" t="inlineStr">
        <is>
          <t>2076-2607</t>
        </is>
      </c>
      <c r="D48" s="2" t="n">
        <v>2</v>
      </c>
      <c r="E48" s="2" t="n">
        <v>2</v>
      </c>
      <c r="F48" s="2" t="n">
        <v>1</v>
      </c>
      <c r="G48" s="2" t="n">
        <v>1</v>
      </c>
      <c r="H48" s="2" t="n">
        <v>0</v>
      </c>
      <c r="I48" s="2" t="n">
        <v>2024</v>
      </c>
      <c r="J48" s="2" t="n">
        <v>2025</v>
      </c>
      <c r="K48" s="2" t="inlineStr"/>
      <c r="L48" s="2" t="inlineStr"/>
      <c r="M48" s="2" t="inlineStr">
        <is>
          <t>待核实</t>
        </is>
      </c>
      <c r="N48" s="2" t="inlineStr">
        <is>
          <t>待核实</t>
        </is>
      </c>
      <c r="O48" s="2" t="inlineStr">
        <is>
          <t>否</t>
        </is>
      </c>
      <c r="P48" s="2" t="inlineStr"/>
      <c r="Q48" s="2" t="inlineStr">
        <is>
          <t>统一名称及印刷/电子ISSN并集；多学科按全部已核实行保留；未知不作非Q1；原期刊名异名见文献明细</t>
        </is>
      </c>
    </row>
    <row r="49" ht="38" customHeight="1">
      <c r="A49" s="3" t="inlineStr">
        <is>
          <t>PROCESS BIOCHEMISTRY</t>
        </is>
      </c>
      <c r="B49" s="3" t="inlineStr">
        <is>
          <t>1359-5113</t>
        </is>
      </c>
      <c r="C49" s="3" t="inlineStr"/>
      <c r="D49" s="3" t="n">
        <v>2</v>
      </c>
      <c r="E49" s="3" t="n">
        <v>2</v>
      </c>
      <c r="F49" s="3" t="n">
        <v>2</v>
      </c>
      <c r="G49" s="3" t="n">
        <v>0</v>
      </c>
      <c r="H49" s="3" t="n">
        <v>0</v>
      </c>
      <c r="I49" s="3" t="n">
        <v>2024</v>
      </c>
      <c r="J49" s="3" t="n">
        <v>2025</v>
      </c>
      <c r="K49" s="3" t="inlineStr">
        <is>
          <t>BIOCHEMISTRY &amp; MOLECULAR BIOLOGY; BIOTECHNOLOGY &amp; APPLIED MICROBIOLOGY; ENGINEERING, CHEMICAL</t>
        </is>
      </c>
      <c r="L49" s="3" t="inlineStr">
        <is>
          <t>BIOCHEMISTRY &amp; MOLECULAR BIOLOGY: Q2; BIOTECHNOLOGY &amp; APPLIED MICROBIOLOGY: Q2; ENGINEERING, CHEMICAL: Q2</t>
        </is>
      </c>
      <c r="M49" s="3" t="inlineStr">
        <is>
          <t>否</t>
        </is>
      </c>
      <c r="N49" s="3" t="inlineStr">
        <is>
          <t>否</t>
        </is>
      </c>
      <c r="O49" s="3" t="inlineStr">
        <is>
          <t>是</t>
        </is>
      </c>
      <c r="P49" s="3" t="inlineStr">
        <is>
          <t>https://topj.lib.whu.edu.cn/show.asp?cat=sci&amp;id=5869</t>
        </is>
      </c>
      <c r="Q49" s="3" t="inlineStr">
        <is>
          <t>统一名称及印刷/电子ISSN并集；多学科按全部已核实行保留；未知不作非Q1；原期刊名异名见文献明细</t>
        </is>
      </c>
    </row>
    <row r="50" ht="38" customHeight="1">
      <c r="A50" s="2" t="inlineStr">
        <is>
          <t>RSC Advances</t>
        </is>
      </c>
      <c r="B50" s="2" t="inlineStr"/>
      <c r="C50" s="2" t="inlineStr">
        <is>
          <t>2046-2069</t>
        </is>
      </c>
      <c r="D50" s="2" t="n">
        <v>2</v>
      </c>
      <c r="E50" s="2" t="n">
        <v>2</v>
      </c>
      <c r="F50" s="2" t="n">
        <v>2</v>
      </c>
      <c r="G50" s="2" t="n">
        <v>0</v>
      </c>
      <c r="H50" s="2" t="n">
        <v>0</v>
      </c>
      <c r="I50" s="2" t="n">
        <v>2024</v>
      </c>
      <c r="J50" s="2" t="n">
        <v>2025</v>
      </c>
      <c r="K50" s="2" t="inlineStr"/>
      <c r="L50" s="2" t="inlineStr"/>
      <c r="M50" s="2" t="inlineStr">
        <is>
          <t>待核实</t>
        </is>
      </c>
      <c r="N50" s="2" t="inlineStr">
        <is>
          <t>待核实</t>
        </is>
      </c>
      <c r="O50" s="2" t="inlineStr">
        <is>
          <t>否</t>
        </is>
      </c>
      <c r="P50" s="2" t="inlineStr"/>
      <c r="Q50" s="2" t="inlineStr">
        <is>
          <t>统一名称及印刷/电子ISSN并集；多学科按全部已核实行保留；未知不作非Q1；原期刊名异名见文献明细</t>
        </is>
      </c>
    </row>
    <row r="51" ht="38" customHeight="1">
      <c r="A51" s="3" t="inlineStr">
        <is>
          <t>3 Biotech</t>
        </is>
      </c>
      <c r="B51" s="3" t="inlineStr">
        <is>
          <t>2190-572X</t>
        </is>
      </c>
      <c r="C51" s="3" t="inlineStr">
        <is>
          <t>2190-5738</t>
        </is>
      </c>
      <c r="D51" s="3" t="n">
        <v>1</v>
      </c>
      <c r="E51" s="3" t="n">
        <v>1</v>
      </c>
      <c r="F51" s="3" t="n">
        <v>0</v>
      </c>
      <c r="G51" s="3" t="n">
        <v>1</v>
      </c>
      <c r="H51" s="3" t="n">
        <v>0</v>
      </c>
      <c r="I51" s="3" t="n">
        <v>2024</v>
      </c>
      <c r="J51" s="3" t="n">
        <v>2025</v>
      </c>
      <c r="K51" s="3" t="inlineStr">
        <is>
          <t>BIOTECHNOLOGY &amp; APPLIED MICROBIOLOGY</t>
        </is>
      </c>
      <c r="L51" s="3" t="inlineStr">
        <is>
          <t>BIOTECHNOLOGY &amp; APPLIED MICROBIOLOGY: Q2</t>
        </is>
      </c>
      <c r="M51" s="3" t="inlineStr">
        <is>
          <t>否</t>
        </is>
      </c>
      <c r="N51" s="3" t="inlineStr">
        <is>
          <t>否</t>
        </is>
      </c>
      <c r="O51" s="3" t="inlineStr">
        <is>
          <t>是</t>
        </is>
      </c>
      <c r="P51" s="3" t="inlineStr">
        <is>
          <t>https://topj.lib.whu.edu.cn/show.asp?cat=sci&amp;id=2819</t>
        </is>
      </c>
      <c r="Q51" s="3" t="inlineStr">
        <is>
          <t>统一名称及印刷/电子ISSN并集；多学科按全部已核实行保留；未知不作非Q1；原期刊名异名见文献明细</t>
        </is>
      </c>
    </row>
    <row r="52" ht="38" customHeight="1">
      <c r="A52" s="2" t="inlineStr">
        <is>
          <t>ACS ES&amp;T Engineering</t>
        </is>
      </c>
      <c r="B52" s="2" t="inlineStr">
        <is>
          <t>2690-0645</t>
        </is>
      </c>
      <c r="C52" s="2" t="inlineStr">
        <is>
          <t>2690-0645</t>
        </is>
      </c>
      <c r="D52" s="2" t="n">
        <v>1</v>
      </c>
      <c r="E52" s="2" t="n">
        <v>1</v>
      </c>
      <c r="F52" s="2" t="n">
        <v>1</v>
      </c>
      <c r="G52" s="2" t="n">
        <v>0</v>
      </c>
      <c r="H52" s="2" t="n">
        <v>0</v>
      </c>
      <c r="I52" s="2" t="n">
        <v>2024</v>
      </c>
      <c r="J52" s="2" t="n">
        <v>2025</v>
      </c>
      <c r="K52" s="2" t="inlineStr"/>
      <c r="L52" s="2" t="inlineStr"/>
      <c r="M52" s="2" t="inlineStr">
        <is>
          <t>待核实</t>
        </is>
      </c>
      <c r="N52" s="2" t="inlineStr">
        <is>
          <t>待核实</t>
        </is>
      </c>
      <c r="O52" s="2" t="inlineStr">
        <is>
          <t>否</t>
        </is>
      </c>
      <c r="P52" s="2" t="inlineStr"/>
      <c r="Q52" s="2" t="inlineStr">
        <is>
          <t>统一名称及印刷/电子ISSN并集；多学科按全部已核实行保留；未知不作非Q1；原期刊名异名见文献明细</t>
        </is>
      </c>
    </row>
    <row r="53" ht="38" customHeight="1">
      <c r="A53" s="3" t="inlineStr">
        <is>
          <t>ACS Omega</t>
        </is>
      </c>
      <c r="B53" s="3" t="inlineStr"/>
      <c r="C53" s="3" t="inlineStr">
        <is>
          <t>2470-1343</t>
        </is>
      </c>
      <c r="D53" s="3" t="n">
        <v>1</v>
      </c>
      <c r="E53" s="3" t="n">
        <v>1</v>
      </c>
      <c r="F53" s="3" t="n">
        <v>1</v>
      </c>
      <c r="G53" s="3" t="n">
        <v>0</v>
      </c>
      <c r="H53" s="3" t="n">
        <v>0</v>
      </c>
      <c r="I53" s="3" t="n">
        <v>2024</v>
      </c>
      <c r="J53" s="3" t="n">
        <v>2025</v>
      </c>
      <c r="K53" s="3" t="inlineStr">
        <is>
          <t>CHEMISTRY, MULTIDISCIPLINARY</t>
        </is>
      </c>
      <c r="L53" s="3" t="inlineStr">
        <is>
          <t>CHEMISTRY, MULTIDISCIPLINARY: Q2</t>
        </is>
      </c>
      <c r="M53" s="3" t="inlineStr">
        <is>
          <t>否</t>
        </is>
      </c>
      <c r="N53" s="3" t="inlineStr">
        <is>
          <t>否</t>
        </is>
      </c>
      <c r="O53" s="3" t="inlineStr">
        <is>
          <t>是</t>
        </is>
      </c>
      <c r="P53" s="3" t="inlineStr">
        <is>
          <t>https://topj.lib.whu.edu.cn/show.asp?cat=sci&amp;id=3581</t>
        </is>
      </c>
      <c r="Q53" s="3" t="inlineStr">
        <is>
          <t>统一名称及印刷/电子ISSN并集；多学科按全部已核实行保留；未知不作非Q1；原期刊名异名见文献明细</t>
        </is>
      </c>
    </row>
    <row r="54" ht="38" customHeight="1">
      <c r="A54" s="2" t="inlineStr">
        <is>
          <t>AMB Express</t>
        </is>
      </c>
      <c r="B54" s="2" t="inlineStr"/>
      <c r="C54" s="2" t="inlineStr">
        <is>
          <t>2191-0855</t>
        </is>
      </c>
      <c r="D54" s="2" t="n">
        <v>1</v>
      </c>
      <c r="E54" s="2" t="n">
        <v>1</v>
      </c>
      <c r="F54" s="2" t="n">
        <v>0</v>
      </c>
      <c r="G54" s="2" t="n">
        <v>1</v>
      </c>
      <c r="H54" s="2" t="n">
        <v>0</v>
      </c>
      <c r="I54" s="2" t="n">
        <v>2024</v>
      </c>
      <c r="J54" s="2" t="n">
        <v>2025</v>
      </c>
      <c r="K54" s="2" t="inlineStr">
        <is>
          <t>BIOTECHNOLOGY &amp; APPLIED MICROBIOLOGY</t>
        </is>
      </c>
      <c r="L54" s="2" t="inlineStr">
        <is>
          <t>BIOTECHNOLOGY &amp; APPLIED MICROBIOLOGY: Q2</t>
        </is>
      </c>
      <c r="M54" s="2" t="inlineStr">
        <is>
          <t>否</t>
        </is>
      </c>
      <c r="N54" s="2" t="inlineStr">
        <is>
          <t>否</t>
        </is>
      </c>
      <c r="O54" s="2" t="inlineStr">
        <is>
          <t>是</t>
        </is>
      </c>
      <c r="P54" s="2" t="inlineStr">
        <is>
          <t>https://topj.lib.whu.edu.cn/show.asp?cat=zk&amp;id=6651</t>
        </is>
      </c>
      <c r="Q54" s="2" t="inlineStr">
        <is>
          <t>统一名称及印刷/电子ISSN并集；多学科按全部已核实行保留；未知不作非Q1；原期刊名异名见文献明细</t>
        </is>
      </c>
    </row>
    <row r="55" ht="38" customHeight="1">
      <c r="A55" s="3" t="inlineStr">
        <is>
          <t>APPLIED ECOLOGY AND ENVIRONMENTAL RESEARCH</t>
        </is>
      </c>
      <c r="B55" s="3" t="inlineStr">
        <is>
          <t>1589-1623</t>
        </is>
      </c>
      <c r="C55" s="3" t="inlineStr">
        <is>
          <t>1785-0037</t>
        </is>
      </c>
      <c r="D55" s="3" t="n">
        <v>1</v>
      </c>
      <c r="E55" s="3" t="n">
        <v>1</v>
      </c>
      <c r="F55" s="3" t="n">
        <v>1</v>
      </c>
      <c r="G55" s="3" t="n">
        <v>0</v>
      </c>
      <c r="H55" s="3" t="n">
        <v>0</v>
      </c>
      <c r="I55" s="3" t="n">
        <v>2024</v>
      </c>
      <c r="J55" s="3" t="n">
        <v>2025</v>
      </c>
      <c r="K55" s="3" t="inlineStr">
        <is>
          <t>ECOLOGY; ENVIRONMENTAL SCIENCES</t>
        </is>
      </c>
      <c r="L55" s="3" t="inlineStr">
        <is>
          <t>ECOLOGY: Q4; ENVIRONMENTAL SCIENCES: Q4</t>
        </is>
      </c>
      <c r="M55" s="3" t="inlineStr">
        <is>
          <t>否</t>
        </is>
      </c>
      <c r="N55" s="3" t="inlineStr">
        <is>
          <t>否</t>
        </is>
      </c>
      <c r="O55" s="3" t="inlineStr">
        <is>
          <t>是</t>
        </is>
      </c>
      <c r="P55" s="3" t="inlineStr">
        <is>
          <t>https://topj.lib.whu.edu.cn/show.asp?cat=sci&amp;id=7203</t>
        </is>
      </c>
      <c r="Q55" s="3" t="inlineStr">
        <is>
          <t>统一名称及印刷/电子ISSN并集；多学科按全部已核实行保留；未知不作非Q1；原期刊名异名见文献明细</t>
        </is>
      </c>
    </row>
    <row r="56" ht="38" customHeight="1">
      <c r="A56" s="2" t="inlineStr">
        <is>
          <t>African Journal of Biotechnology</t>
        </is>
      </c>
      <c r="B56" s="2" t="inlineStr"/>
      <c r="C56" s="2" t="inlineStr">
        <is>
          <t>1684-5315</t>
        </is>
      </c>
      <c r="D56" s="2" t="n">
        <v>1</v>
      </c>
      <c r="E56" s="2" t="n">
        <v>1</v>
      </c>
      <c r="F56" s="2" t="n">
        <v>1</v>
      </c>
      <c r="G56" s="2" t="n">
        <v>0</v>
      </c>
      <c r="H56" s="2" t="n">
        <v>0</v>
      </c>
      <c r="I56" s="2" t="n">
        <v>2024</v>
      </c>
      <c r="J56" s="2" t="n">
        <v>2025</v>
      </c>
      <c r="K56" s="2" t="inlineStr"/>
      <c r="L56" s="2" t="inlineStr"/>
      <c r="M56" s="2" t="inlineStr">
        <is>
          <t>待核实</t>
        </is>
      </c>
      <c r="N56" s="2" t="inlineStr">
        <is>
          <t>待核实</t>
        </is>
      </c>
      <c r="O56" s="2" t="inlineStr">
        <is>
          <t>否</t>
        </is>
      </c>
      <c r="P56" s="2" t="inlineStr"/>
      <c r="Q56" s="2" t="inlineStr">
        <is>
          <t>统一名称及印刷/电子ISSN并集；多学科按全部已核实行保留；未知不作非Q1；原期刊名异名见文献明细</t>
        </is>
      </c>
    </row>
    <row r="57" ht="38" customHeight="1">
      <c r="A57" s="3" t="inlineStr">
        <is>
          <t>Agronomy</t>
        </is>
      </c>
      <c r="B57" s="3" t="inlineStr"/>
      <c r="C57" s="3" t="inlineStr">
        <is>
          <t>2073-4395</t>
        </is>
      </c>
      <c r="D57" s="3" t="n">
        <v>1</v>
      </c>
      <c r="E57" s="3" t="n">
        <v>1</v>
      </c>
      <c r="F57" s="3" t="n">
        <v>1</v>
      </c>
      <c r="G57" s="3" t="n">
        <v>0</v>
      </c>
      <c r="H57" s="3" t="n">
        <v>0</v>
      </c>
      <c r="I57" s="3" t="n">
        <v>2024</v>
      </c>
      <c r="J57" s="3" t="n">
        <v>2025</v>
      </c>
      <c r="K57" s="3" t="inlineStr"/>
      <c r="L57" s="3" t="inlineStr"/>
      <c r="M57" s="3" t="inlineStr">
        <is>
          <t>待核实</t>
        </is>
      </c>
      <c r="N57" s="3" t="inlineStr">
        <is>
          <t>待核实</t>
        </is>
      </c>
      <c r="O57" s="3" t="inlineStr">
        <is>
          <t>否</t>
        </is>
      </c>
      <c r="P57" s="3" t="inlineStr"/>
      <c r="Q57" s="3" t="inlineStr">
        <is>
          <t>统一名称及印刷/电子ISSN并集；多学科按全部已核实行保留；未知不作非Q1；原期刊名异名见文献明细</t>
        </is>
      </c>
    </row>
    <row r="58" ht="38" customHeight="1">
      <c r="A58" s="2" t="inlineStr">
        <is>
          <t>Anaerobe</t>
        </is>
      </c>
      <c r="B58" s="2" t="inlineStr">
        <is>
          <t>1075-9964</t>
        </is>
      </c>
      <c r="C58" s="2" t="inlineStr"/>
      <c r="D58" s="2" t="n">
        <v>1</v>
      </c>
      <c r="E58" s="2" t="n">
        <v>1</v>
      </c>
      <c r="F58" s="2" t="n">
        <v>1</v>
      </c>
      <c r="G58" s="2" t="n">
        <v>0</v>
      </c>
      <c r="H58" s="2" t="n">
        <v>0</v>
      </c>
      <c r="I58" s="2" t="n">
        <v>2024</v>
      </c>
      <c r="J58" s="2" t="n">
        <v>2025</v>
      </c>
      <c r="K58" s="2" t="inlineStr"/>
      <c r="L58" s="2" t="inlineStr"/>
      <c r="M58" s="2" t="inlineStr">
        <is>
          <t>待核实</t>
        </is>
      </c>
      <c r="N58" s="2" t="inlineStr">
        <is>
          <t>待核实</t>
        </is>
      </c>
      <c r="O58" s="2" t="inlineStr">
        <is>
          <t>否</t>
        </is>
      </c>
      <c r="P58" s="2" t="inlineStr"/>
      <c r="Q58" s="2" t="inlineStr">
        <is>
          <t>统一名称及印刷/电子ISSN并集；多学科按全部已核实行保留；未知不作非Q1；原期刊名异名见文献明细</t>
        </is>
      </c>
    </row>
    <row r="59" ht="38" customHeight="1">
      <c r="A59" s="3" t="inlineStr">
        <is>
          <t>Antibiotics</t>
        </is>
      </c>
      <c r="B59" s="3" t="inlineStr"/>
      <c r="C59" s="3" t="inlineStr">
        <is>
          <t>2079-6382</t>
        </is>
      </c>
      <c r="D59" s="3" t="n">
        <v>1</v>
      </c>
      <c r="E59" s="3" t="n">
        <v>1</v>
      </c>
      <c r="F59" s="3" t="n">
        <v>1</v>
      </c>
      <c r="G59" s="3" t="n">
        <v>0</v>
      </c>
      <c r="H59" s="3" t="n">
        <v>0</v>
      </c>
      <c r="I59" s="3" t="n">
        <v>2024</v>
      </c>
      <c r="J59" s="3" t="n">
        <v>2025</v>
      </c>
      <c r="K59" s="3" t="inlineStr"/>
      <c r="L59" s="3" t="inlineStr"/>
      <c r="M59" s="3" t="inlineStr">
        <is>
          <t>待核实</t>
        </is>
      </c>
      <c r="N59" s="3" t="inlineStr">
        <is>
          <t>待核实</t>
        </is>
      </c>
      <c r="O59" s="3" t="inlineStr">
        <is>
          <t>否</t>
        </is>
      </c>
      <c r="P59" s="3" t="inlineStr"/>
      <c r="Q59" s="3" t="inlineStr">
        <is>
          <t>统一名称及印刷/电子ISSN并集；多学科按全部已核实行保留；未知不作非Q1；原期刊名异名见文献明细</t>
        </is>
      </c>
    </row>
    <row r="60" ht="38" customHeight="1">
      <c r="A60" s="2" t="inlineStr">
        <is>
          <t>BRAZILIAN JOURNAL OF CHEMICAL ENGINEERING</t>
        </is>
      </c>
      <c r="B60" s="2" t="inlineStr"/>
      <c r="C60" s="2" t="inlineStr">
        <is>
          <t>0104-6632</t>
        </is>
      </c>
      <c r="D60" s="2" t="n">
        <v>1</v>
      </c>
      <c r="E60" s="2" t="n">
        <v>1</v>
      </c>
      <c r="F60" s="2" t="n">
        <v>1</v>
      </c>
      <c r="G60" s="2" t="n">
        <v>0</v>
      </c>
      <c r="H60" s="2" t="n">
        <v>0</v>
      </c>
      <c r="I60" s="2" t="n">
        <v>2024</v>
      </c>
      <c r="J60" s="2" t="n">
        <v>2025</v>
      </c>
      <c r="K60" s="2" t="inlineStr">
        <is>
          <t>ENGINEERING, CHEMICAL</t>
        </is>
      </c>
      <c r="L60" s="2" t="inlineStr">
        <is>
          <t>ENGINEERING, CHEMICAL: Q3</t>
        </is>
      </c>
      <c r="M60" s="2" t="inlineStr">
        <is>
          <t>否</t>
        </is>
      </c>
      <c r="N60" s="2" t="inlineStr">
        <is>
          <t>否</t>
        </is>
      </c>
      <c r="O60" s="2" t="inlineStr">
        <is>
          <t>是</t>
        </is>
      </c>
      <c r="P60" s="2" t="inlineStr">
        <is>
          <t>https://topj.lib.whu.edu.cn/show.asp?cat=sci&amp;id=5923</t>
        </is>
      </c>
      <c r="Q60" s="2" t="inlineStr">
        <is>
          <t>统一名称及印刷/电子ISSN并集；多学科按全部已核实行保留；未知不作非Q1；原期刊名异名见文献明细</t>
        </is>
      </c>
    </row>
    <row r="61" ht="38" customHeight="1">
      <c r="A61" s="3" t="inlineStr">
        <is>
          <t>BSU- Journal of Life Sciences &amp; Biology</t>
        </is>
      </c>
      <c r="B61" s="3" t="inlineStr"/>
      <c r="C61" s="3" t="inlineStr"/>
      <c r="D61" s="3" t="n">
        <v>1</v>
      </c>
      <c r="E61" s="3" t="n">
        <v>1</v>
      </c>
      <c r="F61" s="3" t="n">
        <v>1</v>
      </c>
      <c r="G61" s="3" t="n">
        <v>0</v>
      </c>
      <c r="H61" s="3" t="n">
        <v>0</v>
      </c>
      <c r="I61" s="3" t="n">
        <v>2024</v>
      </c>
      <c r="J61" s="3" t="n">
        <v>2025</v>
      </c>
      <c r="K61" s="3" t="inlineStr"/>
      <c r="L61" s="3" t="inlineStr"/>
      <c r="M61" s="3" t="inlineStr">
        <is>
          <t>待核实</t>
        </is>
      </c>
      <c r="N61" s="3" t="inlineStr">
        <is>
          <t>待核实</t>
        </is>
      </c>
      <c r="O61" s="3" t="inlineStr">
        <is>
          <t>否</t>
        </is>
      </c>
      <c r="P61" s="3" t="inlineStr"/>
      <c r="Q61" s="3" t="inlineStr">
        <is>
          <t>统一名称及印刷/电子ISSN并集；多学科按全部已核实行保留；未知不作非Q1；原期刊名异名见文献明细</t>
        </is>
      </c>
    </row>
    <row r="62" ht="38" customHeight="1">
      <c r="A62" s="2" t="inlineStr">
        <is>
          <t>Bangladesh Journal of Scientific and Industrial Research</t>
        </is>
      </c>
      <c r="B62" s="2" t="inlineStr">
        <is>
          <t>0304-9809</t>
        </is>
      </c>
      <c r="C62" s="2" t="inlineStr">
        <is>
          <t>2224-7157</t>
        </is>
      </c>
      <c r="D62" s="2" t="n">
        <v>1</v>
      </c>
      <c r="E62" s="2" t="n">
        <v>1</v>
      </c>
      <c r="F62" s="2" t="n">
        <v>1</v>
      </c>
      <c r="G62" s="2" t="n">
        <v>0</v>
      </c>
      <c r="H62" s="2" t="n">
        <v>0</v>
      </c>
      <c r="I62" s="2" t="n">
        <v>2024</v>
      </c>
      <c r="J62" s="2" t="n">
        <v>2025</v>
      </c>
      <c r="K62" s="2" t="inlineStr"/>
      <c r="L62" s="2" t="inlineStr"/>
      <c r="M62" s="2" t="inlineStr">
        <is>
          <t>待核实</t>
        </is>
      </c>
      <c r="N62" s="2" t="inlineStr">
        <is>
          <t>待核实</t>
        </is>
      </c>
      <c r="O62" s="2" t="inlineStr">
        <is>
          <t>否</t>
        </is>
      </c>
      <c r="P62" s="2" t="inlineStr"/>
      <c r="Q62" s="2" t="inlineStr">
        <is>
          <t>统一名称及印刷/电子ISSN并集；多学科按全部已核实行保留；未知不作非Q1；原期刊名异名见文献明细</t>
        </is>
      </c>
    </row>
    <row r="63" ht="38" customHeight="1">
      <c r="A63" s="3" t="inlineStr">
        <is>
          <t>Biocycle</t>
        </is>
      </c>
      <c r="B63" s="3" t="inlineStr"/>
      <c r="C63" s="3" t="inlineStr"/>
      <c r="D63" s="3" t="n">
        <v>1</v>
      </c>
      <c r="E63" s="3" t="n">
        <v>0</v>
      </c>
      <c r="F63" s="3" t="n">
        <v>1</v>
      </c>
      <c r="G63" s="3" t="n">
        <v>0</v>
      </c>
      <c r="H63" s="3" t="n">
        <v>0</v>
      </c>
      <c r="I63" s="3" t="n">
        <v>2024</v>
      </c>
      <c r="J63" s="3" t="n">
        <v>2025</v>
      </c>
      <c r="K63" s="3" t="inlineStr"/>
      <c r="L63" s="3" t="inlineStr"/>
      <c r="M63" s="3" t="inlineStr">
        <is>
          <t>待核实</t>
        </is>
      </c>
      <c r="N63" s="3" t="inlineStr">
        <is>
          <t>待核实</t>
        </is>
      </c>
      <c r="O63" s="3" t="inlineStr">
        <is>
          <t>否</t>
        </is>
      </c>
      <c r="P63" s="3" t="inlineStr"/>
      <c r="Q63" s="3" t="inlineStr">
        <is>
          <t>统一名称及印刷/电子ISSN并集；多学科按全部已核实行保留；未知不作非Q1；原期刊名异名见文献明细</t>
        </is>
      </c>
    </row>
    <row r="64" ht="38" customHeight="1">
      <c r="A64" s="2" t="inlineStr">
        <is>
          <t>Bioengineering</t>
        </is>
      </c>
      <c r="B64" s="2" t="inlineStr"/>
      <c r="C64" s="2" t="inlineStr">
        <is>
          <t>2306-5354</t>
        </is>
      </c>
      <c r="D64" s="2" t="n">
        <v>1</v>
      </c>
      <c r="E64" s="2" t="n">
        <v>1</v>
      </c>
      <c r="F64" s="2" t="n">
        <v>0</v>
      </c>
      <c r="G64" s="2" t="n">
        <v>1</v>
      </c>
      <c r="H64" s="2" t="n">
        <v>0</v>
      </c>
      <c r="I64" s="2" t="n">
        <v>2024</v>
      </c>
      <c r="J64" s="2" t="n">
        <v>2025</v>
      </c>
      <c r="K64" s="2" t="inlineStr"/>
      <c r="L64" s="2" t="inlineStr"/>
      <c r="M64" s="2" t="inlineStr">
        <is>
          <t>待核实</t>
        </is>
      </c>
      <c r="N64" s="2" t="inlineStr">
        <is>
          <t>待核实</t>
        </is>
      </c>
      <c r="O64" s="2" t="inlineStr">
        <is>
          <t>否</t>
        </is>
      </c>
      <c r="P64" s="2" t="inlineStr"/>
      <c r="Q64" s="2" t="inlineStr">
        <is>
          <t>统一名称及印刷/电子ISSN并集；多学科按全部已核实行保留；未知不作非Q1；原期刊名异名见文献明细</t>
        </is>
      </c>
    </row>
    <row r="65" ht="38" customHeight="1">
      <c r="A65" s="3" t="inlineStr">
        <is>
          <t>Biofuels, Bioproducts and Biorefining</t>
        </is>
      </c>
      <c r="B65" s="3" t="inlineStr">
        <is>
          <t>1932-104X</t>
        </is>
      </c>
      <c r="C65" s="3" t="inlineStr">
        <is>
          <t>1932-1031</t>
        </is>
      </c>
      <c r="D65" s="3" t="n">
        <v>1</v>
      </c>
      <c r="E65" s="3" t="n">
        <v>1</v>
      </c>
      <c r="F65" s="3" t="n">
        <v>1</v>
      </c>
      <c r="G65" s="3" t="n">
        <v>0</v>
      </c>
      <c r="H65" s="3" t="n">
        <v>0</v>
      </c>
      <c r="I65" s="3" t="n">
        <v>2024</v>
      </c>
      <c r="J65" s="3" t="n">
        <v>2025</v>
      </c>
      <c r="K65" s="3" t="inlineStr"/>
      <c r="L65" s="3" t="inlineStr"/>
      <c r="M65" s="3" t="inlineStr">
        <is>
          <t>待核实</t>
        </is>
      </c>
      <c r="N65" s="3" t="inlineStr">
        <is>
          <t>待核实</t>
        </is>
      </c>
      <c r="O65" s="3" t="inlineStr">
        <is>
          <t>否</t>
        </is>
      </c>
      <c r="P65" s="3" t="inlineStr"/>
      <c r="Q65" s="3" t="inlineStr">
        <is>
          <t>统一名称及印刷/电子ISSN并集；多学科按全部已核实行保留；未知不作非Q1；原期刊名异名见文献明细</t>
        </is>
      </c>
    </row>
    <row r="66" ht="38" customHeight="1">
      <c r="A66" s="2" t="inlineStr">
        <is>
          <t>Biomass</t>
        </is>
      </c>
      <c r="B66" s="2" t="inlineStr"/>
      <c r="C66" s="2" t="inlineStr">
        <is>
          <t>2673-8783</t>
        </is>
      </c>
      <c r="D66" s="2" t="n">
        <v>1</v>
      </c>
      <c r="E66" s="2" t="n">
        <v>1</v>
      </c>
      <c r="F66" s="2" t="n">
        <v>1</v>
      </c>
      <c r="G66" s="2" t="n">
        <v>0</v>
      </c>
      <c r="H66" s="2" t="n">
        <v>0</v>
      </c>
      <c r="I66" s="2" t="n">
        <v>2024</v>
      </c>
      <c r="J66" s="2" t="n">
        <v>2025</v>
      </c>
      <c r="K66" s="2" t="inlineStr"/>
      <c r="L66" s="2" t="inlineStr"/>
      <c r="M66" s="2" t="inlineStr">
        <is>
          <t>待核实</t>
        </is>
      </c>
      <c r="N66" s="2" t="inlineStr">
        <is>
          <t>待核实</t>
        </is>
      </c>
      <c r="O66" s="2" t="inlineStr">
        <is>
          <t>否</t>
        </is>
      </c>
      <c r="P66" s="2" t="inlineStr"/>
      <c r="Q66" s="2" t="inlineStr">
        <is>
          <t>统一名称及印刷/电子ISSN并集；多学科按全部已核实行保留；未知不作非Q1；原期刊名异名见文献明细</t>
        </is>
      </c>
    </row>
    <row r="67" ht="38" customHeight="1">
      <c r="A67" s="3" t="inlineStr">
        <is>
          <t>Biomass Conversion and Biorefinery</t>
        </is>
      </c>
      <c r="B67" s="3" t="inlineStr">
        <is>
          <t>2190-6815</t>
        </is>
      </c>
      <c r="C67" s="3" t="inlineStr">
        <is>
          <t>2190-6823</t>
        </is>
      </c>
      <c r="D67" s="3" t="n">
        <v>1</v>
      </c>
      <c r="E67" s="3" t="n">
        <v>1</v>
      </c>
      <c r="F67" s="3" t="n">
        <v>1</v>
      </c>
      <c r="G67" s="3" t="n">
        <v>0</v>
      </c>
      <c r="H67" s="3" t="n">
        <v>0</v>
      </c>
      <c r="I67" s="3" t="n">
        <v>2024</v>
      </c>
      <c r="J67" s="3" t="n">
        <v>2025</v>
      </c>
      <c r="K67" s="3" t="inlineStr"/>
      <c r="L67" s="3" t="inlineStr"/>
      <c r="M67" s="3" t="inlineStr">
        <is>
          <t>待核实</t>
        </is>
      </c>
      <c r="N67" s="3" t="inlineStr">
        <is>
          <t>待核实</t>
        </is>
      </c>
      <c r="O67" s="3" t="inlineStr">
        <is>
          <t>否</t>
        </is>
      </c>
      <c r="P67" s="3" t="inlineStr"/>
      <c r="Q67" s="3" t="inlineStr">
        <is>
          <t>统一名称及印刷/电子ISSN并集；多学科按全部已核实行保留；未知不作非Q1；原期刊名异名见文献明细</t>
        </is>
      </c>
    </row>
    <row r="68" ht="38" customHeight="1">
      <c r="A68" s="2" t="inlineStr">
        <is>
          <t>Bioresources and Bioprocessing</t>
        </is>
      </c>
      <c r="B68" s="2" t="inlineStr"/>
      <c r="C68" s="2" t="inlineStr">
        <is>
          <t>2197-4365</t>
        </is>
      </c>
      <c r="D68" s="2" t="n">
        <v>1</v>
      </c>
      <c r="E68" s="2" t="n">
        <v>1</v>
      </c>
      <c r="F68" s="2" t="n">
        <v>0</v>
      </c>
      <c r="G68" s="2" t="n">
        <v>1</v>
      </c>
      <c r="H68" s="2" t="n">
        <v>0</v>
      </c>
      <c r="I68" s="2" t="n">
        <v>2024</v>
      </c>
      <c r="J68" s="2" t="n">
        <v>2025</v>
      </c>
      <c r="K68" s="2" t="inlineStr"/>
      <c r="L68" s="2" t="inlineStr"/>
      <c r="M68" s="2" t="inlineStr">
        <is>
          <t>待核实</t>
        </is>
      </c>
      <c r="N68" s="2" t="inlineStr">
        <is>
          <t>待核实</t>
        </is>
      </c>
      <c r="O68" s="2" t="inlineStr">
        <is>
          <t>否</t>
        </is>
      </c>
      <c r="P68" s="2" t="inlineStr"/>
      <c r="Q68" s="2" t="inlineStr">
        <is>
          <t>统一名称及印刷/电子ISSN并集；多学科按全部已核实行保留；未知不作非Q1；原期刊名异名见文献明细</t>
        </is>
      </c>
    </row>
    <row r="69" ht="38" customHeight="1">
      <c r="A69" s="3" t="inlineStr">
        <is>
          <t>Biotechnology Reports</t>
        </is>
      </c>
      <c r="B69" s="3" t="inlineStr">
        <is>
          <t>2215-017X</t>
        </is>
      </c>
      <c r="C69" s="3" t="inlineStr"/>
      <c r="D69" s="3" t="n">
        <v>1</v>
      </c>
      <c r="E69" s="3" t="n">
        <v>1</v>
      </c>
      <c r="F69" s="3" t="n">
        <v>1</v>
      </c>
      <c r="G69" s="3" t="n">
        <v>0</v>
      </c>
      <c r="H69" s="3" t="n">
        <v>0</v>
      </c>
      <c r="I69" s="3" t="n">
        <v>2024</v>
      </c>
      <c r="J69" s="3" t="n">
        <v>2025</v>
      </c>
      <c r="K69" s="3" t="inlineStr"/>
      <c r="L69" s="3" t="inlineStr"/>
      <c r="M69" s="3" t="inlineStr">
        <is>
          <t>待核实</t>
        </is>
      </c>
      <c r="N69" s="3" t="inlineStr">
        <is>
          <t>待核实</t>
        </is>
      </c>
      <c r="O69" s="3" t="inlineStr">
        <is>
          <t>否</t>
        </is>
      </c>
      <c r="P69" s="3" t="inlineStr"/>
      <c r="Q69" s="3" t="inlineStr">
        <is>
          <t>统一名称及印刷/电子ISSN并集；多学科按全部已核实行保留；未知不作非Q1；原期刊名异名见文献明细</t>
        </is>
      </c>
    </row>
    <row r="70" ht="38" customHeight="1">
      <c r="A70" s="2" t="inlineStr">
        <is>
          <t>Biotechnology for Biofuels</t>
        </is>
      </c>
      <c r="B70" s="2" t="inlineStr"/>
      <c r="C70" s="2" t="inlineStr">
        <is>
          <t>1754-6834</t>
        </is>
      </c>
      <c r="D70" s="2" t="n">
        <v>1</v>
      </c>
      <c r="E70" s="2" t="n">
        <v>1</v>
      </c>
      <c r="F70" s="2" t="n">
        <v>1</v>
      </c>
      <c r="G70" s="2" t="n">
        <v>0</v>
      </c>
      <c r="H70" s="2" t="n">
        <v>0</v>
      </c>
      <c r="I70" s="2" t="n">
        <v>2024</v>
      </c>
      <c r="J70" s="2" t="n">
        <v>2025</v>
      </c>
      <c r="K70" s="2" t="inlineStr"/>
      <c r="L70" s="2" t="inlineStr"/>
      <c r="M70" s="2" t="inlineStr">
        <is>
          <t>待核实</t>
        </is>
      </c>
      <c r="N70" s="2" t="inlineStr">
        <is>
          <t>待核实</t>
        </is>
      </c>
      <c r="O70" s="2" t="inlineStr">
        <is>
          <t>否</t>
        </is>
      </c>
      <c r="P70" s="2" t="inlineStr"/>
      <c r="Q70" s="2" t="inlineStr">
        <is>
          <t>统一名称及印刷/电子ISSN并集；多学科按全部已核实行保留；未知不作非Q1；原期刊名异名见文献明细</t>
        </is>
      </c>
    </row>
    <row r="71" ht="38" customHeight="1">
      <c r="A71" s="3" t="inlineStr">
        <is>
          <t>CLEAN – Soil, Air, Water</t>
        </is>
      </c>
      <c r="B71" s="3" t="inlineStr">
        <is>
          <t>1863-0650</t>
        </is>
      </c>
      <c r="C71" s="3" t="inlineStr">
        <is>
          <t>1863-0669</t>
        </is>
      </c>
      <c r="D71" s="3" t="n">
        <v>1</v>
      </c>
      <c r="E71" s="3" t="n">
        <v>1</v>
      </c>
      <c r="F71" s="3" t="n">
        <v>1</v>
      </c>
      <c r="G71" s="3" t="n">
        <v>0</v>
      </c>
      <c r="H71" s="3" t="n">
        <v>0</v>
      </c>
      <c r="I71" s="3" t="n">
        <v>2024</v>
      </c>
      <c r="J71" s="3" t="n">
        <v>2025</v>
      </c>
      <c r="K71" s="3" t="inlineStr"/>
      <c r="L71" s="3" t="inlineStr"/>
      <c r="M71" s="3" t="inlineStr">
        <is>
          <t>待核实</t>
        </is>
      </c>
      <c r="N71" s="3" t="inlineStr">
        <is>
          <t>待核实</t>
        </is>
      </c>
      <c r="O71" s="3" t="inlineStr">
        <is>
          <t>否</t>
        </is>
      </c>
      <c r="P71" s="3" t="inlineStr"/>
      <c r="Q71" s="3" t="inlineStr">
        <is>
          <t>统一名称及印刷/电子ISSN并集；多学科按全部已核实行保留；未知不作非Q1；原期刊名异名见文献明细</t>
        </is>
      </c>
    </row>
    <row r="72" ht="38" customHeight="1">
      <c r="A72" s="2" t="inlineStr">
        <is>
          <t>Cadernos Técnicos Engenharia Sanitária e Ambiental</t>
        </is>
      </c>
      <c r="B72" s="2" t="inlineStr"/>
      <c r="C72" s="2" t="inlineStr">
        <is>
          <t>2764-5576</t>
        </is>
      </c>
      <c r="D72" s="2" t="n">
        <v>1</v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2024</v>
      </c>
      <c r="J72" s="2" t="n">
        <v>2025</v>
      </c>
      <c r="K72" s="2" t="inlineStr"/>
      <c r="L72" s="2" t="inlineStr"/>
      <c r="M72" s="2" t="inlineStr">
        <is>
          <t>待核实</t>
        </is>
      </c>
      <c r="N72" s="2" t="inlineStr">
        <is>
          <t>待核实</t>
        </is>
      </c>
      <c r="O72" s="2" t="inlineStr">
        <is>
          <t>否</t>
        </is>
      </c>
      <c r="P72" s="2" t="inlineStr"/>
      <c r="Q72" s="2" t="inlineStr">
        <is>
          <t>统一名称及印刷/电子ISSN并集；多学科按全部已核实行保留；未知不作非Q1；原期刊名异名见文献明细</t>
        </is>
      </c>
    </row>
    <row r="73" ht="38" customHeight="1">
      <c r="A73" s="3" t="inlineStr">
        <is>
          <t>Chemical Engineering Research and Design</t>
        </is>
      </c>
      <c r="B73" s="3" t="inlineStr">
        <is>
          <t>0263-8762</t>
        </is>
      </c>
      <c r="C73" s="3" t="inlineStr"/>
      <c r="D73" s="3" t="n">
        <v>1</v>
      </c>
      <c r="E73" s="3" t="n">
        <v>1</v>
      </c>
      <c r="F73" s="3" t="n">
        <v>1</v>
      </c>
      <c r="G73" s="3" t="n">
        <v>0</v>
      </c>
      <c r="H73" s="3" t="n">
        <v>0</v>
      </c>
      <c r="I73" s="3" t="n">
        <v>2024</v>
      </c>
      <c r="J73" s="3" t="n">
        <v>2025</v>
      </c>
      <c r="K73" s="3" t="inlineStr"/>
      <c r="L73" s="3" t="inlineStr"/>
      <c r="M73" s="3" t="inlineStr">
        <is>
          <t>待核实</t>
        </is>
      </c>
      <c r="N73" s="3" t="inlineStr">
        <is>
          <t>待核实</t>
        </is>
      </c>
      <c r="O73" s="3" t="inlineStr">
        <is>
          <t>否</t>
        </is>
      </c>
      <c r="P73" s="3" t="inlineStr"/>
      <c r="Q73" s="3" t="inlineStr">
        <is>
          <t>统一名称及印刷/电子ISSN并集；多学科按全部已核实行保留；未知不作非Q1；原期刊名异名见文献明细</t>
        </is>
      </c>
    </row>
    <row r="74" ht="38" customHeight="1">
      <c r="A74" s="2" t="inlineStr">
        <is>
          <t>Chemical engineering transactions</t>
        </is>
      </c>
      <c r="B74" s="2" t="inlineStr"/>
      <c r="C74" s="2" t="inlineStr"/>
      <c r="D74" s="2" t="n">
        <v>1</v>
      </c>
      <c r="E74" s="2" t="n">
        <v>1</v>
      </c>
      <c r="F74" s="2" t="n">
        <v>1</v>
      </c>
      <c r="G74" s="2" t="n">
        <v>0</v>
      </c>
      <c r="H74" s="2" t="n">
        <v>0</v>
      </c>
      <c r="I74" s="2" t="n">
        <v>2024</v>
      </c>
      <c r="J74" s="2" t="n">
        <v>2025</v>
      </c>
      <c r="K74" s="2" t="inlineStr"/>
      <c r="L74" s="2" t="inlineStr"/>
      <c r="M74" s="2" t="inlineStr">
        <is>
          <t>待核实</t>
        </is>
      </c>
      <c r="N74" s="2" t="inlineStr">
        <is>
          <t>待核实</t>
        </is>
      </c>
      <c r="O74" s="2" t="inlineStr">
        <is>
          <t>否</t>
        </is>
      </c>
      <c r="P74" s="2" t="inlineStr"/>
      <c r="Q74" s="2" t="inlineStr">
        <is>
          <t>统一名称及印刷/电子ISSN并集；多学科按全部已核实行保留；未知不作非Q1；原期刊名异名见文献明细</t>
        </is>
      </c>
    </row>
    <row r="75" ht="38" customHeight="1">
      <c r="A75" s="3" t="inlineStr">
        <is>
          <t>China Biogas</t>
        </is>
      </c>
      <c r="B75" s="3" t="inlineStr"/>
      <c r="C75" s="3" t="inlineStr"/>
      <c r="D75" s="3" t="n">
        <v>1</v>
      </c>
      <c r="E75" s="3" t="n">
        <v>0</v>
      </c>
      <c r="F75" s="3" t="n">
        <v>1</v>
      </c>
      <c r="G75" s="3" t="n">
        <v>0</v>
      </c>
      <c r="H75" s="3" t="n">
        <v>0</v>
      </c>
      <c r="I75" s="3" t="n">
        <v>2024</v>
      </c>
      <c r="J75" s="3" t="n">
        <v>2025</v>
      </c>
      <c r="K75" s="3" t="inlineStr"/>
      <c r="L75" s="3" t="inlineStr"/>
      <c r="M75" s="3" t="inlineStr">
        <is>
          <t>待核实</t>
        </is>
      </c>
      <c r="N75" s="3" t="inlineStr">
        <is>
          <t>待核实</t>
        </is>
      </c>
      <c r="O75" s="3" t="inlineStr">
        <is>
          <t>否</t>
        </is>
      </c>
      <c r="P75" s="3" t="inlineStr"/>
      <c r="Q75" s="3" t="inlineStr">
        <is>
          <t>统一名称及印刷/电子ISSN并集；多学科按全部已核实行保留；未知不作非Q1；原期刊名异名见文献明细</t>
        </is>
      </c>
    </row>
    <row r="76" ht="38" customHeight="1">
      <c r="A76" s="2" t="inlineStr">
        <is>
          <t>Cuadernos de Educación y Desarrollo</t>
        </is>
      </c>
      <c r="B76" s="2" t="inlineStr">
        <is>
          <t>1989-4155</t>
        </is>
      </c>
      <c r="C76" s="2" t="inlineStr">
        <is>
          <t>1989-4155</t>
        </is>
      </c>
      <c r="D76" s="2" t="n">
        <v>1</v>
      </c>
      <c r="E76" s="2" t="n">
        <v>1</v>
      </c>
      <c r="F76" s="2" t="n">
        <v>1</v>
      </c>
      <c r="G76" s="2" t="n">
        <v>0</v>
      </c>
      <c r="H76" s="2" t="n">
        <v>0</v>
      </c>
      <c r="I76" s="2" t="n">
        <v>2024</v>
      </c>
      <c r="J76" s="2" t="n">
        <v>2025</v>
      </c>
      <c r="K76" s="2" t="inlineStr"/>
      <c r="L76" s="2" t="inlineStr"/>
      <c r="M76" s="2" t="inlineStr">
        <is>
          <t>待核实</t>
        </is>
      </c>
      <c r="N76" s="2" t="inlineStr">
        <is>
          <t>待核实</t>
        </is>
      </c>
      <c r="O76" s="2" t="inlineStr">
        <is>
          <t>否</t>
        </is>
      </c>
      <c r="P76" s="2" t="inlineStr"/>
      <c r="Q76" s="2" t="inlineStr">
        <is>
          <t>统一名称及印刷/电子ISSN并集；多学科按全部已核实行保留；未知不作非Q1；原期刊名异名见文献明细</t>
        </is>
      </c>
    </row>
    <row r="77" ht="38" customHeight="1">
      <c r="A77" s="3" t="inlineStr">
        <is>
          <t>Current Bioinformatics</t>
        </is>
      </c>
      <c r="B77" s="3" t="inlineStr">
        <is>
          <t>1574-8936</t>
        </is>
      </c>
      <c r="C77" s="3" t="inlineStr"/>
      <c r="D77" s="3" t="n">
        <v>1</v>
      </c>
      <c r="E77" s="3" t="n">
        <v>0</v>
      </c>
      <c r="F77" s="3" t="n">
        <v>1</v>
      </c>
      <c r="G77" s="3" t="n">
        <v>0</v>
      </c>
      <c r="H77" s="3" t="n">
        <v>0</v>
      </c>
      <c r="I77" s="3" t="n">
        <v>2024</v>
      </c>
      <c r="J77" s="3" t="n">
        <v>2025</v>
      </c>
      <c r="K77" s="3" t="inlineStr"/>
      <c r="L77" s="3" t="inlineStr"/>
      <c r="M77" s="3" t="inlineStr">
        <is>
          <t>待核实</t>
        </is>
      </c>
      <c r="N77" s="3" t="inlineStr">
        <is>
          <t>待核实</t>
        </is>
      </c>
      <c r="O77" s="3" t="inlineStr">
        <is>
          <t>否</t>
        </is>
      </c>
      <c r="P77" s="3" t="inlineStr"/>
      <c r="Q77" s="3" t="inlineStr">
        <is>
          <t>统一名称及印刷/电子ISSN并集；多学科按全部已核实行保留；未知不作非Q1；原期刊名异名见文献明细</t>
        </is>
      </c>
    </row>
    <row r="78" ht="38" customHeight="1">
      <c r="A78" s="2" t="inlineStr">
        <is>
          <t>Dongbei Nongye Daxue xuebao</t>
        </is>
      </c>
      <c r="B78" s="2" t="inlineStr"/>
      <c r="C78" s="2" t="inlineStr"/>
      <c r="D78" s="2" t="n">
        <v>1</v>
      </c>
      <c r="E78" s="2" t="n">
        <v>0</v>
      </c>
      <c r="F78" s="2" t="n">
        <v>1</v>
      </c>
      <c r="G78" s="2" t="n">
        <v>0</v>
      </c>
      <c r="H78" s="2" t="n">
        <v>0</v>
      </c>
      <c r="I78" s="2" t="n">
        <v>2024</v>
      </c>
      <c r="J78" s="2" t="n">
        <v>2025</v>
      </c>
      <c r="K78" s="2" t="inlineStr"/>
      <c r="L78" s="2" t="inlineStr"/>
      <c r="M78" s="2" t="inlineStr">
        <is>
          <t>待核实</t>
        </is>
      </c>
      <c r="N78" s="2" t="inlineStr">
        <is>
          <t>待核实</t>
        </is>
      </c>
      <c r="O78" s="2" t="inlineStr">
        <is>
          <t>否</t>
        </is>
      </c>
      <c r="P78" s="2" t="inlineStr"/>
      <c r="Q78" s="2" t="inlineStr">
        <is>
          <t>统一名称及印刷/电子ISSN并集；多学科按全部已核实行保留；未知不作非Q1；原期刊名异名见文献明细</t>
        </is>
      </c>
    </row>
    <row r="79" ht="38" customHeight="1">
      <c r="A79" s="3" t="inlineStr">
        <is>
          <t>ENVIRONMENTAL MICROBIOLOGY</t>
        </is>
      </c>
      <c r="B79" s="3" t="inlineStr">
        <is>
          <t>1462-2912</t>
        </is>
      </c>
      <c r="C79" s="3" t="inlineStr">
        <is>
          <t>1462-2920</t>
        </is>
      </c>
      <c r="D79" s="3" t="n">
        <v>1</v>
      </c>
      <c r="E79" s="3" t="n">
        <v>1</v>
      </c>
      <c r="F79" s="3" t="n">
        <v>1</v>
      </c>
      <c r="G79" s="3" t="n">
        <v>0</v>
      </c>
      <c r="H79" s="3" t="n">
        <v>0</v>
      </c>
      <c r="I79" s="3" t="n">
        <v>2024</v>
      </c>
      <c r="J79" s="3" t="n">
        <v>2025</v>
      </c>
      <c r="K79" s="3" t="inlineStr">
        <is>
          <t>MICROBIOLOGY</t>
        </is>
      </c>
      <c r="L79" s="3" t="inlineStr">
        <is>
          <t>MICROBIOLOGY: Q2</t>
        </is>
      </c>
      <c r="M79" s="3" t="inlineStr">
        <is>
          <t>否</t>
        </is>
      </c>
      <c r="N79" s="3" t="inlineStr">
        <is>
          <t>否</t>
        </is>
      </c>
      <c r="O79" s="3" t="inlineStr">
        <is>
          <t>是</t>
        </is>
      </c>
      <c r="P79" s="3" t="inlineStr">
        <is>
          <t>https://topj.lib.whu.edu.cn/show.asp?cat=zk&amp;id=6580</t>
        </is>
      </c>
      <c r="Q79" s="3" t="inlineStr">
        <is>
          <t>统一名称及印刷/电子ISSN并集；多学科按全部已核实行保留；未知不作非Q1；原期刊名异名见文献明细</t>
        </is>
      </c>
    </row>
    <row r="80" ht="38" customHeight="1">
      <c r="A80" s="2" t="inlineStr">
        <is>
          <t>ENVIRONMENTAL MICROBIOLOGY REPORTS</t>
        </is>
      </c>
      <c r="B80" s="2" t="inlineStr">
        <is>
          <t>1758-2229</t>
        </is>
      </c>
      <c r="C80" s="2" t="inlineStr">
        <is>
          <t>1758-2229</t>
        </is>
      </c>
      <c r="D80" s="2" t="n">
        <v>1</v>
      </c>
      <c r="E80" s="2" t="n">
        <v>1</v>
      </c>
      <c r="F80" s="2" t="n">
        <v>1</v>
      </c>
      <c r="G80" s="2" t="n">
        <v>0</v>
      </c>
      <c r="H80" s="2" t="n">
        <v>0</v>
      </c>
      <c r="I80" s="2" t="n">
        <v>2024</v>
      </c>
      <c r="J80" s="2" t="n">
        <v>2025</v>
      </c>
      <c r="K80" s="2" t="inlineStr">
        <is>
          <t>ENVIRONMENTAL SCIENCES; MICROBIOLOGY</t>
        </is>
      </c>
      <c r="L80" s="2" t="inlineStr">
        <is>
          <t>ENVIRONMENTAL SCIENCES: Q3; MICROBIOLOGY: Q3</t>
        </is>
      </c>
      <c r="M80" s="2" t="inlineStr">
        <is>
          <t>否</t>
        </is>
      </c>
      <c r="N80" s="2" t="inlineStr">
        <is>
          <t>否</t>
        </is>
      </c>
      <c r="O80" s="2" t="inlineStr">
        <is>
          <t>是</t>
        </is>
      </c>
      <c r="P80" s="2" t="inlineStr">
        <is>
          <t>https://topj.lib.whu.edu.cn/search.asp?cat=esi&amp;ordertype=&amp;page=7&amp;q=&amp;xk=19</t>
        </is>
      </c>
      <c r="Q80" s="2" t="inlineStr">
        <is>
          <t>统一名称及印刷/电子ISSN并集；多学科按全部已核实行保留；未知不作非Q1；原期刊名异名见文献明细</t>
        </is>
      </c>
    </row>
    <row r="81" ht="38" customHeight="1">
      <c r="A81" s="3" t="inlineStr">
        <is>
          <t>ENVIRONMENTAL REVIEWS</t>
        </is>
      </c>
      <c r="B81" s="3" t="inlineStr">
        <is>
          <t>1181-8700</t>
        </is>
      </c>
      <c r="C81" s="3" t="inlineStr">
        <is>
          <t>1208-6053</t>
        </is>
      </c>
      <c r="D81" s="3" t="n">
        <v>1</v>
      </c>
      <c r="E81" s="3" t="n">
        <v>1</v>
      </c>
      <c r="F81" s="3" t="n">
        <v>0</v>
      </c>
      <c r="G81" s="3" t="n">
        <v>1</v>
      </c>
      <c r="H81" s="3" t="n">
        <v>0</v>
      </c>
      <c r="I81" s="3" t="n">
        <v>2024</v>
      </c>
      <c r="J81" s="3" t="n">
        <v>2025</v>
      </c>
      <c r="K81" s="3" t="inlineStr">
        <is>
          <t>ENVIRONMENTAL SCIENCES</t>
        </is>
      </c>
      <c r="L81" s="3" t="inlineStr">
        <is>
          <t>ENVIRONMENTAL SCIENCES: Q1</t>
        </is>
      </c>
      <c r="M81" s="4" t="inlineStr">
        <is>
          <t>是</t>
        </is>
      </c>
      <c r="N81" s="4" t="inlineStr">
        <is>
          <t>是</t>
        </is>
      </c>
      <c r="O81" s="3" t="inlineStr">
        <is>
          <t>是</t>
        </is>
      </c>
      <c r="P81" s="3" t="inlineStr">
        <is>
          <t>https://topj.lib.whu.edu.cn/searchxk1.asp?ordertype=&amp;page=6&amp;q=&amp;xk=488</t>
        </is>
      </c>
      <c r="Q81" s="3" t="inlineStr">
        <is>
          <t>统一名称及印刷/电子ISSN并集；多学科按全部已核实行保留；未知不作非Q1；原期刊名异名见文献明细</t>
        </is>
      </c>
    </row>
    <row r="82" ht="38" customHeight="1">
      <c r="A82" s="2" t="inlineStr">
        <is>
          <t>Ecological Engineering &amp; Environmental Technology</t>
        </is>
      </c>
      <c r="B82" s="2" t="inlineStr"/>
      <c r="C82" s="2" t="inlineStr">
        <is>
          <t>2719-7050</t>
        </is>
      </c>
      <c r="D82" s="2" t="n">
        <v>1</v>
      </c>
      <c r="E82" s="2" t="n">
        <v>1</v>
      </c>
      <c r="F82" s="2" t="n">
        <v>1</v>
      </c>
      <c r="G82" s="2" t="n">
        <v>0</v>
      </c>
      <c r="H82" s="2" t="n">
        <v>0</v>
      </c>
      <c r="I82" s="2" t="n">
        <v>2024</v>
      </c>
      <c r="J82" s="2" t="n">
        <v>2025</v>
      </c>
      <c r="K82" s="2" t="inlineStr"/>
      <c r="L82" s="2" t="inlineStr"/>
      <c r="M82" s="2" t="inlineStr">
        <is>
          <t>待核实</t>
        </is>
      </c>
      <c r="N82" s="2" t="inlineStr">
        <is>
          <t>待核实</t>
        </is>
      </c>
      <c r="O82" s="2" t="inlineStr">
        <is>
          <t>否</t>
        </is>
      </c>
      <c r="P82" s="2" t="inlineStr"/>
      <c r="Q82" s="2" t="inlineStr">
        <is>
          <t>统一名称及印刷/电子ISSN并集；多学科按全部已核实行保留；未知不作非Q1；原期刊名异名见文献明细</t>
        </is>
      </c>
    </row>
    <row r="83" ht="38" customHeight="1">
      <c r="A83" s="3" t="inlineStr">
        <is>
          <t>Energy</t>
        </is>
      </c>
      <c r="B83" s="3" t="inlineStr">
        <is>
          <t>0360-5442</t>
        </is>
      </c>
      <c r="C83" s="3" t="inlineStr"/>
      <c r="D83" s="3" t="n">
        <v>1</v>
      </c>
      <c r="E83" s="3" t="n">
        <v>1</v>
      </c>
      <c r="F83" s="3" t="n">
        <v>1</v>
      </c>
      <c r="G83" s="3" t="n">
        <v>0</v>
      </c>
      <c r="H83" s="3" t="n">
        <v>0</v>
      </c>
      <c r="I83" s="3" t="n">
        <v>2024</v>
      </c>
      <c r="J83" s="3" t="n">
        <v>2025</v>
      </c>
      <c r="K83" s="3" t="inlineStr">
        <is>
          <t>THERMODYNAMICS; ENERGY &amp; FUELS</t>
        </is>
      </c>
      <c r="L83" s="3" t="inlineStr">
        <is>
          <t>THERMODYNAMICS: Q1; ENERGY &amp; FUELS: Q1</t>
        </is>
      </c>
      <c r="M83" s="4" t="inlineStr">
        <is>
          <t>是</t>
        </is>
      </c>
      <c r="N83" s="4" t="inlineStr">
        <is>
          <t>是</t>
        </is>
      </c>
      <c r="O83" s="3" t="inlineStr">
        <is>
          <t>是</t>
        </is>
      </c>
      <c r="P83" s="3" t="inlineStr">
        <is>
          <t>https://topj.lib.whu.edu.cn/show.asp?cat=sci&amp;id=218</t>
        </is>
      </c>
      <c r="Q83" s="3" t="inlineStr">
        <is>
          <t>统一名称及印刷/电子ISSN并集；多学科按全部已核实行保留；未知不作非Q1；原期刊名异名见文献明细</t>
        </is>
      </c>
    </row>
    <row r="84" ht="38" customHeight="1">
      <c r="A84" s="2" t="inlineStr">
        <is>
          <t>Energy Sources Part A-Recovery Utilization and Environmental Effects</t>
        </is>
      </c>
      <c r="B84" s="2" t="inlineStr">
        <is>
          <t>1556-7036</t>
        </is>
      </c>
      <c r="C84" s="2" t="inlineStr">
        <is>
          <t>1556-7230</t>
        </is>
      </c>
      <c r="D84" s="2" t="n">
        <v>1</v>
      </c>
      <c r="E84" s="2" t="n">
        <v>1</v>
      </c>
      <c r="F84" s="2" t="n">
        <v>1</v>
      </c>
      <c r="G84" s="2" t="n">
        <v>0</v>
      </c>
      <c r="H84" s="2" t="n">
        <v>0</v>
      </c>
      <c r="I84" s="2" t="n">
        <v>2024</v>
      </c>
      <c r="J84" s="2" t="n">
        <v>2025</v>
      </c>
      <c r="K84" s="2" t="inlineStr">
        <is>
          <t>ENERGY &amp; FUELS; ENGINEERING, CHEMICAL</t>
        </is>
      </c>
      <c r="L84" s="2" t="inlineStr">
        <is>
          <t>ENERGY &amp; FUELS: Q4; ENGINEERING, CHEMICAL: Q3</t>
        </is>
      </c>
      <c r="M84" s="2" t="inlineStr">
        <is>
          <t>否</t>
        </is>
      </c>
      <c r="N84" s="2" t="inlineStr">
        <is>
          <t>否</t>
        </is>
      </c>
      <c r="O84" s="2" t="inlineStr">
        <is>
          <t>是</t>
        </is>
      </c>
      <c r="P84" s="2" t="inlineStr">
        <is>
          <t>https://topj.lib.whu.edu.cn/show.asp?cat=zk&amp;id=5778</t>
        </is>
      </c>
      <c r="Q84" s="2" t="inlineStr">
        <is>
          <t>统一名称及印刷/电子ISSN并集；多学科按全部已核实行保留；未知不作非Q1；原期刊名异名见文献明细</t>
        </is>
      </c>
    </row>
    <row r="85" ht="38" customHeight="1">
      <c r="A85" s="3" t="inlineStr">
        <is>
          <t>Environmental Progress &amp; Sustainable Energy</t>
        </is>
      </c>
      <c r="B85" s="3" t="inlineStr">
        <is>
          <t>1944-7442</t>
        </is>
      </c>
      <c r="C85" s="3" t="inlineStr">
        <is>
          <t>1944-7450</t>
        </is>
      </c>
      <c r="D85" s="3" t="n">
        <v>1</v>
      </c>
      <c r="E85" s="3" t="n">
        <v>1</v>
      </c>
      <c r="F85" s="3" t="n">
        <v>1</v>
      </c>
      <c r="G85" s="3" t="n">
        <v>0</v>
      </c>
      <c r="H85" s="3" t="n">
        <v>0</v>
      </c>
      <c r="I85" s="3" t="n">
        <v>2024</v>
      </c>
      <c r="J85" s="3" t="n">
        <v>2025</v>
      </c>
      <c r="K85" s="3" t="inlineStr"/>
      <c r="L85" s="3" t="inlineStr"/>
      <c r="M85" s="3" t="inlineStr">
        <is>
          <t>待核实</t>
        </is>
      </c>
      <c r="N85" s="3" t="inlineStr">
        <is>
          <t>待核实</t>
        </is>
      </c>
      <c r="O85" s="3" t="inlineStr">
        <is>
          <t>否</t>
        </is>
      </c>
      <c r="P85" s="3" t="inlineStr"/>
      <c r="Q85" s="3" t="inlineStr">
        <is>
          <t>统一名称及印刷/电子ISSN并集；多学科按全部已核实行保留；未知不作非Q1；原期刊名异名见文献明细</t>
        </is>
      </c>
    </row>
    <row r="86" ht="38" customHeight="1">
      <c r="A86" s="2" t="inlineStr">
        <is>
          <t>Environmental Science and Pollution Research</t>
        </is>
      </c>
      <c r="B86" s="2" t="inlineStr">
        <is>
          <t>0944-1344</t>
        </is>
      </c>
      <c r="C86" s="2" t="inlineStr">
        <is>
          <t>1614-7499</t>
        </is>
      </c>
      <c r="D86" s="2" t="n">
        <v>1</v>
      </c>
      <c r="E86" s="2" t="n">
        <v>1</v>
      </c>
      <c r="F86" s="2" t="n">
        <v>1</v>
      </c>
      <c r="G86" s="2" t="n">
        <v>0</v>
      </c>
      <c r="H86" s="2" t="n">
        <v>0</v>
      </c>
      <c r="I86" s="2" t="n">
        <v>2024</v>
      </c>
      <c r="J86" s="2" t="n">
        <v>2025</v>
      </c>
      <c r="K86" s="2" t="inlineStr"/>
      <c r="L86" s="2" t="inlineStr"/>
      <c r="M86" s="2" t="inlineStr">
        <is>
          <t>待核实</t>
        </is>
      </c>
      <c r="N86" s="2" t="inlineStr">
        <is>
          <t>待核实</t>
        </is>
      </c>
      <c r="O86" s="2" t="inlineStr">
        <is>
          <t>否</t>
        </is>
      </c>
      <c r="P86" s="2" t="inlineStr"/>
      <c r="Q86" s="2" t="inlineStr">
        <is>
          <t>统一名称及印刷/电子ISSN并集；多学科按全部已核实行保留；未知不作非Q1；原期刊名异名见文献明细</t>
        </is>
      </c>
    </row>
    <row r="87" ht="38" customHeight="1">
      <c r="A87" s="3" t="inlineStr">
        <is>
          <t>Environmental Science-Processes &amp; Impacts</t>
        </is>
      </c>
      <c r="B87" s="3" t="inlineStr">
        <is>
          <t>2050-7887</t>
        </is>
      </c>
      <c r="C87" s="3" t="inlineStr">
        <is>
          <t>2050-7895</t>
        </is>
      </c>
      <c r="D87" s="3" t="n">
        <v>1</v>
      </c>
      <c r="E87" s="3" t="n">
        <v>1</v>
      </c>
      <c r="F87" s="3" t="n">
        <v>1</v>
      </c>
      <c r="G87" s="3" t="n">
        <v>0</v>
      </c>
      <c r="H87" s="3" t="n">
        <v>0</v>
      </c>
      <c r="I87" s="3" t="n">
        <v>2024</v>
      </c>
      <c r="J87" s="3" t="n">
        <v>2025</v>
      </c>
      <c r="K87" s="3" t="inlineStr">
        <is>
          <t>CHEMISTRY, ANALYTICAL; ENVIRONMENTAL SCIENCES</t>
        </is>
      </c>
      <c r="L87" s="3" t="inlineStr">
        <is>
          <t>CHEMISTRY, ANALYTICAL: Q2; ENVIRONMENTAL SCIENCES: Q2</t>
        </is>
      </c>
      <c r="M87" s="3" t="inlineStr">
        <is>
          <t>否</t>
        </is>
      </c>
      <c r="N87" s="3" t="inlineStr">
        <is>
          <t>否</t>
        </is>
      </c>
      <c r="O87" s="3" t="inlineStr">
        <is>
          <t>是</t>
        </is>
      </c>
      <c r="P87" s="3" t="inlineStr">
        <is>
          <t>https://topj.lib.whu.edu.cn/searchxk1.asp?ordertype=&amp;page=6&amp;q=&amp;xk=488</t>
        </is>
      </c>
      <c r="Q87" s="3" t="inlineStr">
        <is>
          <t>统一名称及印刷/电子ISSN并集；多学科按全部已核实行保留；未知不作非Q1；原期刊名异名见文献明细</t>
        </is>
      </c>
    </row>
    <row r="88" ht="38" customHeight="1">
      <c r="A88" s="2" t="inlineStr">
        <is>
          <t>Environmental Science-Water Research &amp; Technology</t>
        </is>
      </c>
      <c r="B88" s="2" t="inlineStr">
        <is>
          <t>2053-1400</t>
        </is>
      </c>
      <c r="C88" s="2" t="inlineStr">
        <is>
          <t>2053-1419</t>
        </is>
      </c>
      <c r="D88" s="2" t="n">
        <v>1</v>
      </c>
      <c r="E88" s="2" t="n">
        <v>1</v>
      </c>
      <c r="F88" s="2" t="n">
        <v>1</v>
      </c>
      <c r="G88" s="2" t="n">
        <v>0</v>
      </c>
      <c r="H88" s="2" t="n">
        <v>0</v>
      </c>
      <c r="I88" s="2" t="n">
        <v>2024</v>
      </c>
      <c r="J88" s="2" t="n">
        <v>2025</v>
      </c>
      <c r="K88" s="2" t="inlineStr">
        <is>
          <t>WATER RESOURCES; ENGINEERING, ENVIRONMENTAL; ENVIRONMENTAL SCIENCES</t>
        </is>
      </c>
      <c r="L88" s="2" t="inlineStr">
        <is>
          <t>WATER RESOURCES: Q2; ENGINEERING, ENVIRONMENTAL: Q3; ENVIRONMENTAL SCIENCES: Q2</t>
        </is>
      </c>
      <c r="M88" s="2" t="inlineStr">
        <is>
          <t>否</t>
        </is>
      </c>
      <c r="N88" s="2" t="inlineStr">
        <is>
          <t>否</t>
        </is>
      </c>
      <c r="O88" s="2" t="inlineStr">
        <is>
          <t>是</t>
        </is>
      </c>
      <c r="P88" s="2" t="inlineStr">
        <is>
          <t>https://topj.lib.whu.edu.cn/show.asp?cat=sci&amp;id=6402</t>
        </is>
      </c>
      <c r="Q88" s="2" t="inlineStr">
        <is>
          <t>统一名称及印刷/电子ISSN并集；多学科按全部已核实行保留；未知不作非Q1；原期刊名异名见文献明细</t>
        </is>
      </c>
    </row>
    <row r="89" ht="38" customHeight="1">
      <c r="A89" s="3" t="inlineStr">
        <is>
          <t>Environmental Technology &amp; Innovation</t>
        </is>
      </c>
      <c r="B89" s="3" t="inlineStr">
        <is>
          <t>2352-1864</t>
        </is>
      </c>
      <c r="C89" s="3" t="inlineStr"/>
      <c r="D89" s="3" t="n">
        <v>1</v>
      </c>
      <c r="E89" s="3" t="n">
        <v>1</v>
      </c>
      <c r="F89" s="3" t="n">
        <v>1</v>
      </c>
      <c r="G89" s="3" t="n">
        <v>0</v>
      </c>
      <c r="H89" s="3" t="n">
        <v>0</v>
      </c>
      <c r="I89" s="3" t="n">
        <v>2024</v>
      </c>
      <c r="J89" s="3" t="n">
        <v>2025</v>
      </c>
      <c r="K89" s="3" t="inlineStr">
        <is>
          <t>BIOTECHNOLOGY &amp; APPLIED MICROBIOLOGY; ENGINEERING, ENVIRONMENTAL; ENVIRONMENTAL SCIENCES</t>
        </is>
      </c>
      <c r="L89" s="3" t="inlineStr">
        <is>
          <t>BIOTECHNOLOGY &amp; APPLIED MICROBIOLOGY: Q1; ENGINEERING, ENVIRONMENTAL: Q1; ENVIRONMENTAL SCIENCES: Q1</t>
        </is>
      </c>
      <c r="M89" s="4" t="inlineStr">
        <is>
          <t>是</t>
        </is>
      </c>
      <c r="N89" s="4" t="inlineStr">
        <is>
          <t>是</t>
        </is>
      </c>
      <c r="O89" s="3" t="inlineStr">
        <is>
          <t>是</t>
        </is>
      </c>
      <c r="P89" s="3" t="inlineStr">
        <is>
          <t>https://topj.lib.whu.edu.cn/show.asp?cat=zk&amp;id=4040</t>
        </is>
      </c>
      <c r="Q89" s="3" t="inlineStr">
        <is>
          <t>统一名称及印刷/电子ISSN并集；多学科按全部已核实行保留；未知不作非Q1；原期刊名异名见文献明细</t>
        </is>
      </c>
    </row>
    <row r="90" ht="38" customHeight="1">
      <c r="A90" s="2" t="inlineStr">
        <is>
          <t>FEMS MICROBIOLOGY LETTERS</t>
        </is>
      </c>
      <c r="B90" s="2" t="inlineStr"/>
      <c r="C90" s="2" t="inlineStr">
        <is>
          <t>1574-6968</t>
        </is>
      </c>
      <c r="D90" s="2" t="n">
        <v>1</v>
      </c>
      <c r="E90" s="2" t="n">
        <v>1</v>
      </c>
      <c r="F90" s="2" t="n">
        <v>1</v>
      </c>
      <c r="G90" s="2" t="n">
        <v>0</v>
      </c>
      <c r="H90" s="2" t="n">
        <v>0</v>
      </c>
      <c r="I90" s="2" t="n">
        <v>2024</v>
      </c>
      <c r="J90" s="2" t="n">
        <v>2025</v>
      </c>
      <c r="K90" s="2" t="inlineStr">
        <is>
          <t>MICROBIOLOGY</t>
        </is>
      </c>
      <c r="L90" s="2" t="inlineStr">
        <is>
          <t>MICROBIOLOGY: Q3</t>
        </is>
      </c>
      <c r="M90" s="2" t="inlineStr">
        <is>
          <t>否</t>
        </is>
      </c>
      <c r="N90" s="2" t="inlineStr">
        <is>
          <t>否</t>
        </is>
      </c>
      <c r="O90" s="2" t="inlineStr">
        <is>
          <t>是</t>
        </is>
      </c>
      <c r="P90" s="2" t="inlineStr">
        <is>
          <t>https://topj.lib.whu.edu.cn/show.asp?cat=sci&amp;id=11185</t>
        </is>
      </c>
      <c r="Q90" s="2" t="inlineStr">
        <is>
          <t>统一名称及印刷/电子ISSN并集；多学科按全部已核实行保留；未知不作非Q1；原期刊名异名见文献明细</t>
        </is>
      </c>
    </row>
    <row r="91" ht="38" customHeight="1">
      <c r="A91" s="3" t="inlineStr">
        <is>
          <t>FOOD AND BIOPRODUCTS PROCESSING</t>
        </is>
      </c>
      <c r="B91" s="3" t="inlineStr">
        <is>
          <t>0960-3085</t>
        </is>
      </c>
      <c r="C91" s="3" t="inlineStr"/>
      <c r="D91" s="3" t="n">
        <v>1</v>
      </c>
      <c r="E91" s="3" t="n">
        <v>1</v>
      </c>
      <c r="F91" s="3" t="n">
        <v>1</v>
      </c>
      <c r="G91" s="3" t="n">
        <v>0</v>
      </c>
      <c r="H91" s="3" t="n">
        <v>0</v>
      </c>
      <c r="I91" s="3" t="n">
        <v>2024</v>
      </c>
      <c r="J91" s="3" t="n">
        <v>2025</v>
      </c>
      <c r="K91" s="3" t="inlineStr">
        <is>
          <t>BIOTECHNOLOGY &amp; APPLIED MICROBIOLOGY; ENGINEERING, CHEMICAL; FOOD SCIENCE &amp; TECHNOLOGY</t>
        </is>
      </c>
      <c r="L91" s="3" t="inlineStr">
        <is>
          <t>BIOTECHNOLOGY &amp; APPLIED MICROBIOLOGY: Q2; ENGINEERING, CHEMICAL: Q2; FOOD SCIENCE &amp; TECHNOLOGY: Q2</t>
        </is>
      </c>
      <c r="M91" s="3" t="inlineStr">
        <is>
          <t>否</t>
        </is>
      </c>
      <c r="N91" s="3" t="inlineStr">
        <is>
          <t>否</t>
        </is>
      </c>
      <c r="O91" s="3" t="inlineStr">
        <is>
          <t>是</t>
        </is>
      </c>
      <c r="P91" s="3" t="inlineStr">
        <is>
          <t>https://topj.lib.whu.edu.cn/show.asp?cat=esi&amp;id=4119</t>
        </is>
      </c>
      <c r="Q91" s="3" t="inlineStr">
        <is>
          <t>统一名称及印刷/电子ISSN并集；多学科按全部已核实行保留；未知不作非Q1；原期刊名异名见文献明细</t>
        </is>
      </c>
    </row>
    <row r="92" ht="38" customHeight="1">
      <c r="A92" s="2" t="inlineStr">
        <is>
          <t>Frontiers in Microbiology</t>
        </is>
      </c>
      <c r="B92" s="2" t="inlineStr"/>
      <c r="C92" s="2" t="inlineStr">
        <is>
          <t>1664-302X</t>
        </is>
      </c>
      <c r="D92" s="2" t="n">
        <v>1</v>
      </c>
      <c r="E92" s="2" t="n">
        <v>1</v>
      </c>
      <c r="F92" s="2" t="n">
        <v>1</v>
      </c>
      <c r="G92" s="2" t="n">
        <v>0</v>
      </c>
      <c r="H92" s="2" t="n">
        <v>0</v>
      </c>
      <c r="I92" s="2" t="n">
        <v>2024</v>
      </c>
      <c r="J92" s="2" t="n">
        <v>2025</v>
      </c>
      <c r="K92" s="2" t="inlineStr"/>
      <c r="L92" s="2" t="inlineStr"/>
      <c r="M92" s="2" t="inlineStr">
        <is>
          <t>待核实</t>
        </is>
      </c>
      <c r="N92" s="2" t="inlineStr">
        <is>
          <t>待核实</t>
        </is>
      </c>
      <c r="O92" s="2" t="inlineStr">
        <is>
          <t>否</t>
        </is>
      </c>
      <c r="P92" s="2" t="inlineStr"/>
      <c r="Q92" s="2" t="inlineStr">
        <is>
          <t>统一名称及印刷/电子ISSN并集；多学科按全部已核实行保留；未知不作非Q1；原期刊名异名见文献明细</t>
        </is>
      </c>
    </row>
    <row r="93" ht="38" customHeight="1">
      <c r="A93" s="3" t="inlineStr">
        <is>
          <t>Frontiers in Sustainability</t>
        </is>
      </c>
      <c r="B93" s="3" t="inlineStr"/>
      <c r="C93" s="3" t="inlineStr">
        <is>
          <t>2673-4524</t>
        </is>
      </c>
      <c r="D93" s="3" t="n">
        <v>1</v>
      </c>
      <c r="E93" s="3" t="n">
        <v>1</v>
      </c>
      <c r="F93" s="3" t="n">
        <v>1</v>
      </c>
      <c r="G93" s="3" t="n">
        <v>0</v>
      </c>
      <c r="H93" s="3" t="n">
        <v>0</v>
      </c>
      <c r="I93" s="3" t="n">
        <v>2024</v>
      </c>
      <c r="J93" s="3" t="n">
        <v>2025</v>
      </c>
      <c r="K93" s="3" t="inlineStr"/>
      <c r="L93" s="3" t="inlineStr"/>
      <c r="M93" s="3" t="inlineStr">
        <is>
          <t>待核实</t>
        </is>
      </c>
      <c r="N93" s="3" t="inlineStr">
        <is>
          <t>待核实</t>
        </is>
      </c>
      <c r="O93" s="3" t="inlineStr">
        <is>
          <t>否</t>
        </is>
      </c>
      <c r="P93" s="3" t="inlineStr"/>
      <c r="Q93" s="3" t="inlineStr">
        <is>
          <t>统一名称及印刷/电子ISSN并集；多学科按全部已核实行保留；未知不作非Q1；原期刊名异名见文献明细</t>
        </is>
      </c>
    </row>
    <row r="94" ht="38" customHeight="1">
      <c r="A94" s="2" t="inlineStr">
        <is>
          <t>Frontiers of Agricultural Science and Engineering</t>
        </is>
      </c>
      <c r="B94" s="2" t="inlineStr">
        <is>
          <t>2095-7505</t>
        </is>
      </c>
      <c r="C94" s="2" t="inlineStr"/>
      <c r="D94" s="2" t="n">
        <v>1</v>
      </c>
      <c r="E94" s="2" t="n">
        <v>1</v>
      </c>
      <c r="F94" s="2" t="n">
        <v>1</v>
      </c>
      <c r="G94" s="2" t="n">
        <v>0</v>
      </c>
      <c r="H94" s="2" t="n">
        <v>0</v>
      </c>
      <c r="I94" s="2" t="n">
        <v>2024</v>
      </c>
      <c r="J94" s="2" t="n">
        <v>2025</v>
      </c>
      <c r="K94" s="2" t="inlineStr"/>
      <c r="L94" s="2" t="inlineStr"/>
      <c r="M94" s="2" t="inlineStr">
        <is>
          <t>待核实</t>
        </is>
      </c>
      <c r="N94" s="2" t="inlineStr">
        <is>
          <t>待核实</t>
        </is>
      </c>
      <c r="O94" s="2" t="inlineStr">
        <is>
          <t>否</t>
        </is>
      </c>
      <c r="P94" s="2" t="inlineStr"/>
      <c r="Q94" s="2" t="inlineStr">
        <is>
          <t>统一名称及印刷/电子ISSN并集；多学科按全部已核实行保留；未知不作非Q1；原期刊名异名见文献明细</t>
        </is>
      </c>
    </row>
    <row r="95" ht="38" customHeight="1">
      <c r="A95" s="3" t="inlineStr">
        <is>
          <t>Frontiers of Environmental Science &amp; Engineering</t>
        </is>
      </c>
      <c r="B95" s="3" t="inlineStr">
        <is>
          <t>2095-2201</t>
        </is>
      </c>
      <c r="C95" s="3" t="inlineStr">
        <is>
          <t>2095-221X</t>
        </is>
      </c>
      <c r="D95" s="3" t="n">
        <v>1</v>
      </c>
      <c r="E95" s="3" t="n">
        <v>1</v>
      </c>
      <c r="F95" s="3" t="n">
        <v>1</v>
      </c>
      <c r="G95" s="3" t="n">
        <v>0</v>
      </c>
      <c r="H95" s="3" t="n">
        <v>0</v>
      </c>
      <c r="I95" s="3" t="n">
        <v>2024</v>
      </c>
      <c r="J95" s="3" t="n">
        <v>2025</v>
      </c>
      <c r="K95" s="3" t="inlineStr"/>
      <c r="L95" s="3" t="inlineStr"/>
      <c r="M95" s="3" t="inlineStr">
        <is>
          <t>待核实</t>
        </is>
      </c>
      <c r="N95" s="3" t="inlineStr">
        <is>
          <t>待核实</t>
        </is>
      </c>
      <c r="O95" s="3" t="inlineStr">
        <is>
          <t>否</t>
        </is>
      </c>
      <c r="P95" s="3" t="inlineStr"/>
      <c r="Q95" s="3" t="inlineStr">
        <is>
          <t>统一名称及印刷/电子ISSN并集；多学科按全部已核实行保留；未知不作非Q1；原期刊名异名见文献明细</t>
        </is>
      </c>
    </row>
    <row r="96" ht="38" customHeight="1">
      <c r="A96" s="2" t="inlineStr">
        <is>
          <t>Heliyon</t>
        </is>
      </c>
      <c r="B96" s="2" t="inlineStr">
        <is>
          <t>2405-8440</t>
        </is>
      </c>
      <c r="C96" s="2" t="inlineStr"/>
      <c r="D96" s="2" t="n">
        <v>1</v>
      </c>
      <c r="E96" s="2" t="n">
        <v>1</v>
      </c>
      <c r="F96" s="2" t="n">
        <v>0</v>
      </c>
      <c r="G96" s="2" t="n">
        <v>1</v>
      </c>
      <c r="H96" s="2" t="n">
        <v>0</v>
      </c>
      <c r="I96" s="2" t="n">
        <v>2024</v>
      </c>
      <c r="J96" s="2" t="n">
        <v>2025</v>
      </c>
      <c r="K96" s="2" t="inlineStr"/>
      <c r="L96" s="2" t="inlineStr"/>
      <c r="M96" s="2" t="inlineStr">
        <is>
          <t>待核实</t>
        </is>
      </c>
      <c r="N96" s="2" t="inlineStr">
        <is>
          <t>待核实</t>
        </is>
      </c>
      <c r="O96" s="2" t="inlineStr">
        <is>
          <t>否</t>
        </is>
      </c>
      <c r="P96" s="2" t="inlineStr"/>
      <c r="Q96" s="2" t="inlineStr">
        <is>
          <t>统一名称及印刷/电子ISSN并集；多学科按全部已核实行保留；未知不作非Q1；原期刊名异名见文献明细</t>
        </is>
      </c>
    </row>
    <row r="97" ht="38" customHeight="1">
      <c r="A97" s="3" t="inlineStr">
        <is>
          <t>Huanjing Kexue / Environmental Science</t>
        </is>
      </c>
      <c r="B97" s="3" t="inlineStr">
        <is>
          <t>0250-3301</t>
        </is>
      </c>
      <c r="C97" s="3" t="inlineStr"/>
      <c r="D97" s="3" t="n">
        <v>1</v>
      </c>
      <c r="E97" s="3" t="n">
        <v>1</v>
      </c>
      <c r="F97" s="3" t="n">
        <v>1</v>
      </c>
      <c r="G97" s="3" t="n">
        <v>0</v>
      </c>
      <c r="H97" s="3" t="n">
        <v>0</v>
      </c>
      <c r="I97" s="3" t="n">
        <v>2024</v>
      </c>
      <c r="J97" s="3" t="n">
        <v>2025</v>
      </c>
      <c r="K97" s="3" t="inlineStr"/>
      <c r="L97" s="3" t="inlineStr"/>
      <c r="M97" s="3" t="inlineStr">
        <is>
          <t>待核实</t>
        </is>
      </c>
      <c r="N97" s="3" t="inlineStr">
        <is>
          <t>待核实</t>
        </is>
      </c>
      <c r="O97" s="3" t="inlineStr">
        <is>
          <t>否</t>
        </is>
      </c>
      <c r="P97" s="3" t="inlineStr"/>
      <c r="Q97" s="3" t="inlineStr">
        <is>
          <t>统一名称及印刷/电子ISSN并集；多学科按全部已核实行保留；未知不作非Q1；原期刊名异名见文献明细</t>
        </is>
      </c>
    </row>
    <row r="98" ht="38" customHeight="1">
      <c r="A98" s="2" t="inlineStr">
        <is>
          <t>INDUSTRIAL CROPS AND PRODUCTS</t>
        </is>
      </c>
      <c r="B98" s="2" t="inlineStr">
        <is>
          <t>0926-6690</t>
        </is>
      </c>
      <c r="C98" s="2" t="inlineStr"/>
      <c r="D98" s="2" t="n">
        <v>1</v>
      </c>
      <c r="E98" s="2" t="n">
        <v>1</v>
      </c>
      <c r="F98" s="2" t="n">
        <v>0</v>
      </c>
      <c r="G98" s="2" t="n">
        <v>1</v>
      </c>
      <c r="H98" s="2" t="n">
        <v>0</v>
      </c>
      <c r="I98" s="2" t="n">
        <v>2024</v>
      </c>
      <c r="J98" s="2" t="n">
        <v>2025</v>
      </c>
      <c r="K98" s="2" t="inlineStr">
        <is>
          <t>AGRICULTURAL ENGINEERING; AGRONOMY</t>
        </is>
      </c>
      <c r="L98" s="2" t="inlineStr">
        <is>
          <t>AGRICULTURAL ENGINEERING: Q1; AGRONOMY: Q1</t>
        </is>
      </c>
      <c r="M98" s="4" t="inlineStr">
        <is>
          <t>是</t>
        </is>
      </c>
      <c r="N98" s="4" t="inlineStr">
        <is>
          <t>是</t>
        </is>
      </c>
      <c r="O98" s="2" t="inlineStr">
        <is>
          <t>是</t>
        </is>
      </c>
      <c r="P98" s="2" t="inlineStr">
        <is>
          <t>https://topj.lib.whu.edu.cn/show.asp?cat=sci&amp;id=1314</t>
        </is>
      </c>
      <c r="Q98" s="2" t="inlineStr">
        <is>
          <t>统一名称及印刷/电子ISSN并集；多学科按全部已核实行保留；未知不作非Q1；原期刊名异名见文献明细</t>
        </is>
      </c>
    </row>
    <row r="99" ht="38" customHeight="1">
      <c r="A99" s="3" t="inlineStr">
        <is>
          <t>INTERNATIONAL JOURNAL OF HYDROGEN ENERGY</t>
        </is>
      </c>
      <c r="B99" s="3" t="inlineStr">
        <is>
          <t>0360-3199</t>
        </is>
      </c>
      <c r="C99" s="3" t="inlineStr"/>
      <c r="D99" s="3" t="n">
        <v>1</v>
      </c>
      <c r="E99" s="3" t="n">
        <v>1</v>
      </c>
      <c r="F99" s="3" t="n">
        <v>1</v>
      </c>
      <c r="G99" s="3" t="n">
        <v>0</v>
      </c>
      <c r="H99" s="3" t="n">
        <v>0</v>
      </c>
      <c r="I99" s="3" t="n">
        <v>2024</v>
      </c>
      <c r="J99" s="3" t="n">
        <v>2025</v>
      </c>
      <c r="K99" s="3" t="inlineStr">
        <is>
          <t>CHEMISTRY, PHYSICAL; ELECTROCHEMISTRY; ENERGY &amp; FUELS</t>
        </is>
      </c>
      <c r="L99" s="3" t="inlineStr">
        <is>
          <t>CHEMISTRY, PHYSICAL: Q1; ELECTROCHEMISTRY: Q1; ENERGY &amp; FUELS: Q1</t>
        </is>
      </c>
      <c r="M99" s="4" t="inlineStr">
        <is>
          <t>是</t>
        </is>
      </c>
      <c r="N99" s="4" t="inlineStr">
        <is>
          <t>是</t>
        </is>
      </c>
      <c r="O99" s="3" t="inlineStr">
        <is>
          <t>是</t>
        </is>
      </c>
      <c r="P99" s="3" t="inlineStr">
        <is>
          <t>https://topj.lib.whu.edu.cn/show.asp?cat=zk&amp;id=2795</t>
        </is>
      </c>
      <c r="Q99" s="3" t="inlineStr">
        <is>
          <t>统一名称及印刷/电子ISSN并集；多学科按全部已核实行保留；未知不作非Q1；原期刊名异名见文献明细</t>
        </is>
      </c>
    </row>
    <row r="100" ht="38" customHeight="1">
      <c r="A100" s="2" t="inlineStr">
        <is>
          <t>IOSR Journal of Environmental Science, Toxicology and Food Technology</t>
        </is>
      </c>
      <c r="B100" s="2" t="inlineStr">
        <is>
          <t>2319-2399</t>
        </is>
      </c>
      <c r="C100" s="2" t="inlineStr">
        <is>
          <t>2319-2402</t>
        </is>
      </c>
      <c r="D100" s="2" t="n">
        <v>1</v>
      </c>
      <c r="E100" s="2" t="n">
        <v>0</v>
      </c>
      <c r="F100" s="2" t="n">
        <v>1</v>
      </c>
      <c r="G100" s="2" t="n">
        <v>0</v>
      </c>
      <c r="H100" s="2" t="n">
        <v>0</v>
      </c>
      <c r="I100" s="2" t="n">
        <v>2024</v>
      </c>
      <c r="J100" s="2" t="n">
        <v>2025</v>
      </c>
      <c r="K100" s="2" t="inlineStr"/>
      <c r="L100" s="2" t="inlineStr"/>
      <c r="M100" s="2" t="inlineStr">
        <is>
          <t>待核实</t>
        </is>
      </c>
      <c r="N100" s="2" t="inlineStr">
        <is>
          <t>待核实</t>
        </is>
      </c>
      <c r="O100" s="2" t="inlineStr">
        <is>
          <t>否</t>
        </is>
      </c>
      <c r="P100" s="2" t="inlineStr"/>
      <c r="Q100" s="2" t="inlineStr">
        <is>
          <t>统一名称及印刷/电子ISSN并集；多学科按全部已核实行保留；未知不作非Q1；原期刊名异名见文献明细</t>
        </is>
      </c>
    </row>
    <row r="101" ht="38" customHeight="1">
      <c r="A101" s="3" t="inlineStr">
        <is>
          <t>International Journal of Agricultural and Biological Engineering</t>
        </is>
      </c>
      <c r="B101" s="3" t="inlineStr">
        <is>
          <t>1934-6344</t>
        </is>
      </c>
      <c r="C101" s="3" t="inlineStr"/>
      <c r="D101" s="3" t="n">
        <v>1</v>
      </c>
      <c r="E101" s="3" t="n">
        <v>1</v>
      </c>
      <c r="F101" s="3" t="n">
        <v>1</v>
      </c>
      <c r="G101" s="3" t="n">
        <v>0</v>
      </c>
      <c r="H101" s="3" t="n">
        <v>0</v>
      </c>
      <c r="I101" s="3" t="n">
        <v>2024</v>
      </c>
      <c r="J101" s="3" t="n">
        <v>2025</v>
      </c>
      <c r="K101" s="3" t="inlineStr"/>
      <c r="L101" s="3" t="inlineStr"/>
      <c r="M101" s="3" t="inlineStr">
        <is>
          <t>待核实</t>
        </is>
      </c>
      <c r="N101" s="3" t="inlineStr">
        <is>
          <t>待核实</t>
        </is>
      </c>
      <c r="O101" s="3" t="inlineStr">
        <is>
          <t>否</t>
        </is>
      </c>
      <c r="P101" s="3" t="inlineStr"/>
      <c r="Q101" s="3" t="inlineStr">
        <is>
          <t>统一名称及印刷/电子ISSN并集；多学科按全部已核实行保留；未知不作非Q1；原期刊名异名见文献明细</t>
        </is>
      </c>
    </row>
    <row r="102" ht="38" customHeight="1">
      <c r="A102" s="2" t="inlineStr">
        <is>
          <t>International Journal of Environmental Science and Development</t>
        </is>
      </c>
      <c r="B102" s="2" t="inlineStr"/>
      <c r="C102" s="2" t="inlineStr">
        <is>
          <t>2010-0264</t>
        </is>
      </c>
      <c r="D102" s="2" t="n">
        <v>1</v>
      </c>
      <c r="E102" s="2" t="n">
        <v>1</v>
      </c>
      <c r="F102" s="2" t="n">
        <v>1</v>
      </c>
      <c r="G102" s="2" t="n">
        <v>0</v>
      </c>
      <c r="H102" s="2" t="n">
        <v>0</v>
      </c>
      <c r="I102" s="2" t="n">
        <v>2024</v>
      </c>
      <c r="J102" s="2" t="n">
        <v>2025</v>
      </c>
      <c r="K102" s="2" t="inlineStr"/>
      <c r="L102" s="2" t="inlineStr"/>
      <c r="M102" s="2" t="inlineStr">
        <is>
          <t>待核实</t>
        </is>
      </c>
      <c r="N102" s="2" t="inlineStr">
        <is>
          <t>待核实</t>
        </is>
      </c>
      <c r="O102" s="2" t="inlineStr">
        <is>
          <t>否</t>
        </is>
      </c>
      <c r="P102" s="2" t="inlineStr"/>
      <c r="Q102" s="2" t="inlineStr">
        <is>
          <t>统一名称及印刷/电子ISSN并集；多学科按全部已核实行保留；未知不作非Q1；原期刊名异名见文献明细</t>
        </is>
      </c>
    </row>
    <row r="103" ht="38" customHeight="1">
      <c r="A103" s="3" t="inlineStr">
        <is>
          <t>International Journal of Innovative Research in Science, Engineering and Technology</t>
        </is>
      </c>
      <c r="B103" s="3" t="inlineStr">
        <is>
          <t>2347-6710</t>
        </is>
      </c>
      <c r="C103" s="3" t="inlineStr">
        <is>
          <t>2319-8753</t>
        </is>
      </c>
      <c r="D103" s="3" t="n">
        <v>1</v>
      </c>
      <c r="E103" s="3" t="n">
        <v>0</v>
      </c>
      <c r="F103" s="3" t="n">
        <v>1</v>
      </c>
      <c r="G103" s="3" t="n">
        <v>0</v>
      </c>
      <c r="H103" s="3" t="n">
        <v>0</v>
      </c>
      <c r="I103" s="3" t="n">
        <v>2024</v>
      </c>
      <c r="J103" s="3" t="n">
        <v>2025</v>
      </c>
      <c r="K103" s="3" t="inlineStr"/>
      <c r="L103" s="3" t="inlineStr"/>
      <c r="M103" s="3" t="inlineStr">
        <is>
          <t>待核实</t>
        </is>
      </c>
      <c r="N103" s="3" t="inlineStr">
        <is>
          <t>待核实</t>
        </is>
      </c>
      <c r="O103" s="3" t="inlineStr">
        <is>
          <t>否</t>
        </is>
      </c>
      <c r="P103" s="3" t="inlineStr"/>
      <c r="Q103" s="3" t="inlineStr">
        <is>
          <t>统一名称及印刷/电子ISSN并集；多学科按全部已核实行保留；未知不作非Q1；原期刊名异名见文献明细</t>
        </is>
      </c>
    </row>
    <row r="104" ht="38" customHeight="1">
      <c r="A104" s="2" t="inlineStr">
        <is>
          <t>JOURNAL OF ENVIRONMENTAL SCIENCE AND HEALTH PART B-PESTICIDES FOOD CONTAMINANTS AND AGRICULTURAL WASTES</t>
        </is>
      </c>
      <c r="B104" s="2" t="inlineStr">
        <is>
          <t>0360-1234</t>
        </is>
      </c>
      <c r="C104" s="2" t="inlineStr">
        <is>
          <t>1532-4109</t>
        </is>
      </c>
      <c r="D104" s="2" t="n">
        <v>1</v>
      </c>
      <c r="E104" s="2" t="n">
        <v>0</v>
      </c>
      <c r="F104" s="2" t="n">
        <v>1</v>
      </c>
      <c r="G104" s="2" t="n">
        <v>0</v>
      </c>
      <c r="H104" s="2" t="n">
        <v>0</v>
      </c>
      <c r="I104" s="2" t="n">
        <v>2024</v>
      </c>
      <c r="J104" s="2" t="n">
        <v>2025</v>
      </c>
      <c r="K104" s="2" t="inlineStr">
        <is>
          <t>ENVIRONMENTAL SCIENCES; PUBLIC, ENVIRONMENTAL &amp; OCCUPATIONAL HEALTH</t>
        </is>
      </c>
      <c r="L104" s="2" t="inlineStr">
        <is>
          <t>ENVIRONMENTAL SCIENCES: Q4; PUBLIC, ENVIRONMENTAL &amp; OCCUPATIONAL HEALTH: Q3</t>
        </is>
      </c>
      <c r="M104" s="2" t="inlineStr">
        <is>
          <t>否</t>
        </is>
      </c>
      <c r="N104" s="2" t="inlineStr">
        <is>
          <t>否</t>
        </is>
      </c>
      <c r="O104" s="2" t="inlineStr">
        <is>
          <t>是</t>
        </is>
      </c>
      <c r="P104" s="2" t="inlineStr">
        <is>
          <t>https://topj.lib.whu.edu.cn/show.asp?cat=esi&amp;id=6727</t>
        </is>
      </c>
      <c r="Q104" s="2" t="inlineStr">
        <is>
          <t>统一名称及印刷/电子ISSN并集；多学科按全部已核实行保留；未知不作非Q1；原期刊名异名见文献明细</t>
        </is>
      </c>
    </row>
    <row r="105" ht="38" customHeight="1">
      <c r="A105" s="3" t="inlineStr">
        <is>
          <t>Johnson Matthey Technology Review</t>
        </is>
      </c>
      <c r="B105" s="3" t="inlineStr">
        <is>
          <t>2056-5135</t>
        </is>
      </c>
      <c r="C105" s="3" t="inlineStr"/>
      <c r="D105" s="3" t="n">
        <v>1</v>
      </c>
      <c r="E105" s="3" t="n">
        <v>1</v>
      </c>
      <c r="F105" s="3" t="n">
        <v>0</v>
      </c>
      <c r="G105" s="3" t="n">
        <v>1</v>
      </c>
      <c r="H105" s="3" t="n">
        <v>0</v>
      </c>
      <c r="I105" s="3" t="n">
        <v>2024</v>
      </c>
      <c r="J105" s="3" t="n">
        <v>2025</v>
      </c>
      <c r="K105" s="3" t="inlineStr"/>
      <c r="L105" s="3" t="inlineStr"/>
      <c r="M105" s="3" t="inlineStr">
        <is>
          <t>待核实</t>
        </is>
      </c>
      <c r="N105" s="3" t="inlineStr">
        <is>
          <t>待核实</t>
        </is>
      </c>
      <c r="O105" s="3" t="inlineStr">
        <is>
          <t>否</t>
        </is>
      </c>
      <c r="P105" s="3" t="inlineStr"/>
      <c r="Q105" s="3" t="inlineStr">
        <is>
          <t>统一名称及印刷/电子ISSN并集；多学科按全部已核实行保留；未知不作非Q1；原期刊名异名见文献明细</t>
        </is>
      </c>
    </row>
    <row r="106" ht="38" customHeight="1">
      <c r="A106" s="2" t="inlineStr">
        <is>
          <t>Journal of Environmental Engineering Technology</t>
        </is>
      </c>
      <c r="B106" s="2" t="inlineStr">
        <is>
          <t>1674-991X</t>
        </is>
      </c>
      <c r="C106" s="2" t="inlineStr"/>
      <c r="D106" s="2" t="n">
        <v>1</v>
      </c>
      <c r="E106" s="2" t="n">
        <v>1</v>
      </c>
      <c r="F106" s="2" t="n">
        <v>1</v>
      </c>
      <c r="G106" s="2" t="n">
        <v>0</v>
      </c>
      <c r="H106" s="2" t="n">
        <v>0</v>
      </c>
      <c r="I106" s="2" t="n">
        <v>2024</v>
      </c>
      <c r="J106" s="2" t="n">
        <v>2025</v>
      </c>
      <c r="K106" s="2" t="inlineStr"/>
      <c r="L106" s="2" t="inlineStr"/>
      <c r="M106" s="2" t="inlineStr">
        <is>
          <t>待核实</t>
        </is>
      </c>
      <c r="N106" s="2" t="inlineStr">
        <is>
          <t>待核实</t>
        </is>
      </c>
      <c r="O106" s="2" t="inlineStr">
        <is>
          <t>否</t>
        </is>
      </c>
      <c r="P106" s="2" t="inlineStr"/>
      <c r="Q106" s="2" t="inlineStr">
        <is>
          <t>统一名称及印刷/电子ISSN并集；多学科按全部已核实行保留；未知不作非Q1；原期刊名异名见文献明细</t>
        </is>
      </c>
    </row>
    <row r="107" ht="38" customHeight="1">
      <c r="A107" s="3" t="inlineStr">
        <is>
          <t>Journal of Environmental Health Science and Engineering</t>
        </is>
      </c>
      <c r="B107" s="3" t="inlineStr"/>
      <c r="C107" s="3" t="inlineStr">
        <is>
          <t>2052-336X</t>
        </is>
      </c>
      <c r="D107" s="3" t="n">
        <v>1</v>
      </c>
      <c r="E107" s="3" t="n">
        <v>1</v>
      </c>
      <c r="F107" s="3" t="n">
        <v>0</v>
      </c>
      <c r="G107" s="3" t="n">
        <v>1</v>
      </c>
      <c r="H107" s="3" t="n">
        <v>0</v>
      </c>
      <c r="I107" s="3" t="n">
        <v>2024</v>
      </c>
      <c r="J107" s="3" t="n">
        <v>2025</v>
      </c>
      <c r="K107" s="3" t="inlineStr"/>
      <c r="L107" s="3" t="inlineStr"/>
      <c r="M107" s="3" t="inlineStr">
        <is>
          <t>待核实</t>
        </is>
      </c>
      <c r="N107" s="3" t="inlineStr">
        <is>
          <t>待核实</t>
        </is>
      </c>
      <c r="O107" s="3" t="inlineStr">
        <is>
          <t>否</t>
        </is>
      </c>
      <c r="P107" s="3" t="inlineStr"/>
      <c r="Q107" s="3" t="inlineStr">
        <is>
          <t>统一名称及印刷/电子ISSN并集；多学科按全部已核实行保留；未知不作非Q1；原期刊名异名见文献明细</t>
        </is>
      </c>
    </row>
    <row r="108" ht="38" customHeight="1">
      <c r="A108" s="2" t="inlineStr">
        <is>
          <t>Journal of Environmental Sciences</t>
        </is>
      </c>
      <c r="B108" s="2" t="inlineStr">
        <is>
          <t>1001-0742</t>
        </is>
      </c>
      <c r="C108" s="2" t="inlineStr"/>
      <c r="D108" s="2" t="n">
        <v>1</v>
      </c>
      <c r="E108" s="2" t="n">
        <v>1</v>
      </c>
      <c r="F108" s="2" t="n">
        <v>1</v>
      </c>
      <c r="G108" s="2" t="n">
        <v>0</v>
      </c>
      <c r="H108" s="2" t="n">
        <v>0</v>
      </c>
      <c r="I108" s="2" t="n">
        <v>2024</v>
      </c>
      <c r="J108" s="2" t="n">
        <v>2025</v>
      </c>
      <c r="K108" s="2" t="inlineStr"/>
      <c r="L108" s="2" t="inlineStr"/>
      <c r="M108" s="2" t="inlineStr">
        <is>
          <t>待核实</t>
        </is>
      </c>
      <c r="N108" s="2" t="inlineStr">
        <is>
          <t>待核实</t>
        </is>
      </c>
      <c r="O108" s="2" t="inlineStr">
        <is>
          <t>否</t>
        </is>
      </c>
      <c r="P108" s="2" t="inlineStr"/>
      <c r="Q108" s="2" t="inlineStr">
        <is>
          <t>统一名称及印刷/电子ISSN并集；多学科按全部已核实行保留；未知不作非Q1；原期刊名异名见文献明细</t>
        </is>
      </c>
    </row>
    <row r="109" ht="38" customHeight="1">
      <c r="A109" s="3" t="inlineStr">
        <is>
          <t>Journal of Pure and Applied Microbiology</t>
        </is>
      </c>
      <c r="B109" s="3" t="inlineStr"/>
      <c r="C109" s="3" t="inlineStr"/>
      <c r="D109" s="3" t="n">
        <v>1</v>
      </c>
      <c r="E109" s="3" t="n">
        <v>1</v>
      </c>
      <c r="F109" s="3" t="n">
        <v>1</v>
      </c>
      <c r="G109" s="3" t="n">
        <v>0</v>
      </c>
      <c r="H109" s="3" t="n">
        <v>0</v>
      </c>
      <c r="I109" s="3" t="n">
        <v>2024</v>
      </c>
      <c r="J109" s="3" t="n">
        <v>2025</v>
      </c>
      <c r="K109" s="3" t="inlineStr"/>
      <c r="L109" s="3" t="inlineStr"/>
      <c r="M109" s="3" t="inlineStr">
        <is>
          <t>待核实</t>
        </is>
      </c>
      <c r="N109" s="3" t="inlineStr">
        <is>
          <t>待核实</t>
        </is>
      </c>
      <c r="O109" s="3" t="inlineStr">
        <is>
          <t>否</t>
        </is>
      </c>
      <c r="P109" s="3" t="inlineStr"/>
      <c r="Q109" s="3" t="inlineStr">
        <is>
          <t>统一名称及印刷/电子ISSN并集；多学科按全部已核实行保留；未知不作非Q1；原期刊名异名见文献明细</t>
        </is>
      </c>
    </row>
    <row r="110" ht="38" customHeight="1">
      <c r="A110" s="2" t="inlineStr">
        <is>
          <t>Journal of the Korea Organic Resource Recycling Association</t>
        </is>
      </c>
      <c r="B110" s="2" t="inlineStr">
        <is>
          <t>1225-6498</t>
        </is>
      </c>
      <c r="C110" s="2" t="inlineStr"/>
      <c r="D110" s="2" t="n">
        <v>1</v>
      </c>
      <c r="E110" s="2" t="n">
        <v>1</v>
      </c>
      <c r="F110" s="2" t="n">
        <v>1</v>
      </c>
      <c r="G110" s="2" t="n">
        <v>0</v>
      </c>
      <c r="H110" s="2" t="n">
        <v>0</v>
      </c>
      <c r="I110" s="2" t="n">
        <v>2024</v>
      </c>
      <c r="J110" s="2" t="n">
        <v>2025</v>
      </c>
      <c r="K110" s="2" t="inlineStr"/>
      <c r="L110" s="2" t="inlineStr"/>
      <c r="M110" s="2" t="inlineStr">
        <is>
          <t>待核实</t>
        </is>
      </c>
      <c r="N110" s="2" t="inlineStr">
        <is>
          <t>待核实</t>
        </is>
      </c>
      <c r="O110" s="2" t="inlineStr">
        <is>
          <t>否</t>
        </is>
      </c>
      <c r="P110" s="2" t="inlineStr"/>
      <c r="Q110" s="2" t="inlineStr">
        <is>
          <t>统一名称及印刷/电子ISSN并集；多学科按全部已核实行保留；未知不作非Q1；原期刊名异名见文献明细</t>
        </is>
      </c>
    </row>
    <row r="111" ht="38" customHeight="1">
      <c r="A111" s="3" t="inlineStr">
        <is>
          <t>Jurnal Bahan Alam Terbarukan</t>
        </is>
      </c>
      <c r="B111" s="3" t="inlineStr">
        <is>
          <t>2303-0623</t>
        </is>
      </c>
      <c r="C111" s="3" t="inlineStr">
        <is>
          <t>2407-2370</t>
        </is>
      </c>
      <c r="D111" s="3" t="n">
        <v>1</v>
      </c>
      <c r="E111" s="3" t="n">
        <v>1</v>
      </c>
      <c r="F111" s="3" t="n">
        <v>1</v>
      </c>
      <c r="G111" s="3" t="n">
        <v>0</v>
      </c>
      <c r="H111" s="3" t="n">
        <v>0</v>
      </c>
      <c r="I111" s="3" t="n">
        <v>2024</v>
      </c>
      <c r="J111" s="3" t="n">
        <v>2025</v>
      </c>
      <c r="K111" s="3" t="inlineStr"/>
      <c r="L111" s="3" t="inlineStr"/>
      <c r="M111" s="3" t="inlineStr">
        <is>
          <t>待核实</t>
        </is>
      </c>
      <c r="N111" s="3" t="inlineStr">
        <is>
          <t>待核实</t>
        </is>
      </c>
      <c r="O111" s="3" t="inlineStr">
        <is>
          <t>否</t>
        </is>
      </c>
      <c r="P111" s="3" t="inlineStr"/>
      <c r="Q111" s="3" t="inlineStr">
        <is>
          <t>统一名称及印刷/电子ISSN并集；多学科按全部已核实行保留；未知不作非Q1；原期刊名异名见文献明细</t>
        </is>
      </c>
    </row>
    <row r="112" ht="38" customHeight="1">
      <c r="A112" s="2" t="inlineStr">
        <is>
          <t>Jurnal Kimia dan Rekayasa</t>
        </is>
      </c>
      <c r="B112" s="2" t="inlineStr">
        <is>
          <t>2747-2841</t>
        </is>
      </c>
      <c r="C112" s="2" t="inlineStr">
        <is>
          <t>2746-0886</t>
        </is>
      </c>
      <c r="D112" s="2" t="n">
        <v>1</v>
      </c>
      <c r="E112" s="2" t="n">
        <v>1</v>
      </c>
      <c r="F112" s="2" t="n">
        <v>1</v>
      </c>
      <c r="G112" s="2" t="n">
        <v>0</v>
      </c>
      <c r="H112" s="2" t="n">
        <v>0</v>
      </c>
      <c r="I112" s="2" t="n">
        <v>2024</v>
      </c>
      <c r="J112" s="2" t="n">
        <v>2025</v>
      </c>
      <c r="K112" s="2" t="inlineStr"/>
      <c r="L112" s="2" t="inlineStr"/>
      <c r="M112" s="2" t="inlineStr">
        <is>
          <t>待核实</t>
        </is>
      </c>
      <c r="N112" s="2" t="inlineStr">
        <is>
          <t>待核实</t>
        </is>
      </c>
      <c r="O112" s="2" t="inlineStr">
        <is>
          <t>否</t>
        </is>
      </c>
      <c r="P112" s="2" t="inlineStr"/>
      <c r="Q112" s="2" t="inlineStr">
        <is>
          <t>统一名称及印刷/电子ISSN并集；多学科按全部已核实行保留；未知不作非Q1；原期刊名异名见文献明细</t>
        </is>
      </c>
    </row>
    <row r="113" ht="38" customHeight="1">
      <c r="A113" s="3" t="inlineStr">
        <is>
          <t>Jurnal Riset Teknologi Pencegahan Pencemaran Industri</t>
        </is>
      </c>
      <c r="B113" s="3" t="inlineStr">
        <is>
          <t>2087-0965</t>
        </is>
      </c>
      <c r="C113" s="3" t="inlineStr">
        <is>
          <t>2503-5010</t>
        </is>
      </c>
      <c r="D113" s="3" t="n">
        <v>1</v>
      </c>
      <c r="E113" s="3" t="n">
        <v>1</v>
      </c>
      <c r="F113" s="3" t="n">
        <v>1</v>
      </c>
      <c r="G113" s="3" t="n">
        <v>0</v>
      </c>
      <c r="H113" s="3" t="n">
        <v>0</v>
      </c>
      <c r="I113" s="3" t="n">
        <v>2024</v>
      </c>
      <c r="J113" s="3" t="n">
        <v>2025</v>
      </c>
      <c r="K113" s="3" t="inlineStr"/>
      <c r="L113" s="3" t="inlineStr"/>
      <c r="M113" s="3" t="inlineStr">
        <is>
          <t>待核实</t>
        </is>
      </c>
      <c r="N113" s="3" t="inlineStr">
        <is>
          <t>待核实</t>
        </is>
      </c>
      <c r="O113" s="3" t="inlineStr">
        <is>
          <t>否</t>
        </is>
      </c>
      <c r="P113" s="3" t="inlineStr"/>
      <c r="Q113" s="3" t="inlineStr">
        <is>
          <t>统一名称及印刷/电子ISSN并集；多学科按全部已核实行保留；未知不作非Q1；原期刊名异名见文献明细</t>
        </is>
      </c>
    </row>
    <row r="114" ht="38" customHeight="1">
      <c r="A114" s="2" t="inlineStr">
        <is>
          <t>Methane</t>
        </is>
      </c>
      <c r="B114" s="2" t="inlineStr"/>
      <c r="C114" s="2" t="inlineStr">
        <is>
          <t>2674-0389</t>
        </is>
      </c>
      <c r="D114" s="2" t="n">
        <v>1</v>
      </c>
      <c r="E114" s="2" t="n">
        <v>1</v>
      </c>
      <c r="F114" s="2" t="n">
        <v>0</v>
      </c>
      <c r="G114" s="2" t="n">
        <v>1</v>
      </c>
      <c r="H114" s="2" t="n">
        <v>0</v>
      </c>
      <c r="I114" s="2" t="n">
        <v>2024</v>
      </c>
      <c r="J114" s="2" t="n">
        <v>2025</v>
      </c>
      <c r="K114" s="2" t="inlineStr"/>
      <c r="L114" s="2" t="inlineStr"/>
      <c r="M114" s="2" t="inlineStr">
        <is>
          <t>待核实</t>
        </is>
      </c>
      <c r="N114" s="2" t="inlineStr">
        <is>
          <t>待核实</t>
        </is>
      </c>
      <c r="O114" s="2" t="inlineStr">
        <is>
          <t>否</t>
        </is>
      </c>
      <c r="P114" s="2" t="inlineStr"/>
      <c r="Q114" s="2" t="inlineStr">
        <is>
          <t>统一名称及印刷/电子ISSN并集；多学科按全部已核实行保留；未知不作非Q1；原期刊名异名见文献明细</t>
        </is>
      </c>
    </row>
    <row r="115" ht="38" customHeight="1">
      <c r="A115" s="3" t="inlineStr">
        <is>
          <t>Mokslas - Lietuvos ateitis</t>
        </is>
      </c>
      <c r="B115" s="3" t="inlineStr">
        <is>
          <t>2029-2341</t>
        </is>
      </c>
      <c r="C115" s="3" t="inlineStr">
        <is>
          <t>2029-2252</t>
        </is>
      </c>
      <c r="D115" s="3" t="n">
        <v>1</v>
      </c>
      <c r="E115" s="3" t="n">
        <v>1</v>
      </c>
      <c r="F115" s="3" t="n">
        <v>0</v>
      </c>
      <c r="G115" s="3" t="n">
        <v>1</v>
      </c>
      <c r="H115" s="3" t="n">
        <v>0</v>
      </c>
      <c r="I115" s="3" t="n">
        <v>2024</v>
      </c>
      <c r="J115" s="3" t="n">
        <v>2025</v>
      </c>
      <c r="K115" s="3" t="inlineStr"/>
      <c r="L115" s="3" t="inlineStr"/>
      <c r="M115" s="3" t="inlineStr">
        <is>
          <t>待核实</t>
        </is>
      </c>
      <c r="N115" s="3" t="inlineStr">
        <is>
          <t>待核实</t>
        </is>
      </c>
      <c r="O115" s="3" t="inlineStr">
        <is>
          <t>否</t>
        </is>
      </c>
      <c r="P115" s="3" t="inlineStr"/>
      <c r="Q115" s="3" t="inlineStr">
        <is>
          <t>统一名称及印刷/电子ISSN并集；多学科按全部已核实行保留；未知不作非Q1；原期刊名异名见文献明细</t>
        </is>
      </c>
    </row>
    <row r="116" ht="38" customHeight="1">
      <c r="A116" s="2" t="inlineStr">
        <is>
          <t>Nordic Pulp &amp; Paper Research Journal</t>
        </is>
      </c>
      <c r="B116" s="2" t="inlineStr">
        <is>
          <t>0283-2631</t>
        </is>
      </c>
      <c r="C116" s="2" t="inlineStr">
        <is>
          <t>2000-0669</t>
        </is>
      </c>
      <c r="D116" s="2" t="n">
        <v>1</v>
      </c>
      <c r="E116" s="2" t="n">
        <v>0</v>
      </c>
      <c r="F116" s="2" t="n">
        <v>1</v>
      </c>
      <c r="G116" s="2" t="n">
        <v>0</v>
      </c>
      <c r="H116" s="2" t="n">
        <v>0</v>
      </c>
      <c r="I116" s="2" t="n">
        <v>2024</v>
      </c>
      <c r="J116" s="2" t="n">
        <v>2025</v>
      </c>
      <c r="K116" s="2" t="inlineStr"/>
      <c r="L116" s="2" t="inlineStr"/>
      <c r="M116" s="2" t="inlineStr">
        <is>
          <t>待核实</t>
        </is>
      </c>
      <c r="N116" s="2" t="inlineStr">
        <is>
          <t>待核实</t>
        </is>
      </c>
      <c r="O116" s="2" t="inlineStr">
        <is>
          <t>否</t>
        </is>
      </c>
      <c r="P116" s="2" t="inlineStr"/>
      <c r="Q116" s="2" t="inlineStr">
        <is>
          <t>统一名称及印刷/电子ISSN并集；多学科按全部已核实行保留；未知不作非Q1；原期刊名异名见文献明细</t>
        </is>
      </c>
    </row>
    <row r="117" ht="38" customHeight="1">
      <c r="A117" s="3" t="inlineStr">
        <is>
          <t>Nova Biotechnologica et Chimica</t>
        </is>
      </c>
      <c r="B117" s="3" t="inlineStr">
        <is>
          <t>1338-6905</t>
        </is>
      </c>
      <c r="C117" s="3" t="inlineStr">
        <is>
          <t>1339-004X</t>
        </is>
      </c>
      <c r="D117" s="3" t="n">
        <v>1</v>
      </c>
      <c r="E117" s="3" t="n">
        <v>1</v>
      </c>
      <c r="F117" s="3" t="n">
        <v>1</v>
      </c>
      <c r="G117" s="3" t="n">
        <v>0</v>
      </c>
      <c r="H117" s="3" t="n">
        <v>0</v>
      </c>
      <c r="I117" s="3" t="n">
        <v>2024</v>
      </c>
      <c r="J117" s="3" t="n">
        <v>2025</v>
      </c>
      <c r="K117" s="3" t="inlineStr"/>
      <c r="L117" s="3" t="inlineStr"/>
      <c r="M117" s="3" t="inlineStr">
        <is>
          <t>待核实</t>
        </is>
      </c>
      <c r="N117" s="3" t="inlineStr">
        <is>
          <t>待核实</t>
        </is>
      </c>
      <c r="O117" s="3" t="inlineStr">
        <is>
          <t>否</t>
        </is>
      </c>
      <c r="P117" s="3" t="inlineStr"/>
      <c r="Q117" s="3" t="inlineStr">
        <is>
          <t>统一名称及印刷/电子ISSN并集；多学科按全部已核实行保留；未知不作非Q1；原期刊名异名见文献明细</t>
        </is>
      </c>
    </row>
    <row r="118" ht="38" customHeight="1">
      <c r="A118" s="2" t="inlineStr">
        <is>
          <t>PLOS ONE</t>
        </is>
      </c>
      <c r="B118" s="2" t="inlineStr"/>
      <c r="C118" s="2" t="inlineStr">
        <is>
          <t>1932-6203</t>
        </is>
      </c>
      <c r="D118" s="2" t="n">
        <v>1</v>
      </c>
      <c r="E118" s="2" t="n">
        <v>1</v>
      </c>
      <c r="F118" s="2" t="n">
        <v>1</v>
      </c>
      <c r="G118" s="2" t="n">
        <v>0</v>
      </c>
      <c r="H118" s="2" t="n">
        <v>0</v>
      </c>
      <c r="I118" s="2" t="n">
        <v>2024</v>
      </c>
      <c r="J118" s="2" t="n">
        <v>2025</v>
      </c>
      <c r="K118" s="2" t="inlineStr"/>
      <c r="L118" s="2" t="inlineStr"/>
      <c r="M118" s="2" t="inlineStr">
        <is>
          <t>待核实</t>
        </is>
      </c>
      <c r="N118" s="2" t="inlineStr">
        <is>
          <t>待核实</t>
        </is>
      </c>
      <c r="O118" s="2" t="inlineStr">
        <is>
          <t>否</t>
        </is>
      </c>
      <c r="P118" s="2" t="inlineStr"/>
      <c r="Q118" s="2" t="inlineStr">
        <is>
          <t>统一名称及印刷/电子ISSN并集；多学科按全部已核实行保留；未知不作非Q1；原期刊名异名见文献明细</t>
        </is>
      </c>
    </row>
    <row r="119" ht="38" customHeight="1">
      <c r="A119" s="3" t="inlineStr">
        <is>
          <t>Polymers</t>
        </is>
      </c>
      <c r="B119" s="3" t="inlineStr"/>
      <c r="C119" s="3" t="inlineStr">
        <is>
          <t>2073-4360</t>
        </is>
      </c>
      <c r="D119" s="3" t="n">
        <v>1</v>
      </c>
      <c r="E119" s="3" t="n">
        <v>1</v>
      </c>
      <c r="F119" s="3" t="n">
        <v>1</v>
      </c>
      <c r="G119" s="3" t="n">
        <v>0</v>
      </c>
      <c r="H119" s="3" t="n">
        <v>0</v>
      </c>
      <c r="I119" s="3" t="n">
        <v>2024</v>
      </c>
      <c r="J119" s="3" t="n">
        <v>2025</v>
      </c>
      <c r="K119" s="3" t="inlineStr"/>
      <c r="L119" s="3" t="inlineStr"/>
      <c r="M119" s="3" t="inlineStr">
        <is>
          <t>待核实</t>
        </is>
      </c>
      <c r="N119" s="3" t="inlineStr">
        <is>
          <t>待核实</t>
        </is>
      </c>
      <c r="O119" s="3" t="inlineStr">
        <is>
          <t>否</t>
        </is>
      </c>
      <c r="P119" s="3" t="inlineStr"/>
      <c r="Q119" s="3" t="inlineStr">
        <is>
          <t>统一名称及印刷/电子ISSN并集；多学科按全部已核实行保留；未知不作非Q1；原期刊名异名见文献明细</t>
        </is>
      </c>
    </row>
    <row r="120" ht="38" customHeight="1">
      <c r="A120" s="2" t="inlineStr">
        <is>
          <t>Renewable and Sustainable Energy Reviews</t>
        </is>
      </c>
      <c r="B120" s="2" t="inlineStr">
        <is>
          <t>1364-0321</t>
        </is>
      </c>
      <c r="C120" s="2" t="inlineStr"/>
      <c r="D120" s="2" t="n">
        <v>1</v>
      </c>
      <c r="E120" s="2" t="n">
        <v>1</v>
      </c>
      <c r="F120" s="2" t="n">
        <v>0</v>
      </c>
      <c r="G120" s="2" t="n">
        <v>1</v>
      </c>
      <c r="H120" s="2" t="n">
        <v>0</v>
      </c>
      <c r="I120" s="2" t="n">
        <v>2024</v>
      </c>
      <c r="J120" s="2" t="n">
        <v>2025</v>
      </c>
      <c r="K120" s="2" t="inlineStr"/>
      <c r="L120" s="2" t="inlineStr"/>
      <c r="M120" s="2" t="inlineStr">
        <is>
          <t>待核实</t>
        </is>
      </c>
      <c r="N120" s="2" t="inlineStr">
        <is>
          <t>待核实</t>
        </is>
      </c>
      <c r="O120" s="2" t="inlineStr">
        <is>
          <t>否</t>
        </is>
      </c>
      <c r="P120" s="2" t="inlineStr"/>
      <c r="Q120" s="2" t="inlineStr">
        <is>
          <t>统一名称及印刷/电子ISSN并集；多学科按全部已核实行保留；未知不作非Q1；原期刊名异名见文献明细</t>
        </is>
      </c>
    </row>
    <row r="121" ht="38" customHeight="1">
      <c r="A121" s="3" t="inlineStr">
        <is>
          <t>Research on Chemical Intermediates</t>
        </is>
      </c>
      <c r="B121" s="3" t="inlineStr">
        <is>
          <t>0922-6168</t>
        </is>
      </c>
      <c r="C121" s="3" t="inlineStr">
        <is>
          <t>1568-5675</t>
        </is>
      </c>
      <c r="D121" s="3" t="n">
        <v>1</v>
      </c>
      <c r="E121" s="3" t="n">
        <v>1</v>
      </c>
      <c r="F121" s="3" t="n">
        <v>1</v>
      </c>
      <c r="G121" s="3" t="n">
        <v>0</v>
      </c>
      <c r="H121" s="3" t="n">
        <v>0</v>
      </c>
      <c r="I121" s="3" t="n">
        <v>2024</v>
      </c>
      <c r="J121" s="3" t="n">
        <v>2025</v>
      </c>
      <c r="K121" s="3" t="inlineStr"/>
      <c r="L121" s="3" t="inlineStr"/>
      <c r="M121" s="3" t="inlineStr">
        <is>
          <t>待核实</t>
        </is>
      </c>
      <c r="N121" s="3" t="inlineStr">
        <is>
          <t>待核实</t>
        </is>
      </c>
      <c r="O121" s="3" t="inlineStr">
        <is>
          <t>否</t>
        </is>
      </c>
      <c r="P121" s="3" t="inlineStr"/>
      <c r="Q121" s="3" t="inlineStr">
        <is>
          <t>统一名称及印刷/电子ISSN并集；多学科按全部已核实行保留；未知不作非Q1；原期刊名异名见文献明细</t>
        </is>
      </c>
    </row>
    <row r="122" ht="38" customHeight="1">
      <c r="A122" s="2" t="inlineStr">
        <is>
          <t>Reviews in Environmental Science and Bio/Technology</t>
        </is>
      </c>
      <c r="B122" s="2" t="inlineStr">
        <is>
          <t>1569-1705</t>
        </is>
      </c>
      <c r="C122" s="2" t="inlineStr">
        <is>
          <t>1572-9826</t>
        </is>
      </c>
      <c r="D122" s="2" t="n">
        <v>1</v>
      </c>
      <c r="E122" s="2" t="n">
        <v>1</v>
      </c>
      <c r="F122" s="2" t="n">
        <v>0</v>
      </c>
      <c r="G122" s="2" t="n">
        <v>1</v>
      </c>
      <c r="H122" s="2" t="n">
        <v>0</v>
      </c>
      <c r="I122" s="2" t="n">
        <v>2024</v>
      </c>
      <c r="J122" s="2" t="n">
        <v>2025</v>
      </c>
      <c r="K122" s="2" t="inlineStr"/>
      <c r="L122" s="2" t="inlineStr"/>
      <c r="M122" s="2" t="inlineStr">
        <is>
          <t>待核实</t>
        </is>
      </c>
      <c r="N122" s="2" t="inlineStr">
        <is>
          <t>待核实</t>
        </is>
      </c>
      <c r="O122" s="2" t="inlineStr">
        <is>
          <t>否</t>
        </is>
      </c>
      <c r="P122" s="2" t="inlineStr"/>
      <c r="Q122" s="2" t="inlineStr">
        <is>
          <t>统一名称及印刷/电子ISSN并集；多学科按全部已核实行保留；未知不作非Q1；原期刊名异名见文献明细</t>
        </is>
      </c>
    </row>
    <row r="123" ht="38" customHeight="1">
      <c r="A123" s="3" t="inlineStr">
        <is>
          <t>Revista Mexicana de Ingeniería Química</t>
        </is>
      </c>
      <c r="B123" s="3" t="inlineStr">
        <is>
          <t>1665-2738</t>
        </is>
      </c>
      <c r="C123" s="3" t="inlineStr">
        <is>
          <t>2395-8472</t>
        </is>
      </c>
      <c r="D123" s="3" t="n">
        <v>1</v>
      </c>
      <c r="E123" s="3" t="n">
        <v>1</v>
      </c>
      <c r="F123" s="3" t="n">
        <v>1</v>
      </c>
      <c r="G123" s="3" t="n">
        <v>0</v>
      </c>
      <c r="H123" s="3" t="n">
        <v>0</v>
      </c>
      <c r="I123" s="3" t="n">
        <v>2024</v>
      </c>
      <c r="J123" s="3" t="n">
        <v>2025</v>
      </c>
      <c r="K123" s="3" t="inlineStr"/>
      <c r="L123" s="3" t="inlineStr"/>
      <c r="M123" s="3" t="inlineStr">
        <is>
          <t>待核实</t>
        </is>
      </c>
      <c r="N123" s="3" t="inlineStr">
        <is>
          <t>待核实</t>
        </is>
      </c>
      <c r="O123" s="3" t="inlineStr">
        <is>
          <t>否</t>
        </is>
      </c>
      <c r="P123" s="3" t="inlineStr"/>
      <c r="Q123" s="3" t="inlineStr">
        <is>
          <t>统一名称及印刷/电子ISSN并集；多学科按全部已核实行保留；未知不作非Q1；原期刊名异名见文献明细</t>
        </is>
      </c>
    </row>
    <row r="124" ht="38" customHeight="1">
      <c r="A124" s="2" t="inlineStr">
        <is>
          <t>SN Applied Sciences</t>
        </is>
      </c>
      <c r="B124" s="2" t="inlineStr">
        <is>
          <t>2523-3963</t>
        </is>
      </c>
      <c r="C124" s="2" t="inlineStr">
        <is>
          <t>2523-3971</t>
        </is>
      </c>
      <c r="D124" s="2" t="n">
        <v>1</v>
      </c>
      <c r="E124" s="2" t="n">
        <v>1</v>
      </c>
      <c r="F124" s="2" t="n">
        <v>1</v>
      </c>
      <c r="G124" s="2" t="n">
        <v>0</v>
      </c>
      <c r="H124" s="2" t="n">
        <v>0</v>
      </c>
      <c r="I124" s="2" t="n">
        <v>2024</v>
      </c>
      <c r="J124" s="2" t="n">
        <v>2025</v>
      </c>
      <c r="K124" s="2" t="inlineStr"/>
      <c r="L124" s="2" t="inlineStr"/>
      <c r="M124" s="2" t="inlineStr">
        <is>
          <t>待核实</t>
        </is>
      </c>
      <c r="N124" s="2" t="inlineStr">
        <is>
          <t>待核实</t>
        </is>
      </c>
      <c r="O124" s="2" t="inlineStr">
        <is>
          <t>否</t>
        </is>
      </c>
      <c r="P124" s="2" t="inlineStr"/>
      <c r="Q124" s="2" t="inlineStr">
        <is>
          <t>统一名称及印刷/电子ISSN并集；多学科按全部已核实行保留；未知不作非Q1；原期刊名异名见文献明细</t>
        </is>
      </c>
    </row>
    <row r="125" ht="38" customHeight="1">
      <c r="A125" s="3" t="inlineStr">
        <is>
          <t>Songklanakarin Journal of Science and Technology</t>
        </is>
      </c>
      <c r="B125" s="3" t="inlineStr">
        <is>
          <t>0125-3395</t>
        </is>
      </c>
      <c r="C125" s="3" t="inlineStr"/>
      <c r="D125" s="3" t="n">
        <v>1</v>
      </c>
      <c r="E125" s="3" t="n">
        <v>1</v>
      </c>
      <c r="F125" s="3" t="n">
        <v>1</v>
      </c>
      <c r="G125" s="3" t="n">
        <v>0</v>
      </c>
      <c r="H125" s="3" t="n">
        <v>0</v>
      </c>
      <c r="I125" s="3" t="n">
        <v>2024</v>
      </c>
      <c r="J125" s="3" t="n">
        <v>2025</v>
      </c>
      <c r="K125" s="3" t="inlineStr"/>
      <c r="L125" s="3" t="inlineStr"/>
      <c r="M125" s="3" t="inlineStr">
        <is>
          <t>待核实</t>
        </is>
      </c>
      <c r="N125" s="3" t="inlineStr">
        <is>
          <t>待核实</t>
        </is>
      </c>
      <c r="O125" s="3" t="inlineStr">
        <is>
          <t>否</t>
        </is>
      </c>
      <c r="P125" s="3" t="inlineStr"/>
      <c r="Q125" s="3" t="inlineStr">
        <is>
          <t>统一名称及印刷/电子ISSN并集；多学科按全部已核实行保留；未知不作非Q1；原期刊名异名见文献明细</t>
        </is>
      </c>
    </row>
    <row r="126" ht="38" customHeight="1">
      <c r="A126" s="2" t="inlineStr">
        <is>
          <t>South Asian Journal of Experimental Biology</t>
        </is>
      </c>
      <c r="B126" s="2" t="inlineStr"/>
      <c r="C126" s="2" t="inlineStr">
        <is>
          <t>2230-9799</t>
        </is>
      </c>
      <c r="D126" s="2" t="n">
        <v>1</v>
      </c>
      <c r="E126" s="2" t="n">
        <v>0</v>
      </c>
      <c r="F126" s="2" t="n">
        <v>1</v>
      </c>
      <c r="G126" s="2" t="n">
        <v>0</v>
      </c>
      <c r="H126" s="2" t="n">
        <v>0</v>
      </c>
      <c r="I126" s="2" t="n">
        <v>2024</v>
      </c>
      <c r="J126" s="2" t="n">
        <v>2025</v>
      </c>
      <c r="K126" s="2" t="inlineStr"/>
      <c r="L126" s="2" t="inlineStr"/>
      <c r="M126" s="2" t="inlineStr">
        <is>
          <t>待核实</t>
        </is>
      </c>
      <c r="N126" s="2" t="inlineStr">
        <is>
          <t>待核实</t>
        </is>
      </c>
      <c r="O126" s="2" t="inlineStr">
        <is>
          <t>否</t>
        </is>
      </c>
      <c r="P126" s="2" t="inlineStr"/>
      <c r="Q126" s="2" t="inlineStr">
        <is>
          <t>统一名称及印刷/电子ISSN并集；多学科按全部已核实行保留；未知不作非Q1；原期刊名异名见文献明细</t>
        </is>
      </c>
    </row>
    <row r="127" ht="38" customHeight="1">
      <c r="A127" s="3" t="inlineStr">
        <is>
          <t>TRENDS IN BIOTECHNOLOGY</t>
        </is>
      </c>
      <c r="B127" s="3" t="inlineStr">
        <is>
          <t>0167-7799</t>
        </is>
      </c>
      <c r="C127" s="3" t="inlineStr"/>
      <c r="D127" s="3" t="n">
        <v>1</v>
      </c>
      <c r="E127" s="3" t="n">
        <v>1</v>
      </c>
      <c r="F127" s="3" t="n">
        <v>0</v>
      </c>
      <c r="G127" s="3" t="n">
        <v>1</v>
      </c>
      <c r="H127" s="3" t="n">
        <v>0</v>
      </c>
      <c r="I127" s="3" t="n">
        <v>2024</v>
      </c>
      <c r="J127" s="3" t="n">
        <v>2025</v>
      </c>
      <c r="K127" s="3" t="inlineStr">
        <is>
          <t>BIOTECHNOLOGY &amp; APPLIED MICROBIOLOGY</t>
        </is>
      </c>
      <c r="L127" s="3" t="inlineStr">
        <is>
          <t>BIOTECHNOLOGY &amp; APPLIED MICROBIOLOGY: Q1</t>
        </is>
      </c>
      <c r="M127" s="4" t="inlineStr">
        <is>
          <t>是</t>
        </is>
      </c>
      <c r="N127" s="4" t="inlineStr">
        <is>
          <t>是</t>
        </is>
      </c>
      <c r="O127" s="3" t="inlineStr">
        <is>
          <t>是</t>
        </is>
      </c>
      <c r="P127" s="3" t="inlineStr">
        <is>
          <t>https://topj.lib.whu.edu.cn/show.asp?cat=zk&amp;id=6421</t>
        </is>
      </c>
      <c r="Q127" s="3" t="inlineStr">
        <is>
          <t>统一名称及印刷/电子ISSN并集；多学科按全部已核实行保留；未知不作非Q1；原期刊名异名见文献明细</t>
        </is>
      </c>
    </row>
    <row r="128" ht="38" customHeight="1">
      <c r="A128" s="2" t="inlineStr">
        <is>
          <t>Thai Society of Agricultural Engineering Journal</t>
        </is>
      </c>
      <c r="B128" s="2" t="inlineStr"/>
      <c r="C128" s="2" t="inlineStr"/>
      <c r="D128" s="2" t="n">
        <v>1</v>
      </c>
      <c r="E128" s="2" t="n">
        <v>1</v>
      </c>
      <c r="F128" s="2" t="n">
        <v>1</v>
      </c>
      <c r="G128" s="2" t="n">
        <v>0</v>
      </c>
      <c r="H128" s="2" t="n">
        <v>0</v>
      </c>
      <c r="I128" s="2" t="n">
        <v>2024</v>
      </c>
      <c r="J128" s="2" t="n">
        <v>2025</v>
      </c>
      <c r="K128" s="2" t="inlineStr"/>
      <c r="L128" s="2" t="inlineStr"/>
      <c r="M128" s="2" t="inlineStr">
        <is>
          <t>待核实</t>
        </is>
      </c>
      <c r="N128" s="2" t="inlineStr">
        <is>
          <t>待核实</t>
        </is>
      </c>
      <c r="O128" s="2" t="inlineStr">
        <is>
          <t>否</t>
        </is>
      </c>
      <c r="P128" s="2" t="inlineStr"/>
      <c r="Q128" s="2" t="inlineStr">
        <is>
          <t>统一名称及印刷/电子ISSN并集；多学科按全部已核实行保留；未知不作非Q1；原期刊名异名见文献明细</t>
        </is>
      </c>
    </row>
    <row r="129" ht="38" customHeight="1">
      <c r="A129" s="3" t="inlineStr">
        <is>
          <t>Transactions of the ASABE</t>
        </is>
      </c>
      <c r="B129" s="3" t="inlineStr">
        <is>
          <t>2151-0032</t>
        </is>
      </c>
      <c r="C129" s="3" t="inlineStr">
        <is>
          <t>2151-0040</t>
        </is>
      </c>
      <c r="D129" s="3" t="n">
        <v>1</v>
      </c>
      <c r="E129" s="3" t="n">
        <v>0</v>
      </c>
      <c r="F129" s="3" t="n">
        <v>1</v>
      </c>
      <c r="G129" s="3" t="n">
        <v>0</v>
      </c>
      <c r="H129" s="3" t="n">
        <v>0</v>
      </c>
      <c r="I129" s="3" t="n">
        <v>2024</v>
      </c>
      <c r="J129" s="3" t="n">
        <v>2025</v>
      </c>
      <c r="K129" s="3" t="inlineStr"/>
      <c r="L129" s="3" t="inlineStr"/>
      <c r="M129" s="3" t="inlineStr">
        <is>
          <t>待核实</t>
        </is>
      </c>
      <c r="N129" s="3" t="inlineStr">
        <is>
          <t>待核实</t>
        </is>
      </c>
      <c r="O129" s="3" t="inlineStr">
        <is>
          <t>否</t>
        </is>
      </c>
      <c r="P129" s="3" t="inlineStr"/>
      <c r="Q129" s="3" t="inlineStr">
        <is>
          <t>统一名称及印刷/电子ISSN并集；多学科按全部已核实行保留；未知不作非Q1；原期刊名异名见文献明细</t>
        </is>
      </c>
    </row>
    <row r="130" ht="38" customHeight="1">
      <c r="A130" s="2" t="inlineStr">
        <is>
          <t>ULTRASONICS SONOCHEMISTRY</t>
        </is>
      </c>
      <c r="B130" s="2" t="inlineStr">
        <is>
          <t>1350-4177</t>
        </is>
      </c>
      <c r="C130" s="2" t="inlineStr"/>
      <c r="D130" s="2" t="n">
        <v>1</v>
      </c>
      <c r="E130" s="2" t="n">
        <v>1</v>
      </c>
      <c r="F130" s="2" t="n">
        <v>1</v>
      </c>
      <c r="G130" s="2" t="n">
        <v>0</v>
      </c>
      <c r="H130" s="2" t="n">
        <v>0</v>
      </c>
      <c r="I130" s="2" t="n">
        <v>2024</v>
      </c>
      <c r="J130" s="2" t="n">
        <v>2025</v>
      </c>
      <c r="K130" s="2" t="inlineStr">
        <is>
          <t>ACOUSTICS; CHEMISTRY, MULTIDISCIPLINARY</t>
        </is>
      </c>
      <c r="L130" s="2" t="inlineStr">
        <is>
          <t>ACOUSTICS: Q1; CHEMISTRY, MULTIDISCIPLINARY: Q1</t>
        </is>
      </c>
      <c r="M130" s="4" t="inlineStr">
        <is>
          <t>是</t>
        </is>
      </c>
      <c r="N130" s="4" t="inlineStr">
        <is>
          <t>是</t>
        </is>
      </c>
      <c r="O130" s="2" t="inlineStr">
        <is>
          <t>是</t>
        </is>
      </c>
      <c r="P130" s="2" t="inlineStr">
        <is>
          <t>https://topj.lib.whu.edu.cn/show.asp?cat=sci&amp;id=3541</t>
        </is>
      </c>
      <c r="Q130" s="2" t="inlineStr">
        <is>
          <t>统一名称及印刷/电子ISSN并集；多学科按全部已核实行保留；未知不作非Q1；原期刊名异名见文献明细</t>
        </is>
      </c>
    </row>
    <row r="131" ht="38" customHeight="1">
      <c r="A131" s="3" t="inlineStr">
        <is>
          <t>WASTE MANAGEMENT &amp; RESEARCH</t>
        </is>
      </c>
      <c r="B131" s="3" t="inlineStr">
        <is>
          <t>0734-242X</t>
        </is>
      </c>
      <c r="C131" s="3" t="inlineStr">
        <is>
          <t>1096-3669</t>
        </is>
      </c>
      <c r="D131" s="3" t="n">
        <v>1</v>
      </c>
      <c r="E131" s="3" t="n">
        <v>1</v>
      </c>
      <c r="F131" s="3" t="n">
        <v>1</v>
      </c>
      <c r="G131" s="3" t="n">
        <v>0</v>
      </c>
      <c r="H131" s="3" t="n">
        <v>0</v>
      </c>
      <c r="I131" s="3" t="n">
        <v>2024</v>
      </c>
      <c r="J131" s="3" t="n">
        <v>2025</v>
      </c>
      <c r="K131" s="3" t="inlineStr">
        <is>
          <t>ENGINEERING, ENVIRONMENTAL; ENVIRONMENTAL SCIENCES</t>
        </is>
      </c>
      <c r="L131" s="3" t="inlineStr">
        <is>
          <t>ENGINEERING, ENVIRONMENTAL: Q2; ENVIRONMENTAL SCIENCES: Q2</t>
        </is>
      </c>
      <c r="M131" s="3" t="inlineStr">
        <is>
          <t>否</t>
        </is>
      </c>
      <c r="N131" s="3" t="inlineStr">
        <is>
          <t>否</t>
        </is>
      </c>
      <c r="O131" s="3" t="inlineStr">
        <is>
          <t>是</t>
        </is>
      </c>
      <c r="P131" s="3" t="inlineStr">
        <is>
          <t>https://topj.lib.whu.edu.cn/show.asp?cat=zk&amp;id=4229</t>
        </is>
      </c>
      <c r="Q131" s="3" t="inlineStr">
        <is>
          <t>统一名称及印刷/电子ISSN并集；多学科按全部已核实行保留；未知不作非Q1；原期刊名异名见文献明细</t>
        </is>
      </c>
    </row>
    <row r="132" ht="38" customHeight="1">
      <c r="A132" s="2" t="inlineStr">
        <is>
          <t>WATER</t>
        </is>
      </c>
      <c r="B132" s="2" t="inlineStr"/>
      <c r="C132" s="2" t="inlineStr">
        <is>
          <t>2073-4441</t>
        </is>
      </c>
      <c r="D132" s="2" t="n">
        <v>1</v>
      </c>
      <c r="E132" s="2" t="n">
        <v>1</v>
      </c>
      <c r="F132" s="2" t="n">
        <v>1</v>
      </c>
      <c r="G132" s="2" t="n">
        <v>0</v>
      </c>
      <c r="H132" s="2" t="n">
        <v>0</v>
      </c>
      <c r="I132" s="2" t="n">
        <v>2024</v>
      </c>
      <c r="J132" s="2" t="n">
        <v>2025</v>
      </c>
      <c r="K132" s="2" t="inlineStr">
        <is>
          <t>WATER RESOURCES; ENVIRONMENTAL SCIENCES</t>
        </is>
      </c>
      <c r="L132" s="2" t="inlineStr">
        <is>
          <t>WATER RESOURCES: Q2; ENVIRONMENTAL SCIENCES: Q3</t>
        </is>
      </c>
      <c r="M132" s="2" t="inlineStr">
        <is>
          <t>否</t>
        </is>
      </c>
      <c r="N132" s="2" t="inlineStr">
        <is>
          <t>否</t>
        </is>
      </c>
      <c r="O132" s="2" t="inlineStr">
        <is>
          <t>是</t>
        </is>
      </c>
      <c r="P132" s="2" t="inlineStr">
        <is>
          <t>https://topj.lib.whu.edu.cn/show.asp?cat=esi&amp;id=12057</t>
        </is>
      </c>
      <c r="Q132" s="2" t="inlineStr">
        <is>
          <t>统一名称及印刷/电子ISSN并集；多学科按全部已核实行保留；未知不作非Q1；原期刊名异名见文献明细</t>
        </is>
      </c>
    </row>
    <row r="133" ht="38" customHeight="1">
      <c r="A133" s="3" t="inlineStr">
        <is>
          <t>WATER ENVIRONMENT RESEARCH</t>
        </is>
      </c>
      <c r="B133" s="3" t="inlineStr">
        <is>
          <t>1061-4303</t>
        </is>
      </c>
      <c r="C133" s="3" t="inlineStr">
        <is>
          <t>1554-7531</t>
        </is>
      </c>
      <c r="D133" s="3" t="n">
        <v>1</v>
      </c>
      <c r="E133" s="3" t="n">
        <v>1</v>
      </c>
      <c r="F133" s="3" t="n">
        <v>1</v>
      </c>
      <c r="G133" s="3" t="n">
        <v>0</v>
      </c>
      <c r="H133" s="3" t="n">
        <v>0</v>
      </c>
      <c r="I133" s="3" t="n">
        <v>2024</v>
      </c>
      <c r="J133" s="3" t="n">
        <v>2025</v>
      </c>
      <c r="K133" s="3" t="inlineStr">
        <is>
          <t>WATER RESOURCES; ENGINEERING, ENVIRONMENTAL; ENVIRONMENTAL SCIENCES; LIMNOLOGY</t>
        </is>
      </c>
      <c r="L133" s="3" t="inlineStr">
        <is>
          <t>WATER RESOURCES: Q3; ENGINEERING, ENVIRONMENTAL: Q4; ENVIRONMENTAL SCIENCES: Q3; LIMNOLOGY: Q2</t>
        </is>
      </c>
      <c r="M133" s="3" t="inlineStr">
        <is>
          <t>否</t>
        </is>
      </c>
      <c r="N133" s="3" t="inlineStr">
        <is>
          <t>否</t>
        </is>
      </c>
      <c r="O133" s="3" t="inlineStr">
        <is>
          <t>是</t>
        </is>
      </c>
      <c r="P133" s="3" t="inlineStr">
        <is>
          <t>https://topj.lib.whu.edu.cn/show.asp?cat=zk&amp;id=4326</t>
        </is>
      </c>
      <c r="Q133" s="3" t="inlineStr">
        <is>
          <t>统一名称及印刷/电子ISSN并集；多学科按全部已核实行保留；未知不作非Q1；原期刊名异名见文献明细</t>
        </is>
      </c>
    </row>
    <row r="134" ht="38" customHeight="1">
      <c r="A134" s="2" t="inlineStr">
        <is>
          <t>agriTECH</t>
        </is>
      </c>
      <c r="B134" s="2" t="inlineStr">
        <is>
          <t>0216-0455</t>
        </is>
      </c>
      <c r="C134" s="2" t="inlineStr">
        <is>
          <t>2527-3825</t>
        </is>
      </c>
      <c r="D134" s="2" t="n">
        <v>1</v>
      </c>
      <c r="E134" s="2" t="n">
        <v>1</v>
      </c>
      <c r="F134" s="2" t="n">
        <v>1</v>
      </c>
      <c r="G134" s="2" t="n">
        <v>0</v>
      </c>
      <c r="H134" s="2" t="n">
        <v>0</v>
      </c>
      <c r="I134" s="2" t="n">
        <v>2024</v>
      </c>
      <c r="J134" s="2" t="n">
        <v>2025</v>
      </c>
      <c r="K134" s="2" t="inlineStr"/>
      <c r="L134" s="2" t="inlineStr"/>
      <c r="M134" s="2" t="inlineStr">
        <is>
          <t>待核实</t>
        </is>
      </c>
      <c r="N134" s="2" t="inlineStr">
        <is>
          <t>待核实</t>
        </is>
      </c>
      <c r="O134" s="2" t="inlineStr">
        <is>
          <t>否</t>
        </is>
      </c>
      <c r="P134" s="2" t="inlineStr"/>
      <c r="Q134" s="2" t="inlineStr">
        <is>
          <t>统一名称及印刷/电子ISSN并集；多学科按全部已核实行保留；未知不作非Q1；原期刊名异名见文献明细</t>
        </is>
      </c>
    </row>
  </sheetData>
  <autoFilter ref="A1:Q134"/>
  <pageMargins left="0.75" right="0.75" top="1" bottom="1" header="0.5" footer="0.5"/>
</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N38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30" customWidth="1" min="3" max="3"/>
    <ns0:col width="15" customWidth="1" min="4" max="4"/>
    <ns0:col width="15" customWidth="1" min="5" max="5"/>
    <ns0:col width="15" customWidth="1" min="6" max="6"/>
    <ns0:col width="30" customWidth="1" min="7" max="7"/>
    <ns0:col width="15" customWidth="1" min="8" max="8"/>
    <ns0:col width="15" customWidth="1" min="9" max="9"/>
    <ns0:col width="15" customWidth="1" min="10" max="10"/>
    <ns0:col width="15" customWidth="1" min="11" max="11"/>
    <ns0:col width="15" customWidth="1" min="12" max="12"/>
    <ns0:col width="30" customWidth="1" min="13" max="13"/>
    <ns0:col width="30" customWidth="1" min="14" max="14"/>
  </ns0:cols>
  <ns0:sheetData>
    <ns0:row r="1" ht="34" customHeight="1">
      <ns0:c r="A1" s="1" t="inlineStr">
        <ns0:is>
          <ns0:t>集合</ns0:t>
        </ns0:is>
      </ns0:c>
      <ns0:c r="B1" s="1" t="inlineStr">
        <ns0:is>
          <ns0:t>文献组</ns0:t>
        </ns0:is>
      </ns0:c>
      <ns0:c r="C1" s="1" t="inlineStr">
        <ns0:is>
          <ns0:t>目标期刊论文数</ns0:t>
        </ns0:is>
      </ns0:c>
      <ns0:c r="D1" s="1" t="inlineStr">
        <ns0:is>
          <ns0:t>已核实JCR分区论文数</ns0:t>
        </ns0:is>
      </ns0:c>
      <ns0:c r="E1" s="1" t="inlineStr">
        <ns0:is>
          <ns0:t>JCR待核实论文数</ns0:t>
        </ns0:is>
      </ns0:c>
      <ns0:c r="F1" s="1" t="inlineStr">
        <ns0:is>
          <ns0:t>至少一个学科Q1文章数</ns0:t>
        </ns0:is>
      </ns0:c>
      <ns0:c r="G1" s="1" t="inlineStr">
        <ns0:is>
          <ns0:t>Q1占全部目标期刊论文</ns0:t>
        </ns0:is>
      </ns0:c>
      <ns0:c r="H1" s="1" t="inlineStr">
        <ns0:is>
          <ns0:t>Q1占已核实JCR论文</ns0:t>
        </ns0:is>
      </ns0:c>
      <ns0:c r="I1" s="1" t="inlineStr">
        <ns0:is>
          <ns0:t>全部已核实学科均Q1文章数</ns0:t>
        </ns0:is>
      </ns0:c>
      <ns0:c r="J1" s="1" t="inlineStr">
        <ns0:is>
          <ns0:t>全部已核实学科均Q1占全部目标</ns0:t>
        </ns0:is>
      </ns0:c>
      <ns0:c r="K1" s="1" t="inlineStr">
        <ns0:is>
          <ns0:t>全部已核实学科均Q1占已核实</ns0:t>
        </ns0:is>
      </ns0:c>
      <ns0:c r="L1" s="1" t="inlineStr">
        <ns0:is>
          <ns0:t>JCR核实覆盖率</ns0:t>
        </ns0:is>
      </ns0:c>
      <ns0:c r="M1" s="1" t="inlineStr">
        <ns0:is>
          <ns0:t>至少一学科Q1期刊种数</ns0:t>
        </ns0:is>
      </ns0:c>
      <ns0:c r="N1" s="1" t="inlineStr">
        <ns0:is>
          <ns0:t>全部已核实学科Q1期刊种数</ns0:t>
        </ns0:is>
      </ns0:c>
    </ns0:row>
    <ns0:row r="2" ht="38" customHeight="1">
      <ns0:c r="A2" s="2" t="inlineStr">
        <ns0:is>
          <ns0:t>全部纳入目标期刊论文</ns0:t>
        </ns0:is>
      </ns0:c>
      <ns0:c r="B2" s="2" t="inlineStr">
        <ns0:is>
          <ns0:t>合计</ns0:t>
        </ns0:is>
      </ns0:c>
      <ns0:c r="C2" s="2">
        <ns0:f>COUNTIFS('文献明细'!$J$2:$J$555,"是")</ns0:f>
        <ns0:v>386</ns0:v>
      </ns0:c>
      <ns0:c r="D2" s="2">
        <ns0:f>COUNTIFS('文献明细'!$J$2:$J$555,"是",'文献明细'!$X$2:$X$555,"是")</ns0:f>
        <ns0:v>272</ns0:v>
      </ns0:c>
      <ns0:c r="E2" s="2">
        <ns0:f>C2-D2</ns0:f>
        <ns0:v>114</ns0:v>
      </ns0:c>
      <ns0:c r="F2" s="2">
        <ns0:f>COUNTIFS('文献明细'!$J$2:$J$555,"是",'文献明细'!$V$2:$V$555,"是")</ns0:f>
        <ns0:v>213</ns0:v>
      </ns0:c>
      <ns0:c r="G2" s="5">
        <ns0:f>IF(C2=0,"",F2/C2)</ns0:f>
        <ns0:v>0.5518134715025906</ns0:v>
      </ns0:c>
      <ns0:c r="H2" s="5">
        <ns0:f>IF(D2=0,"",F2/D2)</ns0:f>
        <ns0:v>0.7830882352941176</ns0:v>
      </ns0:c>
      <ns0:c r="I2" s="2">
        <ns0:f>COUNTIFS('文献明细'!$J$2:$J$555,"是",'文献明细'!$W$2:$W$555,"是")</ns0:f>
        <ns0:v>201</ns0:v>
      </ns0:c>
      <ns0:c r="J2" s="5">
        <ns0:f>IF(C2=0,"",I2/C2)</ns0:f>
        <ns0:v>0.5207253886010362</ns0:v>
      </ns0:c>
      <ns0:c r="K2" s="5">
        <ns0:f>IF(D2=0,"",I2/D2)</ns0:f>
        <ns0:v>0.7389705882352942</ns0:v>
      </ns0:c>
      <ns0:c r="L2" s="5">
        <ns0:f>IF(C2=0,"",D2/C2)</ns0:f>
        <ns0:v>0.7046632124352331</ns0:v>
      </ns0:c>
      <ns0:c r="M2" s="2" t="n">
        <ns0:v>28</ns0:v>
      </ns0:c>
      <ns0:c r="N2" s="2" t="n">
        <ns0:v>25</ns0:v>
      </ns0:c>
    </ns0:row>
    <ns0:row r="3" ht="38" customHeight="1">
      <ns0:c r="A3" s="3" t="inlineStr">
        <ns0:is>
          <ns0:t>全部纳入目标期刊论文</ns0:t>
        </ns0:is>
      </ns0:c>
      <ns0:c r="B3" s="3" t="inlineStr">
        <ns0:is>
          <ns0:t>研究类</ns0:t>
        </ns0:is>
      </ns0:c>
      <ns0:c r="C3" s="3">
        <ns0:f>COUNTIFS('文献明细'!$J$2:$J$555,"是",'文献明细'!$I$2:$I$555,"研究类")</ns0:f>
        <ns0:v>339</ns0:v>
      </ns0:c>
      <ns0:c r="D3" s="3">
        <ns0:f>COUNTIFS('文献明细'!$J$2:$J$555,"是",'文献明细'!$I$2:$I$555,"研究类",'文献明细'!$X$2:$X$555,"是")</ns0:f>
        <ns0:v>242</ns0:v>
      </ns0:c>
      <ns0:c r="E3" s="3">
        <ns0:f>C3-D3</ns0:f>
        <ns0:v>97</ns0:v>
      </ns0:c>
      <ns0:c r="F3" s="3">
        <ns0:f>COUNTIFS('文献明细'!$J$2:$J$555,"是",'文献明细'!$I$2:$I$555,"研究类",'文献明细'!$V$2:$V$555,"是")</ns0:f>
        <ns0:v>187</ns0:v>
      </ns0:c>
      <ns0:c r="G3" s="6">
        <ns0:f>IF(C3=0,"",F3/C3)</ns0:f>
        <ns0:v>0.551622418879056</ns0:v>
      </ns0:c>
      <ns0:c r="H3" s="6">
        <ns0:f>IF(D3=0,"",F3/D3)</ns0:f>
        <ns0:v>0.7727272727272727</ns0:v>
      </ns0:c>
      <ns0:c r="I3" s="3">
        <ns0:f>COUNTIFS('文献明细'!$J$2:$J$555,"是",'文献明细'!$I$2:$I$555,"研究类",'文献明细'!$W$2:$W$555,"是")</ns0:f>
        <ns0:v>176</ns0:v>
      </ns0:c>
      <ns0:c r="J3" s="6">
        <ns0:f>IF(C3=0,"",I3/C3)</ns0:f>
        <ns0:v>0.5191740412979351</ns0:v>
      </ns0:c>
      <ns0:c r="K3" s="6">
        <ns0:f>IF(D3=0,"",I3/D3)</ns0:f>
        <ns0:v>0.7272727272727273</ns0:v>
      </ns0:c>
      <ns0:c r="L3" s="6">
        <ns0:f>IF(C3=0,"",D3/C3)</ns0:f>
        <ns0:v>0.7138643067846607</ns0:v>
      </ns0:c>
      <ns0:c r="M3" s="3" t="n">
        <ns0:v>24</ns0:v>
      </ns0:c>
      <ns0:c r="N3" s="3" t="n">
        <ns0:v>21</ns0:v>
      </ns0:c>
    </ns0:row>
    <ns0:row r="4" ht="38" customHeight="1">
      <ns0:c r="A4" s="2" t="inlineStr">
        <ns0:is>
          <ns0:t>全部纳入目标期刊论文</ns0:t>
        </ns0:is>
      </ns0:c>
      <ns0:c r="B4" s="2" t="inlineStr">
        <ns0:is>
          <ns0:t>综述</ns0:t>
        </ns0:is>
      </ns0:c>
      <ns0:c r="C4" s="2">
        <ns0:f>COUNTIFS('文献明细'!$J$2:$J$555,"是",'文献明细'!$I$2:$I$555,"综述")</ns0:f>
        <ns0:v>46</ns0:v>
      </ns0:c>
      <ns0:c r="D4" s="2">
        <ns0:f>COUNTIFS('文献明细'!$J$2:$J$555,"是",'文献明细'!$I$2:$I$555,"综述",'文献明细'!$X$2:$X$555,"是")</ns0:f>
        <ns0:v>30</ns0:v>
      </ns0:c>
      <ns0:c r="E4" s="2">
        <ns0:f>C4-D4</ns0:f>
        <ns0:v>16</ns0:v>
      </ns0:c>
      <ns0:c r="F4" s="2">
        <ns0:f>COUNTIFS('文献明细'!$J$2:$J$555,"是",'文献明细'!$I$2:$I$555,"综述",'文献明细'!$V$2:$V$555,"是")</ns0:f>
        <ns0:v>26</ns0:v>
      </ns0:c>
      <ns0:c r="G4" s="5">
        <ns0:f>IF(C4=0,"",F4/C4)</ns0:f>
        <ns0:v>0.5652173913043478</ns0:v>
      </ns0:c>
      <ns0:c r="H4" s="5">
        <ns0:f>IF(D4=0,"",F4/D4)</ns0:f>
        <ns0:v>0.8666666666666667</ns0:v>
      </ns0:c>
      <ns0:c r="I4" s="2">
        <ns0:f>COUNTIFS('文献明细'!$J$2:$J$555,"是",'文献明细'!$I$2:$I$555,"综述",'文献明细'!$W$2:$W$555,"是")</ns0:f>
        <ns0:v>25</ns0:v>
      </ns0:c>
      <ns0:c r="J4" s="5">
        <ns0:f>IF(C4=0,"",I4/C4)</ns0:f>
        <ns0:v>0.5434782608695652</ns0:v>
      </ns0:c>
      <ns0:c r="K4" s="5">
        <ns0:f>IF(D4=0,"",I4/D4)</ns0:f>
        <ns0:v>0.8333333333333334</ns0:v>
      </ns0:c>
      <ns0:c r="L4" s="5">
        <ns0:f>IF(C4=0,"",D4/C4)</ns0:f>
        <ns0:v>0.6521739130434783</ns0:v>
      </ns0:c>
      <ns0:c r="M4" s="2" t="n">
        <ns0:v>17</ns0:v>
      </ns0:c>
      <ns0:c r="N4" s="2" t="n">
        <ns0:v>16</ns0:v>
      </ns0:c>
    </ns0:row>
    <ns0:row r="5" ht="38" customHeight="1">
      <ns0:c r="A5" s="3" t="inlineStr">
        <ns0:is>
          <ns0:t>全部纳入目标期刊论文</ns0:t>
        </ns0:is>
      </ns0:c>
      <ns0:c r="B5" s="3" t="inlineStr">
        <ns0:is>
          <ns0:t>其他期刊论文</ns0:t>
        </ns0:is>
      </ns0:c>
      <ns0:c r="C5" s="3">
        <ns0:f>COUNTIFS('文献明细'!$J$2:$J$555,"是",'文献明细'!$I$2:$I$555,"其他期刊论文")</ns0:f>
        <ns0:v>1</ns0:v>
      </ns0:c>
      <ns0:c r="D5" s="3">
        <ns0:f>COUNTIFS('文献明细'!$J$2:$J$555,"是",'文献明细'!$I$2:$I$555,"其他期刊论文",'文献明细'!$X$2:$X$555,"是")</ns0:f>
        <ns0:v>0</ns0:v>
      </ns0:c>
      <ns0:c r="E5" s="3">
        <ns0:f>C5-D5</ns0:f>
        <ns0:v>1</ns0:v>
      </ns0:c>
      <ns0:c r="F5" s="3">
        <ns0:f>COUNTIFS('文献明细'!$J$2:$J$555,"是",'文献明细'!$I$2:$I$555,"其他期刊论文",'文献明细'!$V$2:$V$555,"是")</ns0:f>
        <ns0:v>0</ns0:v>
      </ns0:c>
      <ns0:c r="G5" s="6">
        <ns0:f>IF(C5=0,"",F5/C5)</ns0:f>
        <ns0:v>0.0</ns0:v>
      </ns0:c>
      <ns0:c r="H5" s="6" t="str">
        <ns0:f>IF(D5=0,"",F5/D5)</ns0:f>
        <ns0:v/>
      </ns0:c>
      <ns0:c r="I5" s="3">
        <ns0:f>COUNTIFS('文献明细'!$J$2:$J$555,"是",'文献明细'!$I$2:$I$555,"其他期刊论文",'文献明细'!$W$2:$W$555,"是")</ns0:f>
        <ns0:v>0</ns0:v>
      </ns0:c>
      <ns0:c r="J5" s="6">
        <ns0:f>IF(C5=0,"",I5/C5)</ns0:f>
        <ns0:v>0.0</ns0:v>
      </ns0:c>
      <ns0:c r="K5" s="6" t="str">
        <ns0:f>IF(D5=0,"",I5/D5)</ns0:f>
        <ns0:v/>
      </ns0:c>
      <ns0:c r="L5" s="6">
        <ns0:f>IF(C5=0,"",D5/C5)</ns0:f>
        <ns0:v>0.0</ns0:v>
      </ns0:c>
      <ns0:c r="M5" s="3" t="n">
        <ns0:v>0</ns0:v>
      </ns0:c>
      <ns0:c r="N5" s="3" t="n">
        <ns0:v>0</ns0:v>
      </ns0:c>
    </ns0:row>
    <ns0:row r="6" ht="38" customHeight="1">
      <ns0:c r="A6" s="2" t="inlineStr">
        <ns0:is>
          <ns0:t>已取得核验全文目标期刊论文</ns0:t>
        </ns0:is>
      </ns0:c>
      <ns0:c r="B6" s="2" t="inlineStr">
        <ns0:is>
          <ns0:t>合计</ns0:t>
        </ns0:is>
      </ns0:c>
      <ns0:c r="C6" s="2">
        <ns0:f>COUNTIFS('文献明细'!$J$2:$J$555,"是",'文献明细'!$P$2:$P$555,"是")</ns0:f>
        <ns0:v>369</ns0:v>
      </ns0:c>
      <ns0:c r="D6" s="2">
        <ns0:f>COUNTIFS('文献明细'!$J$2:$J$555,"是",'文献明细'!$P$2:$P$555,"是",'文献明细'!$X$2:$X$555,"是")</ns0:f>
        <ns0:v>271</ns0:v>
      </ns0:c>
      <ns0:c r="E6" s="2">
        <ns0:f>C6-D6</ns0:f>
        <ns0:v>98</ns0:v>
      </ns0:c>
      <ns0:c r="F6" s="2">
        <ns0:f>COUNTIFS('文献明细'!$J$2:$J$555,"是",'文献明细'!$P$2:$P$555,"是",'文献明细'!$V$2:$V$555,"是")</ns0:f>
        <ns0:v>213</ns0:v>
      </ns0:c>
      <ns0:c r="G6" s="5">
        <ns0:f>IF(C6=0,"",F6/C6)</ns0:f>
        <ns0:v>0.5772357723577236</ns0:v>
      </ns0:c>
      <ns0:c r="H6" s="5">
        <ns0:f>IF(D6=0,"",F6/D6)</ns0:f>
        <ns0:v>0.7859778597785978</ns0:v>
      </ns0:c>
      <ns0:c r="I6" s="2">
        <ns0:f>COUNTIFS('文献明细'!$J$2:$J$555,"是",'文献明细'!$P$2:$P$555,"是",'文献明细'!$W$2:$W$555,"是")</ns0:f>
        <ns0:v>201</ns0:v>
      </ns0:c>
      <ns0:c r="J6" s="5">
        <ns0:f>IF(C6=0,"",I6/C6)</ns0:f>
        <ns0:v>0.5447154471544715</ns0:v>
      </ns0:c>
      <ns0:c r="K6" s="5">
        <ns0:f>IF(D6=0,"",I6/D6)</ns0:f>
        <ns0:v>0.7416974169741697</ns0:v>
      </ns0:c>
      <ns0:c r="L6" s="5">
        <ns0:f>IF(C6=0,"",D6/C6)</ns0:f>
        <ns0:v>0.7344173441734417</ns0:v>
      </ns0:c>
      <ns0:c r="M6" s="2" t="n">
        <ns0:v>28</ns0:v>
      </ns0:c>
      <ns0:c r="N6" s="2" t="n">
        <ns0:v>25</ns0:v>
      </ns0:c>
    </ns0:row>
    <ns0:row r="7" ht="38" customHeight="1">
      <ns0:c r="A7" s="3" t="inlineStr">
        <ns0:is>
          <ns0:t>已取得核验全文目标期刊论文</ns0:t>
        </ns0:is>
      </ns0:c>
      <ns0:c r="B7" s="3" t="inlineStr">
        <ns0:is>
          <ns0:t>研究类</ns0:t>
        </ns0:is>
      </ns0:c>
      <ns0:c r="C7" s="3">
        <ns0:f>COUNTIFS('文献明细'!$J$2:$J$555,"是",'文献明细'!$P$2:$P$555,"是",'文献明细'!$I$2:$I$555,"研究类")</ns0:f>
        <ns0:v>324</ns0:v>
      </ns0:c>
      <ns0:c r="D7" s="3">
        <ns0:f>COUNTIFS('文献明细'!$J$2:$J$555,"是",'文献明细'!$P$2:$P$555,"是",'文献明细'!$I$2:$I$555,"研究类",'文献明细'!$X$2:$X$555,"是")</ns0:f>
        <ns0:v>241</ns0:v>
      </ns0:c>
      <ns0:c r="E7" s="3">
        <ns0:f>C7-D7</ns0:f>
        <ns0:v>83</ns0:v>
      </ns0:c>
      <ns0:c r="F7" s="3">
        <ns0:f>COUNTIFS('文献明细'!$J$2:$J$555,"是",'文献明细'!$P$2:$P$555,"是",'文献明细'!$I$2:$I$555,"研究类",'文献明细'!$V$2:$V$555,"是")</ns0:f>
        <ns0:v>187</ns0:v>
      </ns0:c>
      <ns0:c r="G7" s="6">
        <ns0:f>IF(C7=0,"",F7/C7)</ns0:f>
        <ns0:v>0.5771604938271605</ns0:v>
      </ns0:c>
      <ns0:c r="H7" s="6">
        <ns0:f>IF(D7=0,"",F7/D7)</ns0:f>
        <ns0:v>0.7759336099585062</ns0:v>
      </ns0:c>
      <ns0:c r="I7" s="3">
        <ns0:f>COUNTIFS('文献明细'!$J$2:$J$555,"是",'文献明细'!$P$2:$P$555,"是",'文献明细'!$I$2:$I$555,"研究类",'文献明细'!$W$2:$W$555,"是")</ns0:f>
        <ns0:v>176</ns0:v>
      </ns0:c>
      <ns0:c r="J7" s="6">
        <ns0:f>IF(C7=0,"",I7/C7)</ns0:f>
        <ns0:v>0.5432098765432098</ns0:v>
      </ns0:c>
      <ns0:c r="K7" s="6">
        <ns0:f>IF(D7=0,"",I7/D7)</ns0:f>
        <ns0:v>0.7302904564315352</ns0:v>
      </ns0:c>
      <ns0:c r="L7" s="6">
        <ns0:f>IF(C7=0,"",D7/C7)</ns0:f>
        <ns0:v>0.7438271604938271</ns0:v>
      </ns0:c>
      <ns0:c r="M7" s="3" t="n">
        <ns0:v>24</ns0:v>
      </ns0:c>
      <ns0:c r="N7" s="3" t="n">
        <ns0:v>21</ns0:v>
      </ns0:c>
    </ns0:row>
    <ns0:row r="8" ht="38" customHeight="1">
      <ns0:c r="A8" s="2" t="inlineStr">
        <ns0:is>
          <ns0:t>已取得核验全文目标期刊论文</ns0:t>
        </ns0:is>
      </ns0:c>
      <ns0:c r="B8" s="2" t="inlineStr">
        <ns0:is>
          <ns0:t>综述</ns0:t>
        </ns0:is>
      </ns0:c>
      <ns0:c r="C8" s="2">
        <ns0:f>COUNTIFS('文献明细'!$J$2:$J$555,"是",'文献明细'!$P$2:$P$555,"是",'文献明细'!$I$2:$I$555,"综述")</ns0:f>
        <ns0:v>45</ns0:v>
      </ns0:c>
      <ns0:c r="D8" s="2">
        <ns0:f>COUNTIFS('文献明细'!$J$2:$J$555,"是",'文献明细'!$P$2:$P$555,"是",'文献明细'!$I$2:$I$555,"综述",'文献明细'!$X$2:$X$555,"是")</ns0:f>
        <ns0:v>30</ns0:v>
      </ns0:c>
      <ns0:c r="E8" s="2">
        <ns0:f>C8-D8</ns0:f>
        <ns0:v>15</ns0:v>
      </ns0:c>
      <ns0:c r="F8" s="2">
        <ns0:f>COUNTIFS('文献明细'!$J$2:$J$555,"是",'文献明细'!$P$2:$P$555,"是",'文献明细'!$I$2:$I$555,"综述",'文献明细'!$V$2:$V$555,"是")</ns0:f>
        <ns0:v>26</ns0:v>
      </ns0:c>
      <ns0:c r="G8" s="5">
        <ns0:f>IF(C8=0,"",F8/C8)</ns0:f>
        <ns0:v>0.5777777777777777</ns0:v>
      </ns0:c>
      <ns0:c r="H8" s="5">
        <ns0:f>IF(D8=0,"",F8/D8)</ns0:f>
        <ns0:v>0.8666666666666667</ns0:v>
      </ns0:c>
      <ns0:c r="I8" s="2">
        <ns0:f>COUNTIFS('文献明细'!$J$2:$J$555,"是",'文献明细'!$P$2:$P$555,"是",'文献明细'!$I$2:$I$555,"综述",'文献明细'!$W$2:$W$555,"是")</ns0:f>
        <ns0:v>25</ns0:v>
      </ns0:c>
      <ns0:c r="J8" s="5">
        <ns0:f>IF(C8=0,"",I8/C8)</ns0:f>
        <ns0:v>0.5555555555555556</ns0:v>
      </ns0:c>
      <ns0:c r="K8" s="5">
        <ns0:f>IF(D8=0,"",I8/D8)</ns0:f>
        <ns0:v>0.8333333333333334</ns0:v>
      </ns0:c>
      <ns0:c r="L8" s="5">
        <ns0:f>IF(C8=0,"",D8/C8)</ns0:f>
        <ns0:v>0.6666666666666666</ns0:v>
      </ns0:c>
      <ns0:c r="M8" s="2" t="n">
        <ns0:v>17</ns0:v>
      </ns0:c>
      <ns0:c r="N8" s="2" t="n">
        <ns0:v>16</ns0:v>
      </ns0:c>
    </ns0:row>
    <ns0:row r="9" ht="38" customHeight="1">
      <ns0:c r="A9" s="3" t="inlineStr">
        <ns0:is>
          <ns0:t>已取得核验全文目标期刊论文</ns0:t>
        </ns0:is>
      </ns0:c>
      <ns0:c r="B9" s="3" t="inlineStr">
        <ns0:is>
          <ns0:t>其他期刊论文</ns0:t>
        </ns0:is>
      </ns0:c>
      <ns0:c r="C9" s="3">
        <ns0:f>COUNTIFS('文献明细'!$J$2:$J$555,"是",'文献明细'!$P$2:$P$555,"是",'文献明细'!$I$2:$I$555,"其他期刊论文")</ns0:f>
        <ns0:v>0</ns0:v>
      </ns0:c>
      <ns0:c r="D9" s="3">
        <ns0:f>COUNTIFS('文献明细'!$J$2:$J$555,"是",'文献明细'!$P$2:$P$555,"是",'文献明细'!$I$2:$I$555,"其他期刊论文",'文献明细'!$X$2:$X$555,"是")</ns0:f>
        <ns0:v>0</ns0:v>
      </ns0:c>
      <ns0:c r="E9" s="3">
        <ns0:f>C9-D9</ns0:f>
        <ns0:v>0</ns0:v>
      </ns0:c>
      <ns0:c r="F9" s="3">
        <ns0:f>COUNTIFS('文献明细'!$J$2:$J$555,"是",'文献明细'!$P$2:$P$555,"是",'文献明细'!$I$2:$I$555,"其他期刊论文",'文献明细'!$V$2:$V$555,"是")</ns0:f>
        <ns0:v>0</ns0:v>
      </ns0:c>
      <ns0:c r="G9" s="6" t="str">
        <ns0:f>IF(C9=0,"",F9/C9)</ns0:f>
        <ns0:v/>
      </ns0:c>
      <ns0:c r="H9" s="6" t="str">
        <ns0:f>IF(D9=0,"",F9/D9)</ns0:f>
        <ns0:v/>
      </ns0:c>
      <ns0:c r="I9" s="3">
        <ns0:f>COUNTIFS('文献明细'!$J$2:$J$555,"是",'文献明细'!$P$2:$P$555,"是",'文献明细'!$I$2:$I$555,"其他期刊论文",'文献明细'!$W$2:$W$555,"是")</ns0:f>
        <ns0:v>0</ns0:v>
      </ns0:c>
      <ns0:c r="J9" s="6" t="str">
        <ns0:f>IF(C9=0,"",I9/C9)</ns0:f>
        <ns0:v/>
      </ns0:c>
      <ns0:c r="K9" s="6" t="str">
        <ns0:f>IF(D9=0,"",I9/D9)</ns0:f>
        <ns0:v/>
      </ns0:c>
      <ns0:c r="L9" s="6" t="str">
        <ns0:f>IF(C9=0,"",D9/C9)</ns0:f>
        <ns0:v/>
      </ns0:c>
      <ns0:c r="M9" s="3" t="n">
        <ns0:v>0</ns0:v>
      </ns0:c>
      <ns0:c r="N9" s="3" t="n">
        <ns0:v>0</ns0:v>
      </ns0:c>
    </ns0:row>
    <ns0:row r="31">
      <ns0:c r="A31" t="inlineStr">
        <ns0:is>
          <ns0:t>全范围与非期刊分列</ns0:t>
        </ns0:is>
      </ns0:c>
      <ns0:c r="B31" t="inlineStr">
        <ns0:is>
          <ns0:t>纳入记录数</ns0:t>
        </ns0:is>
      </ns0:c>
      <ns0:c r="C31" t="inlineStr">
        <ns0:is>
          <ns0:t>已取得核验全文数</ns0:t>
        </ns0:is>
      </ns0:c>
      <ns0:c r="D31" t="inlineStr">
        <ns0:is>
          <ns0:t>未取得目标全文数</ns0:t>
        </ns0:is>
      </ns0:c>
    </ns0:row>
    <ns0:row r="32">
      <ns0:c r="A32" t="inlineStr">
        <ns0:is>
          <ns0:t>全部纳入文献（含非期刊，不作JCR分母）</ns0:t>
        </ns0:is>
      </ns0:c>
      <ns0:c r="B32">
        <ns0:v>426</ns0:v>
      </ns0:c>
      <ns0:c r="C32">
        <ns0:v>388</ns0:v>
      </ns0:c>
      <ns0:c r="D32">
        <ns0:v>38</ns0:v>
      </ns0:c>
    </ns0:row>
    <ns0:row r="33">
      <ns0:c r="A33" t="inlineStr">
        <ns0:is>
          <ns0:t>研究类</ns0:t>
        </ns0:is>
      </ns0:c>
      <ns0:c r="B33">
        <ns0:v>339</ns0:v>
      </ns0:c>
      <ns0:c r="C33">
        <ns0:v>324</ns0:v>
      </ns0:c>
      <ns0:c r="D33">
        <ns0:v>15</ns0:v>
      </ns0:c>
    </ns0:row>
    <ns0:row r="34">
      <ns0:c r="A34" t="inlineStr">
        <ns0:is>
          <ns0:t>综述</ns0:t>
        </ns0:is>
      </ns0:c>
      <ns0:c r="B34">
        <ns0:v>46</ns0:v>
      </ns0:c>
      <ns0:c r="C34">
        <ns0:v>45</ns0:v>
      </ns0:c>
      <ns0:c r="D34">
        <ns0:v>1</ns0:v>
      </ns0:c>
    </ns0:row>
    <ns0:row r="35">
      <ns0:c r="A35" t="inlineStr">
        <ns0:is>
          <ns0:t>其他期刊论文</ns0:t>
        </ns0:is>
      </ns0:c>
      <ns0:c r="B35">
        <ns0:v>1</ns0:v>
      </ns0:c>
      <ns0:c r="C35">
        <ns0:v>0</ns0:v>
      </ns0:c>
      <ns0:c r="D35">
        <ns0:v>1</ns0:v>
      </ns0:c>
    </ns0:row>
    <ns0:row r="36">
      <ns0:c r="A36" t="inlineStr">
        <ns0:is>
          <ns0:t>学位/学生报告</ns0:t>
        </ns0:is>
      </ns0:c>
      <ns0:c r="B36">
        <ns0:v>18</ns0:v>
      </ns0:c>
      <ns0:c r="C36">
        <ns0:v>12</ns0:v>
      </ns0:c>
      <ns0:c r="D36">
        <ns0:v>6</ns0:v>
      </ns0:c>
    </ns0:row>
    <ns0:row r="37">
      <ns0:c r="A37" t="inlineStr">
        <ns0:is>
          <ns0:t>会议/非期刊</ns0:t>
        </ns0:is>
      </ns0:c>
      <ns0:c r="B37">
        <ns0:v>15</ns0:v>
      </ns0:c>
      <ns0:c r="C37">
        <ns0:v>4</ns0:v>
      </ns0:c>
      <ns0:c r="D37">
        <ns0:v>11</ns0:v>
      </ns0:c>
    </ns0:row>
    <ns0:row r="38">
      <ns0:c r="A38" t="inlineStr">
        <ns0:is>
          <ns0:t>类型待核实</ns0:t>
        </ns0:is>
      </ns0:c>
      <ns0:c r="B38">
        <ns0:v>7</ns0:v>
      </ns0:c>
      <ns0:c r="C38">
        <ns0:v>3</ns0:v>
      </ns0:c>
      <ns0:c r="D38">
        <ns0:v>4</ns0:v>
      </ns0:c>
    </ns0:row>
  </ns0:sheetData>
  <ns0:autoFilter ref="A1:N9"/>
  <ns0:pageMargins left="0.75" right="0.75" top="1" bottom="1" header="0.5" footer="0.5"/>
  <ns0:drawing ns1:id="rId1"/>
</ns0: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8" customWidth="1" min="2" max="2"/>
    <col width="15" customWidth="1" min="3" max="3"/>
    <col width="48" customWidth="1" min="4" max="4"/>
    <col width="30" customWidth="1" min="5" max="5"/>
    <col width="15" customWidth="1" min="6" max="6"/>
    <col width="48" customWidth="1" min="7" max="7"/>
    <col width="48" customWidth="1" min="8" max="8"/>
  </cols>
  <sheetData>
    <row r="1" ht="34" customHeight="1">
      <c r="A1" s="1" t="inlineStr">
        <is>
          <t>文献ID</t>
        </is>
      </c>
      <c r="B1" s="1" t="inlineStr">
        <is>
          <t>题名</t>
        </is>
      </c>
      <c r="C1" s="1" t="inlineStr">
        <is>
          <t>问题类别</t>
        </is>
      </c>
      <c r="D1" s="1" t="inlineStr">
        <is>
          <t>具体问题</t>
        </is>
      </c>
      <c r="E1" s="1" t="inlineStr">
        <is>
          <t>期刊</t>
        </is>
      </c>
      <c r="F1" s="1" t="inlineStr">
        <is>
          <t>DOI</t>
        </is>
      </c>
      <c r="G1" s="1" t="inlineStr">
        <is>
          <t>需要资料</t>
        </is>
      </c>
      <c r="H1" s="1" t="inlineStr">
        <is>
          <t>路径</t>
        </is>
      </c>
    </row>
    <row r="2" ht="48" customHeight="1">
      <c r="A2" s="2" t="inlineStr">
        <is>
          <t>R00735</t>
        </is>
      </c>
      <c r="B2" s="2" t="inlineStr">
        <is>
          <t>Improvement of Anaerobic Digester Performance by Wastewater Recirculation through an Aerated Membrane</t>
        </is>
      </c>
      <c r="C2" s="2" t="inlineStr">
        <is>
          <t>JCR分区/期刊身份</t>
        </is>
      </c>
      <c r="D2" s="2" t="inlineStr">
        <is>
          <t>2024指标年JCR分区未核实；空白不能当非Q1。需要2025发布版/2024指标年的JCR全部学科导出。</t>
        </is>
      </c>
      <c r="E2" s="2" t="inlineStr">
        <is>
          <t>Transactions of the ASABE</t>
        </is>
      </c>
      <c r="F2" s="2" t="inlineStr">
        <is>
          <t>10.13031/trans.56.9869</t>
        </is>
      </c>
      <c r="G2" s="2" t="inlineStr">
        <is>
          <t>2025发布版/2024指标年JCR导出：期刊全名、ISSN/eISSN、全部Category、JIF Quartile、JIF Rank、数据年份、导出日期；类型疑点需题名页/正式载体说明</t>
        </is>
      </c>
      <c r="H2" s="2" t="inlineStr">
        <is>
          <t>original_files/R00735/evidence/source_evidence__fbe84942b58dfb81.html</t>
        </is>
      </c>
    </row>
    <row r="3" ht="48" customHeight="1">
      <c r="A3" s="3" t="inlineStr">
        <is>
          <t>R01911</t>
        </is>
      </c>
      <c r="B3" s="3" t="inlineStr">
        <is>
          <t>Improvement by Micro-Aeration of Anaerobic Digestion of Slaughterhouse Wastewater At 38°C</t>
        </is>
      </c>
      <c r="C3" s="3" t="inlineStr">
        <is>
          <t>JCR分区/期刊身份</t>
        </is>
      </c>
      <c r="D3" s="3" t="inlineStr">
        <is>
          <t>2024指标年JCR分区未核实；空白不能当非Q1。需要2025发布版/2024指标年的JCR全部学科导出。</t>
        </is>
      </c>
      <c r="E3" s="3" t="inlineStr">
        <is>
          <t>International Journal of Innovative Research in Science, Engineering and Technology</t>
        </is>
      </c>
      <c r="F3" s="3" t="inlineStr">
        <is>
          <t>10.15680/ijirset.2015.0403002</t>
        </is>
      </c>
      <c r="G3" s="3" t="inlineStr">
        <is>
          <t>2025发布版/2024指标年JCR导出：期刊全名、ISSN/eISSN、全部Category、JIF Quartile、JIF Rank、数据年份、导出日期；类型疑点需题名页/正式载体说明</t>
        </is>
      </c>
      <c r="H3" s="3" t="inlineStr"/>
    </row>
    <row r="4" ht="48" customHeight="1">
      <c r="A4" s="2" t="inlineStr">
        <is>
          <t>R03161</t>
        </is>
      </c>
      <c r="B4" s="2" t="inlineStr">
        <is>
          <t>Effect of liquid surface area on hydrogen sulfide oxidation during micro-aeration in dairy manure digesters</t>
        </is>
      </c>
      <c r="C4" s="2" t="inlineStr">
        <is>
          <t>JCR分区/期刊身份</t>
        </is>
      </c>
      <c r="D4" s="2" t="inlineStr">
        <is>
          <t>2024指标年JCR分区未核实；空白不能当非Q1。需要2025发布版/2024指标年的JCR全部学科导出。</t>
        </is>
      </c>
      <c r="E4" s="2" t="inlineStr">
        <is>
          <t>PLOS ONE</t>
        </is>
      </c>
      <c r="F4" s="2" t="inlineStr">
        <is>
          <t>10.1371/journal.pone.0185738</t>
        </is>
      </c>
      <c r="G4" s="2" t="inlineStr">
        <is>
          <t>2025发布版/2024指标年JCR导出：期刊全名、ISSN/eISSN、全部Category、JIF Quartile、JIF Rank、数据年份、导出日期；类型疑点需题名页/正式载体说明</t>
        </is>
      </c>
      <c r="H4" s="2" t="inlineStr">
        <is>
          <t>original_files/R03161/evidence/source_evidence__466f3a1e78e8b0f1.xml; original_files/R03161/supplementary/supplementary__d7cc276f64fa4c14.xlsx; original_files/R03161/fulltext/fulltext__published__ea90043284b5a305.pdf</t>
        </is>
      </c>
    </row>
    <row r="5" ht="48" customHeight="1">
      <c r="A5" s="3" t="inlineStr">
        <is>
          <t>R03522</t>
        </is>
      </c>
      <c r="B5" s="3" t="inlineStr">
        <is>
          <t>Simple biogas desulfurization by microaeration – Full scale experience</t>
        </is>
      </c>
      <c r="C5" s="3" t="inlineStr">
        <is>
          <t>JCR分区/期刊身份</t>
        </is>
      </c>
      <c r="D5" s="3" t="inlineStr">
        <is>
          <t>2024指标年JCR分区未核实；空白不能当非Q1。需要2025发布版/2024指标年的JCR全部学科导出。</t>
        </is>
      </c>
      <c r="E5" s="3" t="inlineStr">
        <is>
          <t>Anaerobe</t>
        </is>
      </c>
      <c r="F5" s="3" t="inlineStr">
        <is>
          <t>10.1016/j.anaerobe.2017.01.002</t>
        </is>
      </c>
      <c r="G5" s="3" t="inlineStr">
        <is>
          <t>2025发布版/2024指标年JCR导出：期刊全名、ISSN/eISSN、全部Category、JIF Quartile、JIF Rank、数据年份、导出日期；类型疑点需题名页/正式载体说明</t>
        </is>
      </c>
      <c r="H5" s="3" t="inlineStr">
        <is>
          <t>original_files/R03522/fulltext/fulltext__published__73e8e5aed501f6e5.pdf</t>
        </is>
      </c>
    </row>
    <row r="6" ht="48" customHeight="1">
      <c r="A6" s="2" t="inlineStr">
        <is>
          <t>R03564</t>
        </is>
      </c>
      <c r="B6" s="2" t="inlineStr">
        <is>
          <t>The Influence of Micro-Oxygen Addition on Desulfurization Performance and Microbial Communities during Waste-Activated Sludge Digestion in a Rusty Scrap Iron-Loaded Anaerobic Digester</t>
        </is>
      </c>
      <c r="C6" s="2" t="inlineStr">
        <is>
          <t>JCR分区/期刊身份</t>
        </is>
      </c>
      <c r="D6" s="2" t="inlineStr">
        <is>
          <t>2024指标年JCR分区未核实；空白不能当非Q1。需要2025发布版/2024指标年的JCR全部学科导出。</t>
        </is>
      </c>
      <c r="E6" s="2" t="inlineStr">
        <is>
          <t>Energies</t>
        </is>
      </c>
      <c r="F6" s="2" t="inlineStr">
        <is>
          <t>10.3390/en10020258</t>
        </is>
      </c>
      <c r="G6" s="2" t="inlineStr">
        <is>
          <t>2025发布版/2024指标年JCR导出：期刊全名、ISSN/eISSN、全部Category、JIF Quartile、JIF Rank、数据年份、导出日期；类型疑点需题名页/正式载体说明</t>
        </is>
      </c>
      <c r="H6" s="2" t="inlineStr">
        <is>
          <t>original_files/R03564/fulltext/fulltext__published__2f2d17a0a7254275.pdf; original_files/R03564/evidence/source_evidence__e3a69b5338325eab.html</t>
        </is>
      </c>
    </row>
    <row r="7" ht="48" customHeight="1">
      <c r="A7" s="3" t="inlineStr">
        <is>
          <t>R04092</t>
        </is>
      </c>
      <c r="B7" s="3" t="inlineStr">
        <is>
          <t>Mathematical modelling of in-situ microaerobic desulfurization of biogas from sewage sludge digestion</t>
        </is>
      </c>
      <c r="C7" s="3" t="inlineStr">
        <is>
          <t>JCR分区/期刊身份</t>
        </is>
      </c>
      <c r="D7" s="3" t="inlineStr">
        <is>
          <t>2024指标年JCR分区未核实；空白不能当非Q1。需要2025发布版/2024指标年的JCR全部学科导出。</t>
        </is>
      </c>
      <c r="E7" s="3" t="inlineStr">
        <is>
          <t>Biotechnology Reports</t>
        </is>
      </c>
      <c r="F7" s="3" t="inlineStr">
        <is>
          <t>10.1016/j.btre.2018.e00293</t>
        </is>
      </c>
      <c r="G7" s="3" t="inlineStr">
        <is>
          <t>2025发布版/2024指标年JCR导出：期刊全名、ISSN/eISSN、全部Category、JIF Quartile、JIF Rank、数据年份、导出日期；类型疑点需题名页/正式载体说明</t>
        </is>
      </c>
      <c r="H7" s="3" t="inlineStr">
        <is>
          <t>original_files/R04092/evidence/source_evidence__0fb90085e30680fa.xml; original_files/R04092/fulltext/fulltext__published__187b868956ed3e07.pdf</t>
        </is>
      </c>
    </row>
    <row r="8" ht="48" customHeight="1">
      <c r="A8" s="2" t="inlineStr">
        <is>
          <t>R04477</t>
        </is>
      </c>
      <c r="B8" s="2" t="inlineStr">
        <is>
          <t>Aeration to Improve Biogas Production by Recalcitrant Feedstock</t>
        </is>
      </c>
      <c r="C8" s="2" t="inlineStr">
        <is>
          <t>JCR分区/期刊身份</t>
        </is>
      </c>
      <c r="D8" s="2" t="inlineStr">
        <is>
          <t>2024指标年JCR分区未核实；空白不能当非Q1。需要2025发布版/2024指标年的JCR全部学科导出。</t>
        </is>
      </c>
      <c r="E8" s="2" t="inlineStr">
        <is>
          <t>Environments</t>
        </is>
      </c>
      <c r="F8" s="2" t="inlineStr">
        <is>
          <t>10.3390/environments6040044</t>
        </is>
      </c>
      <c r="G8" s="2" t="inlineStr">
        <is>
          <t>2025发布版/2024指标年JCR导出：期刊全名、ISSN/eISSN、全部Category、JIF Quartile、JIF Rank、数据年份、导出日期；类型疑点需题名页/正式载体说明</t>
        </is>
      </c>
      <c r="H8" s="2" t="inlineStr">
        <is>
          <t>original_files/R04477/evidence/source_evidence__9dbfb6e507a0bd12.html; original_files/R04477/fulltext/fulltext__published__dc52821c42ce8476.pdf</t>
        </is>
      </c>
    </row>
    <row r="9" ht="48" customHeight="1">
      <c r="A9" s="3" t="inlineStr">
        <is>
          <t>R04882</t>
        </is>
      </c>
      <c r="B9" s="3" t="inlineStr">
        <is>
          <t>Influence Mechanism of Micro-Oxygenation Treatment on Dry Fermentation of Food Waste</t>
        </is>
      </c>
      <c r="C9" s="3" t="inlineStr">
        <is>
          <t>JCR分区/期刊身份</t>
        </is>
      </c>
      <c r="D9" s="3" t="inlineStr">
        <is>
          <t>2024指标年JCR分区未核实；空白不能当非Q1。需要2025发布版/2024指标年的JCR全部学科导出。</t>
        </is>
      </c>
      <c r="E9" s="3" t="inlineStr">
        <is>
          <t>Journal of Biobased Materials and Bioenergy</t>
        </is>
      </c>
      <c r="F9" s="3" t="inlineStr">
        <is>
          <t>10.1166/jbmb.2019.1823</t>
        </is>
      </c>
      <c r="G9" s="3" t="inlineStr">
        <is>
          <t>2025发布版/2024指标年JCR导出：期刊全名、ISSN/eISSN、全部Category、JIF Quartile、JIF Rank、数据年份、导出日期；类型疑点需题名页/正式载体说明</t>
        </is>
      </c>
      <c r="H9" s="3" t="inlineStr"/>
    </row>
    <row r="10" ht="48" customHeight="1">
      <c r="A10" s="2" t="inlineStr">
        <is>
          <t>R05472</t>
        </is>
      </c>
      <c r="B10" s="2" t="inlineStr">
        <is>
          <t>Comparing Hydrogen Sulfide Removal Efficiency in a Field-Scale Digester Using Microaeration and Iron Filters</t>
        </is>
      </c>
      <c r="C10" s="2" t="inlineStr">
        <is>
          <t>JCR分区/期刊身份</t>
        </is>
      </c>
      <c r="D10" s="2" t="inlineStr">
        <is>
          <t>2024指标年JCR分区未核实；空白不能当非Q1。需要2025发布版/2024指标年的JCR全部学科导出。</t>
        </is>
      </c>
      <c r="E10" s="2" t="inlineStr">
        <is>
          <t>Energies</t>
        </is>
      </c>
      <c r="F10" s="2" t="inlineStr">
        <is>
          <t>10.3390/en13184793</t>
        </is>
      </c>
      <c r="G10" s="2" t="inlineStr">
        <is>
          <t>2025发布版/2024指标年JCR导出：期刊全名、ISSN/eISSN、全部Category、JIF Quartile、JIF Rank、数据年份、导出日期；类型疑点需题名页/正式载体说明</t>
        </is>
      </c>
      <c r="H10" s="2" t="inlineStr">
        <is>
          <t>original_files/R05472/evidence/source_evidence__7ec38cff06feed70.html; original_files/R05472/fulltext/fulltext__published__a81227cda8f65dc0.pdf</t>
        </is>
      </c>
    </row>
    <row r="11" ht="48" customHeight="1">
      <c r="A11" s="3" t="inlineStr">
        <is>
          <t>R05638</t>
        </is>
      </c>
      <c r="B11" s="3" t="inlineStr">
        <is>
          <t>Evaluation of Microaeration and Sound to Increase Biogas Production from Poultry Litter</t>
        </is>
      </c>
      <c r="C11" s="3" t="inlineStr">
        <is>
          <t>JCR分区/期刊身份</t>
        </is>
      </c>
      <c r="D11" s="3" t="inlineStr">
        <is>
          <t>2024指标年JCR分区未核实；空白不能当非Q1。需要2025发布版/2024指标年的JCR全部学科导出。</t>
        </is>
      </c>
      <c r="E11" s="3" t="inlineStr">
        <is>
          <t>Environments</t>
        </is>
      </c>
      <c r="F11" s="3" t="inlineStr">
        <is>
          <t>10.3390/environments7080062</t>
        </is>
      </c>
      <c r="G11" s="3" t="inlineStr">
        <is>
          <t>2025发布版/2024指标年JCR导出：期刊全名、ISSN/eISSN、全部Category、JIF Quartile、JIF Rank、数据年份、导出日期；类型疑点需题名页/正式载体说明</t>
        </is>
      </c>
      <c r="H11" s="3" t="inlineStr">
        <is>
          <t>original_files/R05638/fulltext/fulltext__published__2e07cb1c3931c0d4.pdf; original_files/R05638/evidence/source_evidence__5a4d4f0ca0d15e21.html</t>
        </is>
      </c>
    </row>
    <row r="12" ht="48" customHeight="1">
      <c r="A12" s="2" t="inlineStr">
        <is>
          <t>R05839</t>
        </is>
      </c>
      <c r="B12" s="2" t="inlineStr">
        <is>
          <t>Micro-Oxygenation in Upflow Anaerobic Sludge Bed (UASB) Reactors Using a Silicon Membrane for Sulfide Oxidation</t>
        </is>
      </c>
      <c r="C12" s="2" t="inlineStr">
        <is>
          <t>JCR分区/期刊身份</t>
        </is>
      </c>
      <c r="D12" s="2" t="inlineStr">
        <is>
          <t>2024指标年JCR分区未核实；空白不能当非Q1。需要2025发布版/2024指标年的JCR全部学科导出。</t>
        </is>
      </c>
      <c r="E12" s="2" t="inlineStr">
        <is>
          <t>Polymers</t>
        </is>
      </c>
      <c r="F12" s="2" t="inlineStr">
        <is>
          <t>10.3390/polym12091990</t>
        </is>
      </c>
      <c r="G12" s="2" t="inlineStr">
        <is>
          <t>2025发布版/2024指标年JCR导出：期刊全名、ISSN/eISSN、全部Category、JIF Quartile、JIF Rank、数据年份、导出日期；类型疑点需题名页/正式载体说明</t>
        </is>
      </c>
      <c r="H12" s="2" t="inlineStr">
        <is>
          <t>original_files/R05839/evidence/source_evidence__18ffd43dee955086.xml; original_files/R05839/fulltext/fulltext__published__c5e85aec12eac240.pdf</t>
        </is>
      </c>
    </row>
    <row r="13" ht="48" customHeight="1">
      <c r="A13" s="3" t="inlineStr">
        <is>
          <t>R06092</t>
        </is>
      </c>
      <c r="B13" s="3" t="inlineStr">
        <is>
          <t>Simultaneous H2S mitigation and methanization enhancement of chicken manure through the introduction of the micro-aeration approach</t>
        </is>
      </c>
      <c r="C13" s="3" t="inlineStr">
        <is>
          <t>JCR分区/期刊身份</t>
        </is>
      </c>
      <c r="D13" s="3" t="inlineStr">
        <is>
          <t>2024指标年JCR分区未核实；空白不能当非Q1。需要2025发布版/2024指标年的JCR全部学科导出。</t>
        </is>
      </c>
      <c r="E13" s="3" t="inlineStr">
        <is>
          <t>Chemosphere</t>
        </is>
      </c>
      <c r="F13" s="3" t="inlineStr">
        <is>
          <t>10.1016/j.chemosphere.2020.126687</t>
        </is>
      </c>
      <c r="G13" s="3" t="inlineStr">
        <is>
          <t>2025发布版/2024指标年JCR导出：期刊全名、ISSN/eISSN、全部Category、JIF Quartile、JIF Rank、数据年份、导出日期；类型疑点需题名页/正式载体说明</t>
        </is>
      </c>
      <c r="H13" s="3" t="inlineStr">
        <is>
          <t>original_files/R06092/fulltext/fulltext__published__5716062113242d9a.pdf; original_files/R06092/supplementary/supplementary__c368ee1db41c7a5d.docx</t>
        </is>
      </c>
    </row>
    <row r="14" ht="48" customHeight="1">
      <c r="A14" s="2" t="inlineStr">
        <is>
          <t>R06117</t>
        </is>
      </c>
      <c r="B14" s="2" t="inlineStr">
        <is>
          <t>Study of Gas Production by Anaerobic Fermentation and Microbial Community Changes by In-Situ Microaerobic Desulphurization</t>
        </is>
      </c>
      <c r="C14" s="2" t="inlineStr">
        <is>
          <t>JCR分区/期刊身份</t>
        </is>
      </c>
      <c r="D14" s="2" t="inlineStr">
        <is>
          <t>2024指标年JCR分区未核实；空白不能当非Q1。需要2025发布版/2024指标年的JCR全部学科导出。</t>
        </is>
      </c>
      <c r="E14" s="2" t="inlineStr">
        <is>
          <t>Journal of Biobased Materials and Bioenergy</t>
        </is>
      </c>
      <c r="F14" s="2" t="inlineStr">
        <is>
          <t>10.1166/jbmb.2020.1992517</t>
        </is>
      </c>
      <c r="G14" s="2" t="inlineStr">
        <is>
          <t>2025发布版/2024指标年JCR导出：期刊全名、ISSN/eISSN、全部Category、JIF Quartile、JIF Rank、数据年份、导出日期；类型疑点需题名页/正式载体说明</t>
        </is>
      </c>
      <c r="H14" s="2" t="inlineStr"/>
    </row>
    <row r="15" ht="48" customHeight="1">
      <c r="A15" s="3" t="inlineStr">
        <is>
          <t>R06152</t>
        </is>
      </c>
      <c r="B15" s="3" t="inlineStr">
        <is>
          <t>The Influence of Zeolite Addition into Anaerobic Vinasse Treatment Process in Microaerated Batch Reactor</t>
        </is>
      </c>
      <c r="C15" s="3" t="inlineStr">
        <is>
          <t>JCR分区/期刊身份</t>
        </is>
      </c>
      <c r="D15" s="3" t="inlineStr">
        <is>
          <t>2024指标年JCR分区未核实；空白不能当非Q1。需要2025发布版/2024指标年的JCR全部学科导出。</t>
        </is>
      </c>
      <c r="E15" s="3" t="inlineStr">
        <is>
          <t>Jurnal Kimia dan Rekayasa</t>
        </is>
      </c>
      <c r="F15" s="3" t="inlineStr">
        <is>
          <t>10.31001/jkireka.v1i1.10</t>
        </is>
      </c>
      <c r="G15" s="3" t="inlineStr">
        <is>
          <t>2025发布版/2024指标年JCR导出：期刊全名、ISSN/eISSN、全部Category、JIF Quartile、JIF Rank、数据年份、导出日期；类型疑点需题名页/正式载体说明</t>
        </is>
      </c>
      <c r="H15" s="3" t="inlineStr">
        <is>
          <t>original_files/R06152/evidence/source_evidence__75fe4c224ee69ed4.html; original_files/R06152/fulltext/fulltext__published__f0955d9cdc458c31.pdf</t>
        </is>
      </c>
    </row>
    <row r="16" ht="48" customHeight="1">
      <c r="A16" s="2" t="inlineStr">
        <is>
          <t>R06588</t>
        </is>
      </c>
      <c r="B16" s="2" t="inlineStr">
        <is>
          <t>Effect of Rotten Butter Shock Load on Anaerobic Digestion of Chicken Manure</t>
        </is>
      </c>
      <c r="C16" s="2" t="inlineStr">
        <is>
          <t>JCR分区/期刊身份</t>
        </is>
      </c>
      <c r="D16" s="2" t="inlineStr">
        <is>
          <t>2024指标年JCR分区未核实；空白不能当非Q1。需要2025发布版/2024指标年的JCR全部学科导出。</t>
        </is>
      </c>
      <c r="E16" s="2" t="inlineStr">
        <is>
          <t>agriTECH</t>
        </is>
      </c>
      <c r="F16" s="2" t="inlineStr">
        <is>
          <t>10.22146/agritech.56792</t>
        </is>
      </c>
      <c r="G16" s="2" t="inlineStr">
        <is>
          <t>2025发布版/2024指标年JCR导出：期刊全名、ISSN/eISSN、全部Category、JIF Quartile、JIF Rank、数据年份、导出日期；类型疑点需题名页/正式载体说明</t>
        </is>
      </c>
      <c r="H16" s="2" t="inlineStr">
        <is>
          <t>original_files/R06588/evidence/source_evidence__8fd0838c6516a6e3.html; original_files/R06588/fulltext/fulltext__published__a69e903d7886bcd0.pdf</t>
        </is>
      </c>
    </row>
    <row r="17" ht="48" customHeight="1">
      <c r="A17" s="3" t="inlineStr">
        <is>
          <t>R06895</t>
        </is>
      </c>
      <c r="B17" s="3" t="inlineStr">
        <is>
          <t>Microaerobic Digestion of Low-Biodegradable Sewage Sludge: Effect of Air Dosing in Batch Reactors</t>
        </is>
      </c>
      <c r="C17" s="3" t="inlineStr">
        <is>
          <t>JCR分区/期刊身份</t>
        </is>
      </c>
      <c r="D17" s="3" t="inlineStr">
        <is>
          <t>2024指标年JCR分区未核实；空白不能当非Q1。需要2025发布版/2024指标年的JCR全部学科导出。</t>
        </is>
      </c>
      <c r="E17" s="3" t="inlineStr">
        <is>
          <t>Sustainability</t>
        </is>
      </c>
      <c r="F17" s="3" t="inlineStr">
        <is>
          <t>10.3390/su13179869</t>
        </is>
      </c>
      <c r="G17" s="3" t="inlineStr">
        <is>
          <t>2025发布版/2024指标年JCR导出：期刊全名、ISSN/eISSN、全部Category、JIF Quartile、JIF Rank、数据年份、导出日期；类型疑点需题名页/正式载体说明</t>
        </is>
      </c>
      <c r="H17" s="3" t="inlineStr">
        <is>
          <t>original_files/R06895/fulltext/fulltext__published__cb9c36d70f316c5f.pdf; original_files/R06895/evidence/source_evidence__cfd6ae01f31ce35e.html</t>
        </is>
      </c>
    </row>
    <row r="18" ht="48" customHeight="1">
      <c r="A18" s="2" t="inlineStr">
        <is>
          <t>R07455</t>
        </is>
      </c>
      <c r="B18" s="2" t="inlineStr">
        <is>
          <t>Analysis of Biogas Component Production during Anaerobic Digestion of Sour Cabbage in Microaeration Conditions under Different pH Conditions</t>
        </is>
      </c>
      <c r="C18" s="2" t="inlineStr">
        <is>
          <t>JCR分区/期刊身份</t>
        </is>
      </c>
      <c r="D18" s="2" t="inlineStr">
        <is>
          <t>2024指标年JCR分区未核实；空白不能当非Q1。需要2025发布版/2024指标年的JCR全部学科导出。</t>
        </is>
      </c>
      <c r="E18" s="2" t="inlineStr">
        <is>
          <t>Biomass</t>
        </is>
      </c>
      <c r="F18" s="2" t="inlineStr">
        <is>
          <t>10.3390/biomass2010002</t>
        </is>
      </c>
      <c r="G18" s="2" t="inlineStr">
        <is>
          <t>2025发布版/2024指标年JCR导出：期刊全名、ISSN/eISSN、全部Category、JIF Quartile、JIF Rank、数据年份、导出日期；类型疑点需题名页/正式载体说明</t>
        </is>
      </c>
      <c r="H18" s="2" t="inlineStr">
        <is>
          <t>original_files/R07455/fulltext/fulltext__published__789dcf37303b566b.pdf; original_files/R07455/evidence/source_evidence__a32b25b89ddd9748.html</t>
        </is>
      </c>
    </row>
    <row r="19" ht="48" customHeight="1">
      <c r="A19" s="3" t="inlineStr">
        <is>
          <t>R07908</t>
        </is>
      </c>
      <c r="B19" s="3" t="inlineStr">
        <is>
          <t>Improving Anaerobic Digestion of Brewery and Distillery Spent Grains through Aeration across a Silicone Membrane</t>
        </is>
      </c>
      <c r="C19" s="3" t="inlineStr">
        <is>
          <t>JCR分区/期刊身份</t>
        </is>
      </c>
      <c r="D19" s="3" t="inlineStr">
        <is>
          <t>2024指标年JCR分区未核实；空白不能当非Q1。需要2025发布版/2024指标年的JCR全部学科导出。</t>
        </is>
      </c>
      <c r="E19" s="3" t="inlineStr">
        <is>
          <t>Sustainability</t>
        </is>
      </c>
      <c r="F19" s="3" t="inlineStr">
        <is>
          <t>10.3390/su14052755</t>
        </is>
      </c>
      <c r="G19" s="3" t="inlineStr">
        <is>
          <t>2025发布版/2024指标年JCR导出：期刊全名、ISSN/eISSN、全部Category、JIF Quartile、JIF Rank、数据年份、导出日期；类型疑点需题名页/正式载体说明</t>
        </is>
      </c>
      <c r="H19" s="3" t="inlineStr">
        <is>
          <t>original_files/R07908/fulltext/fulltext__published__508bae4b9d86cb53.pdf; original_files/R07908/evidence/source_evidence__de57de9b1760d62a.html</t>
        </is>
      </c>
    </row>
    <row r="20" ht="48" customHeight="1">
      <c r="A20" s="2" t="inlineStr">
        <is>
          <t>R08552</t>
        </is>
      </c>
      <c r="B20" s="2" t="inlineStr">
        <is>
          <t>ALKALINE PRETREATMENT AND AIR MIXING FOR IMPROVEMENT OF METHANE PRODUCTION FROM ANAEROBIC CO-DIGESTION OF POULTRY LITTER WITH WHEAT STRAW</t>
        </is>
      </c>
      <c r="C20" s="2" t="inlineStr">
        <is>
          <t>JCR分区/期刊身份</t>
        </is>
      </c>
      <c r="D20" s="2" t="inlineStr">
        <is>
          <t>2024指标年JCR分区未核实；空白不能当非Q1。需要2025发布版/2024指标年的JCR全部学科导出。</t>
        </is>
      </c>
      <c r="E20" s="2" t="inlineStr">
        <is>
          <t>Frontiers of Agricultural Science and Engineering</t>
        </is>
      </c>
      <c r="F20" s="2" t="inlineStr">
        <is>
          <t>10.15302/j-fase-2023506</t>
        </is>
      </c>
      <c r="G20" s="2" t="inlineStr">
        <is>
          <t>2025发布版/2024指标年JCR导出：期刊全名、ISSN/eISSN、全部Category、JIF Quartile、JIF Rank、数据年份、导出日期；类型疑点需题名页/正式载体说明</t>
        </is>
      </c>
      <c r="H20" s="2" t="inlineStr">
        <is>
          <t>original_files/R08552/fulltext/fulltext__published__bf6b5c964a64fd5b.pdf</t>
        </is>
      </c>
    </row>
    <row r="21" ht="48" customHeight="1">
      <c r="A21" s="3" t="inlineStr">
        <is>
          <t>R08665</t>
        </is>
      </c>
      <c r="B21" s="3" t="inlineStr">
        <is>
          <t>Bench-Scale Liquid-Phase Microaeration and Iron Dosing Comparison for In Situ Biogas Desulfurization and Antibiotic Resistance Management in Mesophilic Anaerobic Digestion</t>
        </is>
      </c>
      <c r="C21" s="3" t="inlineStr">
        <is>
          <t>JCR分区/期刊身份</t>
        </is>
      </c>
      <c r="D21" s="3" t="inlineStr">
        <is>
          <t>2024指标年JCR分区未核实；空白不能当非Q1。需要2025发布版/2024指标年的JCR全部学科导出。</t>
        </is>
      </c>
      <c r="E21" s="3" t="inlineStr">
        <is>
          <t>ACS ES&amp;T Water</t>
        </is>
      </c>
      <c r="F21" s="3" t="inlineStr">
        <is>
          <t>10.1021/acsestwater.3c00103</t>
        </is>
      </c>
      <c r="G21" s="3" t="inlineStr">
        <is>
          <t>2025发布版/2024指标年JCR导出：期刊全名、ISSN/eISSN、全部Category、JIF Quartile、JIF Rank、数据年份、导出日期；类型疑点需题名页/正式载体说明</t>
        </is>
      </c>
      <c r="H21" s="3" t="inlineStr">
        <is>
          <t>original_files/R08665/supplementary/supplementary__1446da96e20c35de.pdf; original_files/R08665/fulltext/fulltext__published__1681f2540263ce5e.pdf</t>
        </is>
      </c>
    </row>
    <row r="22" ht="48" customHeight="1">
      <c r="A22" s="2" t="inlineStr">
        <is>
          <t>R08877</t>
        </is>
      </c>
      <c r="B22" s="2" t="inlineStr">
        <is>
          <t>Effects of Low Oxygen Dosages on an Anaerobic Membrane Bioreactor, Simulating the Oxygen Load in an Anaerobic Digester-Dissolved Air Flotation (AD-DAF) System</t>
        </is>
      </c>
      <c r="C22" s="2" t="inlineStr">
        <is>
          <t>JCR分区/期刊身份</t>
        </is>
      </c>
      <c r="D22" s="2" t="inlineStr">
        <is>
          <t>2024指标年JCR分区未核实；空白不能当非Q1。需要2025发布版/2024指标年的JCR全部学科导出。</t>
        </is>
      </c>
      <c r="E22" s="2" t="inlineStr">
        <is>
          <t>ACS ES&amp;T Water</t>
        </is>
      </c>
      <c r="F22" s="2" t="inlineStr">
        <is>
          <t>10.1021/acsestwater.3c00544</t>
        </is>
      </c>
      <c r="G22" s="2" t="inlineStr">
        <is>
          <t>2025发布版/2024指标年JCR导出：期刊全名、ISSN/eISSN、全部Category、JIF Quartile、JIF Rank、数据年份、导出日期；类型疑点需题名页/正式载体说明</t>
        </is>
      </c>
      <c r="H22" s="2" t="inlineStr">
        <is>
          <t>original_files/R08877/fulltext/fulltext__published__1665f472122ce85f.pdf; original_files/R08877/supplementary/supplementary__54c68cdd7a64c260.pdf; original_files/R08877/evidence/source_evidence__e8712e4198baab4c.xml</t>
        </is>
      </c>
    </row>
    <row r="23" ht="48" customHeight="1">
      <c r="A23" s="3" t="inlineStr">
        <is>
          <t>R09236</t>
        </is>
      </c>
      <c r="B23" s="3" t="inlineStr">
        <is>
          <t>Microbiome Diversity of Anaerobic Digesters Is Enhanced by Microaeration and Low Frequency Sound</t>
        </is>
      </c>
      <c r="C23" s="3" t="inlineStr">
        <is>
          <t>JCR分区/期刊身份</t>
        </is>
      </c>
      <c r="D23" s="3" t="inlineStr">
        <is>
          <t>2024指标年JCR分区未核实；空白不能当非Q1。需要2025发布版/2024指标年的JCR全部学科导出。</t>
        </is>
      </c>
      <c r="E23" s="3" t="inlineStr">
        <is>
          <t>Microorganisms</t>
        </is>
      </c>
      <c r="F23" s="3" t="inlineStr">
        <is>
          <t>10.3390/microorganisms11092349</t>
        </is>
      </c>
      <c r="G23" s="3" t="inlineStr">
        <is>
          <t>2025发布版/2024指标年JCR导出：期刊全名、ISSN/eISSN、全部Category、JIF Quartile、JIF Rank、数据年份、导出日期；类型疑点需题名页/正式载体说明</t>
        </is>
      </c>
      <c r="H23" s="3" t="inlineStr">
        <is>
          <t>original_files/R09236/supplementary/supplementary__17102352b095b0fc.zip; original_files/R09236/evidence/source_evidence__72064fe9276d8309.xml; original_files/R09236/fulltext/fulltext__published__7891c46f856f19ac.pdf; original_files/R09236/derived/derived__fba7c733404cac1e.xlsx</t>
        </is>
      </c>
    </row>
    <row r="24" ht="48" customHeight="1">
      <c r="A24" s="2" t="inlineStr">
        <is>
          <t>R09902</t>
        </is>
      </c>
      <c r="B24" s="2" t="inlineStr">
        <is>
          <t>Biological desulfurization of biogas by a controlled aeration system</t>
        </is>
      </c>
      <c r="C24" s="2" t="inlineStr">
        <is>
          <t>JCR分区/期刊身份</t>
        </is>
      </c>
      <c r="D24" s="2" t="inlineStr">
        <is>
          <t>2024指标年JCR分区未核实；空白不能当非Q1。需要2025发布版/2024指标年的JCR全部学科导出。</t>
        </is>
      </c>
      <c r="E24" s="2" t="inlineStr">
        <is>
          <t>Cuadernos de Educación y Desarrollo</t>
        </is>
      </c>
      <c r="F24" s="2" t="inlineStr">
        <is>
          <t>10.55905/cuadv16n2-063</t>
        </is>
      </c>
      <c r="G24" s="2" t="inlineStr">
        <is>
          <t>2025发布版/2024指标年JCR导出：期刊全名、ISSN/eISSN、全部Category、JIF Quartile、JIF Rank、数据年份、导出日期；类型疑点需题名页/正式载体说明</t>
        </is>
      </c>
      <c r="H24" s="2" t="inlineStr">
        <is>
          <t>original_files/R09902/fulltext/fulltext__version_unverified__22ec9f0c43b02d82.pdf</t>
        </is>
      </c>
    </row>
    <row r="25" ht="48" customHeight="1">
      <c r="A25" s="3" t="inlineStr">
        <is>
          <t>R10187</t>
        </is>
      </c>
      <c r="B25" s="3" t="inlineStr">
        <is>
          <t>Enhancement of methane production from anaerobic digestion of Erigeron canadensis via O2-nanobubble water supplementation</t>
        </is>
      </c>
      <c r="C25" s="3" t="inlineStr">
        <is>
          <t>JCR分区/期刊身份</t>
        </is>
      </c>
      <c r="D25" s="3" t="inlineStr">
        <is>
          <t>2024指标年JCR分区未核实；空白不能当非Q1。需要2025发布版/2024指标年的JCR全部学科导出。</t>
        </is>
      </c>
      <c r="E25" s="3" t="inlineStr">
        <is>
          <t>Chemosphere</t>
        </is>
      </c>
      <c r="F25" s="3" t="inlineStr">
        <is>
          <t>10.1016/j.chemosphere.2024.141732</t>
        </is>
      </c>
      <c r="G25" s="3" t="inlineStr">
        <is>
          <t>2025发布版/2024指标年JCR导出：期刊全名、ISSN/eISSN、全部Category、JIF Quartile、JIF Rank、数据年份、导出日期；类型疑点需题名页/正式载体说明</t>
        </is>
      </c>
      <c r="H25" s="3" t="inlineStr">
        <is>
          <t>original_files/R10187/fulltext/fulltext__published__59b1f03109077622.pdf; original_files/R10187/supplementary/supplementary__9b5e4725b27653c8.docx</t>
        </is>
      </c>
    </row>
    <row r="26" ht="48" customHeight="1">
      <c r="A26" s="2" t="inlineStr">
        <is>
          <t>R10191</t>
        </is>
      </c>
      <c r="B26" s="2" t="inlineStr">
        <is>
          <t>Enhancing Anaerobic Digestion of Food Waste by Combining Carriers and Microaeration: Performance and Potential Mechanisms</t>
        </is>
      </c>
      <c r="C26" s="2" t="inlineStr">
        <is>
          <t>JCR分区/期刊身份</t>
        </is>
      </c>
      <c r="D26" s="2" t="inlineStr">
        <is>
          <t>2024指标年JCR分区未核实；空白不能当非Q1。需要2025发布版/2024指标年的JCR全部学科导出。</t>
        </is>
      </c>
      <c r="E26" s="2" t="inlineStr">
        <is>
          <t>ACS ES&amp;T Engineering</t>
        </is>
      </c>
      <c r="F26" s="2" t="inlineStr">
        <is>
          <t>10.1021/acsestengg.4c00298</t>
        </is>
      </c>
      <c r="G26" s="2" t="inlineStr">
        <is>
          <t>2025发布版/2024指标年JCR导出：期刊全名、ISSN/eISSN、全部Category、JIF Quartile、JIF Rank、数据年份、导出日期；类型疑点需题名页/正式载体说明</t>
        </is>
      </c>
      <c r="H26" s="2" t="inlineStr">
        <is>
          <t>original_files/R10191/fulltext/fulltext__published__02ba064b090497b8.pdf; original_files/R10191/supplementary/supplementary__71a64572ac901c1a.pdf; original_files/R10191/supplementary/supplementary__7f5add489e7e2f53.xlsx</t>
        </is>
      </c>
    </row>
    <row r="27" ht="48" customHeight="1">
      <c r="A27" s="3" t="inlineStr">
        <is>
          <t>R12279</t>
        </is>
      </c>
      <c r="B27" s="3" t="inlineStr">
        <is>
          <t>Sustainable management of simulated coffee processing wastewater using micro-aeration enhanced anaerobic digestion: a long-term technical evaluation</t>
        </is>
      </c>
      <c r="C27" s="3" t="inlineStr">
        <is>
          <t>JCR分区/期刊身份</t>
        </is>
      </c>
      <c r="D27" s="3" t="inlineStr">
        <is>
          <t>2024指标年JCR分区未核实；空白不能当非Q1。需要2025发布版/2024指标年的JCR全部学科导出。</t>
        </is>
      </c>
      <c r="E27" s="3" t="inlineStr">
        <is>
          <t>Frontiers in Sustainability</t>
        </is>
      </c>
      <c r="F27" s="3" t="inlineStr">
        <is>
          <t>10.3389/frsus.2025.1681014</t>
        </is>
      </c>
      <c r="G27" s="3" t="inlineStr">
        <is>
          <t>2025发布版/2024指标年JCR导出：期刊全名、ISSN/eISSN、全部Category、JIF Quartile、JIF Rank、数据年份、导出日期；类型疑点需题名页/正式载体说明</t>
        </is>
      </c>
      <c r="H27" s="3" t="inlineStr">
        <is>
          <t>original_files/R12279/evidence/source_evidence__083539e8f7d9c496.html; original_files/R12279/fulltext/fulltext__published__a4024be5139d5819.pdf</t>
        </is>
      </c>
    </row>
    <row r="28" ht="48" customHeight="1">
      <c r="A28" s="2" t="inlineStr">
        <is>
          <t>R12841</t>
        </is>
      </c>
      <c r="B28" s="2" t="inlineStr">
        <is>
          <t>Dose-response effects of microaeration on thermophilic lignocellulose-based anaerobic digestion: performance, stability and microbial community dynamics</t>
        </is>
      </c>
      <c r="C28" s="2" t="inlineStr">
        <is>
          <t>JCR分区/期刊身份</t>
        </is>
      </c>
      <c r="D28" s="2" t="inlineStr">
        <is>
          <t>2024指标年JCR分区未核实；空白不能当非Q1。需要2025发布版/2024指标年的JCR全部学科导出。</t>
        </is>
      </c>
      <c r="E28" s="2" t="inlineStr">
        <is>
          <t>Bioresource Technology Reports</t>
        </is>
      </c>
      <c r="F28" s="2" t="inlineStr">
        <is>
          <t>10.1016/j.biteb.2026.102593</t>
        </is>
      </c>
      <c r="G28" s="2" t="inlineStr">
        <is>
          <t>2025发布版/2024指标年JCR导出：期刊全名、ISSN/eISSN、全部Category、JIF Quartile、JIF Rank、数据年份、导出日期；类型疑点需题名页/正式载体说明</t>
        </is>
      </c>
      <c r="H28" s="2" t="inlineStr">
        <is>
          <t>original_files/R12841/supplementary/supplementary__383ac2077a99b78c.docx; original_files/R12841/fulltext/fulltext__published__8bb95f7588cd32f1.pdf</t>
        </is>
      </c>
    </row>
    <row r="29" ht="48" customHeight="1">
      <c r="A29" s="3" t="inlineStr">
        <is>
          <t>R12985</t>
        </is>
      </c>
      <c r="B29" s="3" t="inlineStr">
        <is>
          <t>Evaluation of Anaerobic Digestion Amended with Micro-Aeration and/or Sound Treatment on the Resistome and Virulence Factor Gene Profiles in Poultry Litter</t>
        </is>
      </c>
      <c r="C29" s="3" t="inlineStr">
        <is>
          <t>JCR分区/期刊身份</t>
        </is>
      </c>
      <c r="D29" s="3" t="inlineStr">
        <is>
          <t>2024指标年JCR分区未核实；空白不能当非Q1。需要2025发布版/2024指标年的JCR全部学科导出。</t>
        </is>
      </c>
      <c r="E29" s="3" t="inlineStr">
        <is>
          <t>Antibiotics</t>
        </is>
      </c>
      <c r="F29" s="3" t="inlineStr">
        <is>
          <t>10.3390/antibiotics15020153</t>
        </is>
      </c>
      <c r="G29" s="3" t="inlineStr">
        <is>
          <t>2025发布版/2024指标年JCR导出：期刊全名、ISSN/eISSN、全部Category、JIF Quartile、JIF Rank、数据年份、导出日期；类型疑点需题名页/正式载体说明</t>
        </is>
      </c>
      <c r="H29" s="3" t="inlineStr">
        <is>
          <t>original_files/R12985/supplementary/supplementary__1ce50822c9eab57d.zip; original_files/R12985/derived/derived__3591be2bdae6839f.xlsx; original_files/R12985/derived/derived__566b622e9e41dce1.xlsx; original_files/R12985/derived/derived__612fbb636cffef98.xlsx; original_files/R12985/derived/derived__99672ebb9aaa605b.xlsx; original_files/R12985/evidence/source_evidence__f1a80564a8a1fa4b.xml; original_files/R12985/fulltext/fulltext__published__f42e1cfc61ed462e.pdf</t>
        </is>
      </c>
    </row>
    <row r="30" ht="48" customHeight="1">
      <c r="A30" s="2" t="inlineStr">
        <is>
          <t>R13282</t>
        </is>
      </c>
      <c r="B30" s="2" t="inlineStr">
        <is>
          <t>Microaeration for Enhancement of Methane Productivity from Cassava Wastewater and Digestibility of Added Cassava Residue</t>
        </is>
      </c>
      <c r="C30" s="2" t="inlineStr">
        <is>
          <t>JCR分区/期刊身份</t>
        </is>
      </c>
      <c r="D30" s="2" t="inlineStr">
        <is>
          <t>2024指标年JCR分区未核实；空白不能当非Q1。需要2025发布版/2024指标年的JCR全部学科导出。</t>
        </is>
      </c>
      <c r="E30" s="2" t="inlineStr">
        <is>
          <t>Fermentation</t>
        </is>
      </c>
      <c r="F30" s="2" t="inlineStr">
        <is>
          <t>10.3390/fermentation12050212</t>
        </is>
      </c>
      <c r="G30" s="2" t="inlineStr">
        <is>
          <t>2025发布版/2024指标年JCR导出：期刊全名、ISSN/eISSN、全部Category、JIF Quartile、JIF Rank、数据年份、导出日期；类型疑点需题名页/正式载体说明</t>
        </is>
      </c>
      <c r="H30" s="2" t="inlineStr">
        <is>
          <t>original_files/R13282/evidence/source_evidence__0d43c223e21ae168.html; original_files/R13282/fulltext/fulltext__published__93cadfa778095a0e.pdf</t>
        </is>
      </c>
    </row>
    <row r="31" ht="48" customHeight="1">
      <c r="A31" s="3" t="inlineStr">
        <is>
          <t>R13283</t>
        </is>
      </c>
      <c r="B31" s="3" t="inlineStr">
        <is>
          <t>Microaeration of Upflow Anaerobic Sludge Blanket reactor using desorption chamber gas: methane recovery and H2S removal</t>
        </is>
      </c>
      <c r="C31" s="3" t="inlineStr">
        <is>
          <t>JCR分区/期刊身份</t>
        </is>
      </c>
      <c r="D31" s="3" t="inlineStr">
        <is>
          <t>2024指标年JCR分区未核实；空白不能当非Q1。需要2025发布版/2024指标年的JCR全部学科导出。</t>
        </is>
      </c>
      <c r="E31" s="3" t="inlineStr">
        <is>
          <t>Engenharia Sanitaria e Ambiental</t>
        </is>
      </c>
      <c r="F31" s="3" t="inlineStr">
        <is>
          <t>10.1590/s1413-4152031s104</t>
        </is>
      </c>
      <c r="G31" s="3" t="inlineStr">
        <is>
          <t>2025发布版/2024指标年JCR导出：期刊全名、ISSN/eISSN、全部Category、JIF Quartile、JIF Rank、数据年份、导出日期；类型疑点需题名页/正式载体说明</t>
        </is>
      </c>
      <c r="H31" s="3" t="inlineStr">
        <is>
          <t>original_files/R13283/evidence/source_evidence__016e8ba1f98d4baa.html; original_files/R13283/fulltext/fulltext__published__0cb5643aac5b794e.pdf</t>
        </is>
      </c>
    </row>
    <row r="32" ht="48" customHeight="1">
      <c r="A32" s="2" t="inlineStr">
        <is>
          <t>R13557</t>
        </is>
      </c>
      <c r="B32" s="2" t="inlineStr">
        <is>
          <t>Redox mediators and microaeration boosting the linear alkylbenzene sulfonate removal</t>
        </is>
      </c>
      <c r="C32" s="2" t="inlineStr">
        <is>
          <t>JCR分区/期刊身份</t>
        </is>
      </c>
      <c r="D32" s="2" t="inlineStr">
        <is>
          <t>2024指标年JCR分区未核实；空白不能当非Q1。需要2025发布版/2024指标年的JCR全部学科导出。</t>
        </is>
      </c>
      <c r="E32" s="2" t="inlineStr">
        <is>
          <t>Chemosphere</t>
        </is>
      </c>
      <c r="F32" s="2" t="inlineStr">
        <is>
          <t>10.1016/j.chemosphere.2026.144878</t>
        </is>
      </c>
      <c r="G32" s="2" t="inlineStr">
        <is>
          <t>2025发布版/2024指标年JCR导出：期刊全名、ISSN/eISSN、全部Category、JIF Quartile、JIF Rank、数据年份、导出日期；类型疑点需题名页/正式载体说明</t>
        </is>
      </c>
      <c r="H32" s="2" t="inlineStr">
        <is>
          <t>original_files/R13557/fulltext/fulltext__published__a7b3007b90f2b38a.pdf</t>
        </is>
      </c>
    </row>
    <row r="33" ht="48" customHeight="1">
      <c r="A33" s="3" t="inlineStr">
        <is>
          <t>R13558</t>
        </is>
      </c>
      <c r="B33" s="3" t="inlineStr">
        <is>
          <t>Redox mediators and microaeration: overcoming linear alkylbenzene sulfonate recalcitrance in anaerobic reactors</t>
        </is>
      </c>
      <c r="C33" s="3" t="inlineStr">
        <is>
          <t>JCR分区/期刊身份</t>
        </is>
      </c>
      <c r="D33" s="3" t="inlineStr">
        <is>
          <t>2024指标年JCR分区未核实；空白不能当非Q1。需要2025发布版/2024指标年的JCR全部学科导出。</t>
        </is>
      </c>
      <c r="E33" s="3" t="inlineStr">
        <is>
          <t>Engenharia Sanitaria e Ambiental</t>
        </is>
      </c>
      <c r="F33" s="3" t="inlineStr">
        <is>
          <t>10.1590/s1413-4152031s110</t>
        </is>
      </c>
      <c r="G33" s="3" t="inlineStr">
        <is>
          <t>2025发布版/2024指标年JCR导出：期刊全名、ISSN/eISSN、全部Category、JIF Quartile、JIF Rank、数据年份、导出日期；类型疑点需题名页/正式载体说明</t>
        </is>
      </c>
      <c r="H33" s="3" t="inlineStr">
        <is>
          <t>original_files/R13558/fulltext/fulltext__published__0006612a5b75c131.pdf; original_files/R13558/evidence/source_evidence__3d5a5ff430e1b7ca.html</t>
        </is>
      </c>
    </row>
    <row r="34" ht="48" customHeight="1">
      <c r="A34" s="2" t="inlineStr">
        <is>
          <t>R02239</t>
        </is>
      </c>
      <c r="B34" s="2" t="inlineStr">
        <is>
          <t>[Application of Micro-aerobic Hydrolysis Acidification in the Pretreatment of Petrochemical Wastewater].</t>
        </is>
      </c>
      <c r="C34" s="2" t="inlineStr">
        <is>
          <t>JCR分区/期刊身份</t>
        </is>
      </c>
      <c r="D34" s="2" t="inlineStr">
        <is>
          <t>PDF pp.1,3–7：《环境科学》36(10),3738–3742；原期刊字段PubMed为索引平台 | 2024指标年JCR分区未核实；空白不能当非Q1。需要2025发布版/2024指标年的JCR全部学科导出。</t>
        </is>
      </c>
      <c r="E34" s="2" t="inlineStr">
        <is>
          <t>Huanjing Kexue / Environmental Science</t>
        </is>
      </c>
      <c r="F34" s="2" t="inlineStr"/>
      <c r="G34" s="2" t="inlineStr">
        <is>
          <t>2025发布版/2024指标年JCR导出：期刊全名、ISSN/eISSN、全部Category、JIF Quartile、JIF Rank、数据年份、导出日期；类型疑点需题名页/正式载体说明</t>
        </is>
      </c>
      <c r="H34" s="2" t="inlineStr">
        <is>
          <t>original_files/R02239/fulltext/fulltext__version_unverified__0ec9c37ecd0bceff.pdf</t>
        </is>
      </c>
    </row>
    <row r="35" ht="48" customHeight="1">
      <c r="A35" s="3" t="inlineStr">
        <is>
          <t>R04721</t>
        </is>
      </c>
      <c r="B35" s="3" t="inlineStr">
        <is>
          <t>Effects of Gas Supplying Patterns on Aerobic Anaerobic Biogas Production of Rice Straw</t>
        </is>
      </c>
      <c r="C35" s="3" t="inlineStr">
        <is>
          <t>JCR分区/期刊身份</t>
        </is>
      </c>
      <c r="D35" s="3" t="inlineStr">
        <is>
          <t>2024指标年JCR分区未核实；空白不能当非Q1。需要2025发布版/2024指标年的JCR全部学科导出。</t>
        </is>
      </c>
      <c r="E35" s="3" t="inlineStr">
        <is>
          <t>Current Bioinformatics</t>
        </is>
      </c>
      <c r="F35" s="3" t="inlineStr">
        <is>
          <t>10.2174/1574893613666180502112425</t>
        </is>
      </c>
      <c r="G35" s="3" t="inlineStr">
        <is>
          <t>2025发布版/2024指标年JCR导出：期刊全名、ISSN/eISSN、全部Category、JIF Quartile、JIF Rank、数据年份、导出日期；类型疑点需题名页/正式载体说明</t>
        </is>
      </c>
      <c r="H35" s="3" t="inlineStr">
        <is>
          <t>original_files/R04721/uncertain/uncertain__0a35490689f20fcd.pdf; original_files/R13966/uncertain/uncertain__241323b4bf27ebf0.pdf; original_files/R04721/uncertain/uncertain__78c7e9503d806520.pdf; original_files/R02863/uncertain/uncertain__96f875a8ccf3e269.pdf; original_files/R04721/evidence/source_evidence__ad5a5e16d868f4a1.html; original_files/R04721/uncertain/uncertain__baf22465d3f7d634.pdf</t>
        </is>
      </c>
    </row>
    <row r="36" ht="48" customHeight="1">
      <c r="A36" s="2" t="inlineStr">
        <is>
          <t>R04889</t>
        </is>
      </c>
      <c r="B36" s="2" t="inlineStr">
        <is>
          <t>Inoculum Selection and Micro-Aeration for Biogas Production in Two-Stage Anaerobic Digestion of Palm Oil Mill Effluent (POME)</t>
        </is>
      </c>
      <c r="C36" s="2" t="inlineStr">
        <is>
          <t>JCR分区/期刊身份</t>
        </is>
      </c>
      <c r="D36" s="2" t="inlineStr">
        <is>
          <t>2024指标年JCR分区未核实；空白不能当非Q1。需要2025发布版/2024指标年的JCR全部学科导出。</t>
        </is>
      </c>
      <c r="E36" s="2" t="inlineStr">
        <is>
          <t>Jurnal Bahan Alam Terbarukan</t>
        </is>
      </c>
      <c r="F36" s="2" t="inlineStr">
        <is>
          <t>10.15294/jbat.v8i1.16318</t>
        </is>
      </c>
      <c r="G36" s="2" t="inlineStr">
        <is>
          <t>2025发布版/2024指标年JCR导出：期刊全名、ISSN/eISSN、全部Category、JIF Quartile、JIF Rank、数据年份、导出日期；类型疑点需题名页/正式载体说明</t>
        </is>
      </c>
      <c r="H36" s="2" t="inlineStr">
        <is>
          <t>original_files/R04889/evidence/source_evidence__421342037d99ece9.html; original_files/R04889/fulltext/fulltext__published__860a0532503787f8.pdf</t>
        </is>
      </c>
    </row>
    <row r="37" ht="48" customHeight="1">
      <c r="A37" s="3" t="inlineStr">
        <is>
          <t>R04928</t>
        </is>
      </c>
      <c r="B37" s="3" t="inlineStr">
        <is>
          <t>MATHEMATICAL MODEL FOR QUANTITATIVE ANALYSIS OF ACIDOGENIC PERFORMANCE UNDER MICROAERATION CONDITION IN ANAEROBIC VINASSE TREATMENT</t>
        </is>
      </c>
      <c r="C37" s="3" t="inlineStr">
        <is>
          <t>JCR分区/期刊身份</t>
        </is>
      </c>
      <c r="D37" s="3" t="inlineStr">
        <is>
          <t>2024指标年JCR分区未核实；空白不能当非Q1。需要2025发布版/2024指标年的JCR全部学科导出。</t>
        </is>
      </c>
      <c r="E37" s="3" t="inlineStr">
        <is>
          <t>Jurnal Riset Teknologi Pencegahan Pencemaran Industri</t>
        </is>
      </c>
      <c r="F37" s="3" t="inlineStr">
        <is>
          <t>10.21771/jrtppi.2019.v10.no1.p12-21</t>
        </is>
      </c>
      <c r="G37" s="3" t="inlineStr">
        <is>
          <t>2025发布版/2024指标年JCR导出：期刊全名、ISSN/eISSN、全部Category、JIF Quartile、JIF Rank、数据年份、导出日期；类型疑点需题名页/正式载体说明</t>
        </is>
      </c>
      <c r="H37" s="3" t="inlineStr">
        <is>
          <t>original_files/R04928/fulltext/fulltext__published__9d47028c02204ac0.pdf; original_files/R04928/evidence/source_evidence__f38b7a85b5b362e8.html</t>
        </is>
      </c>
    </row>
    <row r="38" ht="48" customHeight="1">
      <c r="A38" s="2" t="inlineStr">
        <is>
          <t>R06034</t>
        </is>
      </c>
      <c r="B38" s="2" t="inlineStr">
        <is>
          <t>Rapid Two Stage Anaerobic Digestion of Nejayote through Microaeration and Direct Interspecies Electron Transfer</t>
        </is>
      </c>
      <c r="C38" s="2" t="inlineStr">
        <is>
          <t>JCR分区/期刊身份</t>
        </is>
      </c>
      <c r="D38" s="2" t="inlineStr">
        <is>
          <t>2024指标年JCR分区未核实；空白不能当非Q1。需要2025发布版/2024指标年的JCR全部学科导出。</t>
        </is>
      </c>
      <c r="E38" s="2" t="inlineStr">
        <is>
          <t>Processes</t>
        </is>
      </c>
      <c r="F38" s="2" t="inlineStr">
        <is>
          <t>10.3390/pr8121614</t>
        </is>
      </c>
      <c r="G38" s="2" t="inlineStr">
        <is>
          <t>2025发布版/2024指标年JCR导出：期刊全名、ISSN/eISSN、全部Category、JIF Quartile、JIF Rank、数据年份、导出日期；类型疑点需题名页/正式载体说明</t>
        </is>
      </c>
      <c r="H38" s="2" t="inlineStr">
        <is>
          <t>original_files/R06034/fulltext/fulltext__published__3418fe158b2a1017.pdf; original_files/R06034/evidence/source_evidence__915bbccd2d3268dc.html</t>
        </is>
      </c>
    </row>
    <row r="39" ht="48" customHeight="1">
      <c r="A39" s="3" t="inlineStr">
        <is>
          <t>R06196</t>
        </is>
      </c>
      <c r="B39" s="3" t="inlineStr">
        <is>
          <t>Two Phase Anaerobic Digestion System of Municipal Solid Waste by Utilizing Microaeration and Granular Activated Carbon</t>
        </is>
      </c>
      <c r="C39" s="3" t="inlineStr">
        <is>
          <t>JCR分区/期刊身份</t>
        </is>
      </c>
      <c r="D39" s="3" t="inlineStr">
        <is>
          <t>2024指标年JCR分区未核实；空白不能当非Q1。需要2025发布版/2024指标年的JCR全部学科导出。</t>
        </is>
      </c>
      <c r="E39" s="3" t="inlineStr">
        <is>
          <t>Energies</t>
        </is>
      </c>
      <c r="F39" s="3" t="inlineStr">
        <is>
          <t>10.3390/en13040933</t>
        </is>
      </c>
      <c r="G39" s="3" t="inlineStr">
        <is>
          <t>2025发布版/2024指标年JCR导出：期刊全名、ISSN/eISSN、全部Category、JIF Quartile、JIF Rank、数据年份、导出日期；类型疑点需题名页/正式载体说明</t>
        </is>
      </c>
      <c r="H39" s="3" t="inlineStr">
        <is>
          <t>original_files/R06196/fulltext/fulltext__published__9fbe84ed55130245.pdf; original_files/R06196/evidence/source_evidence__c0c8d7e91359f661.html</t>
        </is>
      </c>
    </row>
    <row r="40" ht="48" customHeight="1">
      <c r="A40" s="2" t="inlineStr">
        <is>
          <t>R01727</t>
        </is>
      </c>
      <c r="B40" s="2" t="inlineStr">
        <is>
          <t>Comparison of thermophilic microaerobic and alkali pretreatment of sugarcane bagasse for anaerobic digestion</t>
        </is>
      </c>
      <c r="C40" s="2" t="inlineStr">
        <is>
          <t>JCR分区/期刊身份</t>
        </is>
      </c>
      <c r="D40" s="2" t="inlineStr">
        <is>
          <t>2024指标年JCR分区未核实；空白不能当非Q1。需要2025发布版/2024指标年的JCR全部学科导出。</t>
        </is>
      </c>
      <c r="E40" s="2" t="inlineStr">
        <is>
          <t>RSC Advances</t>
        </is>
      </c>
      <c r="F40" s="2" t="inlineStr">
        <is>
          <t>10.1039/c5ra10717b</t>
        </is>
      </c>
      <c r="G40" s="2" t="inlineStr">
        <is>
          <t>2025发布版/2024指标年JCR导出：期刊全名、ISSN/eISSN、全部Category、JIF Quartile、JIF Rank、数据年份、导出日期；类型疑点需题名页/正式载体说明</t>
        </is>
      </c>
      <c r="H40" s="2" t="inlineStr">
        <is>
          <t>original_files/R01727/supplementary/supplementary__2b717bb2226270b6.pdf; original_files/R01727/fulltext/fulltext__published__cf60070671c880d0.pdf</t>
        </is>
      </c>
    </row>
    <row r="41" ht="48" customHeight="1">
      <c r="A41" s="3" t="inlineStr">
        <is>
          <t>R02319</t>
        </is>
      </c>
      <c r="B41" s="3" t="inlineStr">
        <is>
          <t>Assessment of Sludge Solubilization by Aeration and Zero-valent Iron As a Pre-treatment for Anaerobic Digestion</t>
        </is>
      </c>
      <c r="C41" s="3" t="inlineStr">
        <is>
          <t>JCR分区/期刊身份</t>
        </is>
      </c>
      <c r="D41" s="3" t="inlineStr">
        <is>
          <t>2024指标年JCR分区未核实；空白不能当非Q1。需要2025发布版/2024指标年的JCR全部学科导出。</t>
        </is>
      </c>
      <c r="E41" s="3" t="inlineStr">
        <is>
          <t>Journal of the Korea Organic Resource Recycling Association</t>
        </is>
      </c>
      <c r="F41" s="3" t="inlineStr">
        <is>
          <t>10.17137/korrae.2016.24.3.53</t>
        </is>
      </c>
      <c r="G41" s="3" t="inlineStr">
        <is>
          <t>2025发布版/2024指标年JCR导出：期刊全名、ISSN/eISSN、全部Category、JIF Quartile、JIF Rank、数据年份、导出日期；类型疑点需题名页/正式载体说明</t>
        </is>
      </c>
      <c r="H41" s="3" t="inlineStr">
        <is>
          <t>original_files/R02319/fulltext/fulltext__version_unverified__bee09adb76fa2153.pdf</t>
        </is>
      </c>
    </row>
    <row r="42" ht="48" customHeight="1">
      <c r="A42" s="2" t="inlineStr">
        <is>
          <t>R05542</t>
        </is>
      </c>
      <c r="B42" s="2" t="inlineStr">
        <is>
          <t>Effect of micro-aerobic process on improvement of anaerobic digestion sewage sludge treatment: flow cytometry and ATP assessment</t>
        </is>
      </c>
      <c r="C42" s="2" t="inlineStr">
        <is>
          <t>JCR分区/期刊身份</t>
        </is>
      </c>
      <c r="D42" s="2" t="inlineStr">
        <is>
          <t>2024指标年JCR分区未核实；空白不能当非Q1。需要2025发布版/2024指标年的JCR全部学科导出。</t>
        </is>
      </c>
      <c r="E42" s="2" t="inlineStr">
        <is>
          <t>RSC Advances</t>
        </is>
      </c>
      <c r="F42" s="2" t="inlineStr">
        <is>
          <t>10.1039/d0ra05540a</t>
        </is>
      </c>
      <c r="G42" s="2" t="inlineStr">
        <is>
          <t>2025发布版/2024指标年JCR导出：期刊全名、ISSN/eISSN、全部Category、JIF Quartile、JIF Rank、数据年份、导出日期；类型疑点需题名页/正式载体说明</t>
        </is>
      </c>
      <c r="H42" s="2" t="inlineStr">
        <is>
          <t>original_files/R05542/fulltext/fulltext__published__735560cdb2769e25.pdf; original_files/R05542/evidence/source_evidence__9ee6c9217e7c01e1.xml</t>
        </is>
      </c>
    </row>
    <row r="43" ht="48" customHeight="1">
      <c r="A43" s="3" t="inlineStr">
        <is>
          <t>R06325</t>
        </is>
      </c>
      <c r="B43" s="3" t="inlineStr">
        <is>
          <t>Anaerobic and Microaerobic Pretreatment for Improving Methane Production From Paper Waste in Anaerobic Digestion</t>
        </is>
      </c>
      <c r="C43" s="3" t="inlineStr">
        <is>
          <t>JCR分区/期刊身份</t>
        </is>
      </c>
      <c r="D43" s="3" t="inlineStr">
        <is>
          <t>2024指标年JCR分区未核实；空白不能当非Q1。需要2025发布版/2024指标年的JCR全部学科导出。</t>
        </is>
      </c>
      <c r="E43" s="3" t="inlineStr">
        <is>
          <t>Frontiers in Microbiology</t>
        </is>
      </c>
      <c r="F43" s="3" t="inlineStr">
        <is>
          <t>10.3389/fmicb.2021.688290</t>
        </is>
      </c>
      <c r="G43" s="3" t="inlineStr">
        <is>
          <t>2025发布版/2024指标年JCR导出：期刊全名、ISSN/eISSN、全部Category、JIF Quartile、JIF Rank、数据年份、导出日期；类型疑点需题名页/正式载体说明</t>
        </is>
      </c>
      <c r="H43" s="3" t="inlineStr">
        <is>
          <t>original_files/R06325/supplementary/supplementary__2ff3d2f5d4062e84.xlsx; original_files/R06325/supplementary/supplementary__60c80a9d02b6781a.docx; original_files/R06325/evidence/source_evidence__645deb707d3790b5.xml; original_files/R06325/fulltext/fulltext__published__884c1fc31e96ef38.pdf</t>
        </is>
      </c>
    </row>
    <row r="44" ht="48" customHeight="1">
      <c r="A44" s="2" t="inlineStr">
        <is>
          <t>R07641</t>
        </is>
      </c>
      <c r="B44" s="2" t="inlineStr">
        <is>
          <t>Determination of the biochemical methane potential of food waste after aerobic storage and aeration pretreatment</t>
        </is>
      </c>
      <c r="C44" s="2" t="inlineStr">
        <is>
          <t>JCR分区/期刊身份</t>
        </is>
      </c>
      <c r="D44" s="2" t="inlineStr">
        <is>
          <t>2024指标年JCR分区未核实；空白不能当非Q1。需要2025发布版/2024指标年的JCR全部学科导出。</t>
        </is>
      </c>
      <c r="E44" s="2" t="inlineStr">
        <is>
          <t>Biofuels, Bioproducts and Biorefining</t>
        </is>
      </c>
      <c r="F44" s="2" t="inlineStr">
        <is>
          <t>10.1002/bbb.2414</t>
        </is>
      </c>
      <c r="G44" s="2" t="inlineStr">
        <is>
          <t>2025发布版/2024指标年JCR导出：期刊全名、ISSN/eISSN、全部Category、JIF Quartile、JIF Rank、数据年份、导出日期；类型疑点需题名页/正式载体说明</t>
        </is>
      </c>
      <c r="H44" s="2" t="inlineStr">
        <is>
          <t>original_files/R07641/fulltext/fulltext__published__1d41d189d5d994e9.pdf</t>
        </is>
      </c>
    </row>
    <row r="45" ht="48" customHeight="1">
      <c r="A45" s="3" t="inlineStr">
        <is>
          <t>R08016</t>
        </is>
      </c>
      <c r="B45" s="3" t="inlineStr">
        <is>
          <t>Micro-Aerobic Pre-Treatment vs. Thermal Pre-Treatment of Waste Activated Sludge for Its Subsequent Anaerobic Digestion in Semi-Continuous Digesters: A Comparative Study</t>
        </is>
      </c>
      <c r="C45" s="3" t="inlineStr">
        <is>
          <t>JCR分区/期刊身份</t>
        </is>
      </c>
      <c r="D45" s="3" t="inlineStr">
        <is>
          <t>2024指标年JCR分区未核实；空白不能当非Q1。需要2025发布版/2024指标年的JCR全部学科导出。</t>
        </is>
      </c>
      <c r="E45" s="3" t="inlineStr">
        <is>
          <t>Fermentation</t>
        </is>
      </c>
      <c r="F45" s="3" t="inlineStr">
        <is>
          <t>10.3390/fermentation8100565</t>
        </is>
      </c>
      <c r="G45" s="3" t="inlineStr">
        <is>
          <t>2025发布版/2024指标年JCR导出：期刊全名、ISSN/eISSN、全部Category、JIF Quartile、JIF Rank、数据年份、导出日期；类型疑点需题名页/正式载体说明</t>
        </is>
      </c>
      <c r="H45" s="3" t="inlineStr">
        <is>
          <t>original_files/R08016/fulltext/fulltext__published__50ed49bc2c646167.pdf; original_files/R08016/evidence/source_evidence__e9c4e997b1ac35e3.html</t>
        </is>
      </c>
    </row>
    <row r="46" ht="48" customHeight="1">
      <c r="A46" s="2" t="inlineStr">
        <is>
          <t>R01985</t>
        </is>
      </c>
      <c r="B46" s="2" t="inlineStr">
        <is>
          <t>Microaeration for hydrogen sulfide removal during anaerobic treatment: a review</t>
        </is>
      </c>
      <c r="C46" s="2" t="inlineStr">
        <is>
          <t>JCR分区/期刊身份</t>
        </is>
      </c>
      <c r="D46" s="2" t="inlineStr">
        <is>
          <t>2024指标年JCR分区未核实；空白不能当非Q1。需要2025发布版/2024指标年的JCR全部学科导出。</t>
        </is>
      </c>
      <c r="E46" s="2" t="inlineStr">
        <is>
          <t>Reviews in Environmental Science and Bio/Technology</t>
        </is>
      </c>
      <c r="F46" s="2" t="inlineStr">
        <is>
          <t>10.1007/s11157-015-9386-2</t>
        </is>
      </c>
      <c r="G46" s="2" t="inlineStr">
        <is>
          <t>2025发布版/2024指标年JCR导出：期刊全名、ISSN/eISSN、全部Category、JIF Quartile、JIF Rank、数据年份、导出日期；类型疑点需题名页/正式载体说明</t>
        </is>
      </c>
      <c r="H46" s="2" t="inlineStr">
        <is>
          <t>original_files/R01985/fulltext/fulltext__published__eefabc47a4bbce22.pdf</t>
        </is>
      </c>
    </row>
    <row r="47" ht="48" customHeight="1">
      <c r="A47" s="3" t="inlineStr">
        <is>
          <t>R02863</t>
        </is>
      </c>
      <c r="B47" s="3" t="inlineStr">
        <is>
          <t>Transformations, Inhibition and Inhibition Control Methods of Sulfur in Sludge Anaerobic Digestion: A Review</t>
        </is>
      </c>
      <c r="C47" s="3" t="inlineStr">
        <is>
          <t>JCR分区/期刊身份</t>
        </is>
      </c>
      <c r="D47" s="3" t="inlineStr">
        <is>
          <t>2024指标年JCR分区未核实；空白不能当非Q1。需要2025发布版/2024指标年的JCR全部学科导出。</t>
        </is>
      </c>
      <c r="E47" s="3" t="inlineStr">
        <is>
          <t>Current Organic Chemistry</t>
        </is>
      </c>
      <c r="F47" s="3" t="inlineStr">
        <is>
          <t>10.2174/1385272820666160513152913</t>
        </is>
      </c>
      <c r="G47" s="3" t="inlineStr">
        <is>
          <t>2025发布版/2024指标年JCR导出：期刊全名、ISSN/eISSN、全部Category、JIF Quartile、JIF Rank、数据年份、导出日期；类型疑点需题名页/正式载体说明</t>
        </is>
      </c>
      <c r="H47" s="3" t="inlineStr">
        <is>
          <t>original_files/R04721/uncertain/uncertain__0a35490689f20fcd.pdf; original_files/R13966/uncertain/uncertain__241323b4bf27ebf0.pdf; original_files/R02863/evidence/source_evidence__54771bcb9e18baba.html; original_files/R04721/uncertain/uncertain__78c7e9503d806520.pdf; original_files/R02863/uncertain/uncertain__96f875a8ccf3e269.pdf; original_files/R04721/uncertain/uncertain__baf22465d3f7d634.pdf</t>
        </is>
      </c>
    </row>
    <row r="48" ht="48" customHeight="1">
      <c r="A48" s="2" t="inlineStr">
        <is>
          <t>R06744</t>
        </is>
      </c>
      <c r="B48" s="2" t="inlineStr">
        <is>
          <t>High-Solid Anaerobic Digestion: Reviewing Strategies for Increasing Reactor Performance</t>
        </is>
      </c>
      <c r="C48" s="2" t="inlineStr">
        <is>
          <t>JCR分区/期刊身份</t>
        </is>
      </c>
      <c r="D48" s="2" t="inlineStr">
        <is>
          <t>2024指标年JCR分区未核实；空白不能当非Q1。需要2025发布版/2024指标年的JCR全部学科导出。</t>
        </is>
      </c>
      <c r="E48" s="2" t="inlineStr">
        <is>
          <t>Environments</t>
        </is>
      </c>
      <c r="F48" s="2" t="inlineStr">
        <is>
          <t>10.3390/environments8080080</t>
        </is>
      </c>
      <c r="G48" s="2" t="inlineStr">
        <is>
          <t>2025发布版/2024指标年JCR导出：期刊全名、ISSN/eISSN、全部Category、JIF Quartile、JIF Rank、数据年份、导出日期；类型疑点需题名页/正式载体说明</t>
        </is>
      </c>
      <c r="H48" s="2" t="inlineStr">
        <is>
          <t>original_files/R06744/evidence/source_evidence__26a0785475a33cde.html; original_files/R06744/fulltext/fulltext__published__f0e1e40d3fdab816.pdf</t>
        </is>
      </c>
    </row>
    <row r="49" ht="48" customHeight="1">
      <c r="A49" s="3" t="inlineStr">
        <is>
          <t>R07364</t>
        </is>
      </c>
      <c r="B49" s="3" t="inlineStr">
        <is>
          <t>A critical review of prospects and operational challenges of microaeration and iron dosing for in-situ biogas desulfurization</t>
        </is>
      </c>
      <c r="C49" s="3" t="inlineStr">
        <is>
          <t>JCR分区/期刊身份</t>
        </is>
      </c>
      <c r="D49" s="3" t="inlineStr">
        <is>
          <t>2024指标年JCR分区未核实；空白不能当非Q1。需要2025发布版/2024指标年的JCR全部学科导出。</t>
        </is>
      </c>
      <c r="E49" s="3" t="inlineStr">
        <is>
          <t>Bioresource Technology Reports</t>
        </is>
      </c>
      <c r="F49" s="3" t="inlineStr">
        <is>
          <t>10.1016/j.biteb.2022.101265</t>
        </is>
      </c>
      <c r="G49" s="3" t="inlineStr">
        <is>
          <t>2025发布版/2024指标年JCR导出：期刊全名、ISSN/eISSN、全部Category、JIF Quartile、JIF Rank、数据年份、导出日期；类型疑点需题名页/正式载体说明</t>
        </is>
      </c>
      <c r="H49" s="3" t="inlineStr">
        <is>
          <t>original_files/R07364/fulltext/fulltext__published__6144fb91fc385efc.pdf</t>
        </is>
      </c>
    </row>
    <row r="50" ht="48" customHeight="1">
      <c r="A50" s="2" t="inlineStr">
        <is>
          <t>R08380</t>
        </is>
      </c>
      <c r="B50" s="2" t="inlineStr">
        <is>
          <t>The Measurement, Application, and Effect of Oxygen in Microbial Fermentations: Focusing on Methane and Carboxylate Production</t>
        </is>
      </c>
      <c r="C50" s="2" t="inlineStr">
        <is>
          <t>JCR分区/期刊身份</t>
        </is>
      </c>
      <c r="D50" s="2" t="inlineStr">
        <is>
          <t>2024指标年JCR分区未核实；空白不能当非Q1。需要2025发布版/2024指标年的JCR全部学科导出。</t>
        </is>
      </c>
      <c r="E50" s="2" t="inlineStr">
        <is>
          <t>Fermentation</t>
        </is>
      </c>
      <c r="F50" s="2" t="inlineStr">
        <is>
          <t>10.3390/fermentation8040138</t>
        </is>
      </c>
      <c r="G50" s="2" t="inlineStr">
        <is>
          <t>2025发布版/2024指标年JCR导出：期刊全名、ISSN/eISSN、全部Category、JIF Quartile、JIF Rank、数据年份、导出日期；类型疑点需题名页/正式载体说明</t>
        </is>
      </c>
      <c r="H50" s="2" t="inlineStr">
        <is>
          <t>original_files/R08380/fulltext/fulltext__published__a702e1d8d857a6ff.pdf; original_files/R08380/evidence/source_evidence__f922594780c5f860.html</t>
        </is>
      </c>
    </row>
    <row r="51" ht="48" customHeight="1">
      <c r="A51" s="3" t="inlineStr">
        <is>
          <t>R08554</t>
        </is>
      </c>
      <c r="B51" s="3" t="inlineStr">
        <is>
          <t>ANALYSIS AND EVALUATION OF THE BIOGAS PURIFICATION TECHNOLOGIES FROM H2S</t>
        </is>
      </c>
      <c r="C51" s="3" t="inlineStr">
        <is>
          <t>JCR分区/期刊身份</t>
        </is>
      </c>
      <c r="D51" s="3" t="inlineStr">
        <is>
          <t>2024指标年JCR分区未核实；空白不能当非Q1。需要2025发布版/2024指标年的JCR全部学科导出。</t>
        </is>
      </c>
      <c r="E51" s="3" t="inlineStr">
        <is>
          <t>Mokslas - Lietuvos ateitis</t>
        </is>
      </c>
      <c r="F51" s="3" t="inlineStr">
        <is>
          <t>10.3846/mla.2023.17242</t>
        </is>
      </c>
      <c r="G51" s="3" t="inlineStr">
        <is>
          <t>2025发布版/2024指标年JCR导出：期刊全名、ISSN/eISSN、全部Category、JIF Quartile、JIF Rank、数据年份、导出日期；类型疑点需题名页/正式载体说明</t>
        </is>
      </c>
      <c r="H51" s="3" t="inlineStr">
        <is>
          <t>original_files/R08554/fulltext/fulltext__published__430c90e71cfcd49a.pdf; original_files/R08554/evidence/source_evidence__da5e35b1ee181ce1.html</t>
        </is>
      </c>
    </row>
    <row r="52" ht="48" customHeight="1">
      <c r="A52" s="2" t="inlineStr">
        <is>
          <t>R08646</t>
        </is>
      </c>
      <c r="B52" s="2" t="inlineStr">
        <is>
          <t>Approaches to mitigation of hydrogen sulfide during anaerobic digestion process – A review</t>
        </is>
      </c>
      <c r="C52" s="2" t="inlineStr">
        <is>
          <t>JCR分区/期刊身份</t>
        </is>
      </c>
      <c r="D52" s="2" t="inlineStr">
        <is>
          <t>2024指标年JCR分区未核实；空白不能当非Q1。需要2025发布版/2024指标年的JCR全部学科导出。</t>
        </is>
      </c>
      <c r="E52" s="2" t="inlineStr">
        <is>
          <t>Heliyon</t>
        </is>
      </c>
      <c r="F52" s="2" t="inlineStr">
        <is>
          <t>10.1016/j.heliyon.2023.e19768</t>
        </is>
      </c>
      <c r="G52" s="2" t="inlineStr">
        <is>
          <t>2025发布版/2024指标年JCR导出：期刊全名、ISSN/eISSN、全部Category、JIF Quartile、JIF Rank、数据年份、导出日期；类型疑点需题名页/正式载体说明</t>
        </is>
      </c>
      <c r="H52" s="2" t="inlineStr">
        <is>
          <t>original_files/R08646/fulltext/fulltext__published__7df5523334e7d1bb.pdf; original_files/R08646/evidence/source_evidence__c7b723e8020f6582.xml; original_files/R08646/supplementary/supplementary__cfda7e29b12b9784.docx</t>
        </is>
      </c>
    </row>
    <row r="53" ht="48" customHeight="1">
      <c r="A53" s="3" t="inlineStr">
        <is>
          <t>R09682</t>
        </is>
      </c>
      <c r="B53" s="3" t="inlineStr">
        <is>
          <t>A Comprehensive Review of the Strategies to Improve Anaerobic Digestion: Their Mechanism and Digestion Performance</t>
        </is>
      </c>
      <c r="C53" s="3" t="inlineStr">
        <is>
          <t>JCR分区/期刊身份</t>
        </is>
      </c>
      <c r="D53" s="3" t="inlineStr">
        <is>
          <t>2024指标年JCR分区未核实；空白不能当非Q1。需要2025发布版/2024指标年的JCR全部学科导出。</t>
        </is>
      </c>
      <c r="E53" s="3" t="inlineStr">
        <is>
          <t>Methane</t>
        </is>
      </c>
      <c r="F53" s="3" t="inlineStr">
        <is>
          <t>10.3390/methane3020014</t>
        </is>
      </c>
      <c r="G53" s="3" t="inlineStr">
        <is>
          <t>2025发布版/2024指标年JCR导出：期刊全名、ISSN/eISSN、全部Category、JIF Quartile、JIF Rank、数据年份、导出日期；类型疑点需题名页/正式载体说明</t>
        </is>
      </c>
      <c r="H53" s="3" t="inlineStr">
        <is>
          <t>original_files/R09682/evidence/source_evidence__a6c465a4fa392219.html; original_files/R09682/fulltext/fulltext__published__b986126ef47edf9a.pdf</t>
        </is>
      </c>
    </row>
    <row r="54" ht="48" customHeight="1">
      <c r="A54" s="2" t="inlineStr">
        <is>
          <t>R09804</t>
        </is>
      </c>
      <c r="B54" s="2" t="inlineStr">
        <is>
          <t>Anaerobic digestion of process water from hydrothermal treatment processes: a review of inhibitors and detoxification approaches</t>
        </is>
      </c>
      <c r="C54" s="2" t="inlineStr">
        <is>
          <t>JCR分区/期刊身份</t>
        </is>
      </c>
      <c r="D54" s="2" t="inlineStr">
        <is>
          <t>2024指标年JCR分区未核实；空白不能当非Q1。需要2025发布版/2024指标年的JCR全部学科导出。</t>
        </is>
      </c>
      <c r="E54" s="2" t="inlineStr">
        <is>
          <t>Bioresources and Bioprocessing</t>
        </is>
      </c>
      <c r="F54" s="2" t="inlineStr">
        <is>
          <t>10.1186/s40643-024-00756-6</t>
        </is>
      </c>
      <c r="G54" s="2" t="inlineStr">
        <is>
          <t>2025发布版/2024指标年JCR导出：期刊全名、ISSN/eISSN、全部Category、JIF Quartile、JIF Rank、数据年份、导出日期；类型疑点需题名页/正式载体说明</t>
        </is>
      </c>
      <c r="H54" s="2" t="inlineStr">
        <is>
          <t>original_files/R09804/evidence/source_evidence__2ca7af24c486ae9e.xml; original_files/R09804/fulltext/fulltext__published__b3cc83d613ad3c36.pdf</t>
        </is>
      </c>
    </row>
    <row r="55" ht="48" customHeight="1">
      <c r="A55" s="3" t="inlineStr">
        <is>
          <t>R10894</t>
        </is>
      </c>
      <c r="B55" s="3" t="inlineStr">
        <is>
          <t>The effects of different pretreatment technologies on microbial community in anaerobic digestion process: A systematic review</t>
        </is>
      </c>
      <c r="C55" s="3" t="inlineStr">
        <is>
          <t>JCR分区/期刊身份</t>
        </is>
      </c>
      <c r="D55" s="3" t="inlineStr">
        <is>
          <t>2024指标年JCR分区未核实；空白不能当非Q1。需要2025发布版/2024指标年的JCR全部学科导出。</t>
        </is>
      </c>
      <c r="E55" s="3" t="inlineStr">
        <is>
          <t>Journal of Environmental Health Science and Engineering</t>
        </is>
      </c>
      <c r="F55" s="3" t="inlineStr">
        <is>
          <t>10.1007/s40201-024-00917-x</t>
        </is>
      </c>
      <c r="G55" s="3" t="inlineStr">
        <is>
          <t>2025发布版/2024指标年JCR导出：期刊全名、ISSN/eISSN、全部Category、JIF Quartile、JIF Rank、数据年份、导出日期；类型疑点需题名页/正式载体说明</t>
        </is>
      </c>
      <c r="H55" s="3" t="inlineStr">
        <is>
          <t>original_files/R10894/fulltext/fulltext__published__f9caf3b730e23f0d.pdf</t>
        </is>
      </c>
    </row>
    <row r="56" ht="48" customHeight="1">
      <c r="A56" s="2" t="inlineStr">
        <is>
          <t>R11503</t>
        </is>
      </c>
      <c r="B56" s="2" t="inlineStr">
        <is>
          <t>Enhancing Anaerobic Digestion of Agricultural By-Products: Insights and Future Directions in Microaeration</t>
        </is>
      </c>
      <c r="C56" s="2" t="inlineStr">
        <is>
          <t>JCR分区/期刊身份</t>
        </is>
      </c>
      <c r="D56" s="2" t="inlineStr">
        <is>
          <t>2024指标年JCR分区未核实；空白不能当非Q1。需要2025发布版/2024指标年的JCR全部学科导出。</t>
        </is>
      </c>
      <c r="E56" s="2" t="inlineStr">
        <is>
          <t>Bioengineering</t>
        </is>
      </c>
      <c r="F56" s="2" t="inlineStr">
        <is>
          <t>10.3390/bioengineering12101117</t>
        </is>
      </c>
      <c r="G56" s="2" t="inlineStr">
        <is>
          <t>2025发布版/2024指标年JCR导出：期刊全名、ISSN/eISSN、全部Category、JIF Quartile、JIF Rank、数据年份、导出日期；类型疑点需题名页/正式载体说明</t>
        </is>
      </c>
      <c r="H56" s="2" t="inlineStr">
        <is>
          <t>original_files/R11503/fulltext/fulltext__published__1cad4ffe56ebb806.pdf; original_files/R11503/evidence/source_evidence__4002d57be59c215c.xml</t>
        </is>
      </c>
    </row>
    <row r="57" ht="48" customHeight="1">
      <c r="A57" s="3" t="inlineStr">
        <is>
          <t>R00273</t>
        </is>
      </c>
      <c r="B57" s="3" t="inlineStr">
        <is>
          <t>Management of hydrogen sulfide in anaerobic digestion of enzyme pretreated marine macro-algae</t>
        </is>
      </c>
      <c r="C57" s="3" t="inlineStr">
        <is>
          <t>文献类型</t>
        </is>
      </c>
      <c r="D57" s="3" t="inlineStr">
        <is>
          <t>期刊/会议或其他载体身份缺少足够凭据，单列待核实，不混入期刊论文分母 | 非目标期刊论文或类型待核实，不进入JCR分母</t>
        </is>
      </c>
      <c r="E57" s="3" t="inlineStr">
        <is>
          <t>Lund University Publications (Lund University)</t>
        </is>
      </c>
      <c r="F57" s="3" t="inlineStr"/>
      <c r="G57" s="3" t="inlineStr">
        <is>
          <t>2025发布版/2024指标年JCR导出：期刊全名、ISSN/eISSN、全部Category、JIF Quartile、JIF Rank、数据年份、导出日期；类型疑点需题名页/正式载体说明</t>
        </is>
      </c>
      <c r="H57" s="3" t="inlineStr">
        <is>
          <t>original_files/R00273/fulltext/fulltext__thesis__2059ae72be92bd0e.pdf; original_files/R00273/evidence/source_evidence__3079c58846ae956d.html</t>
        </is>
      </c>
    </row>
    <row r="58" ht="48" customHeight="1">
      <c r="A58" s="2" t="inlineStr">
        <is>
          <t>R00363</t>
        </is>
      </c>
      <c r="B58" s="2" t="inlineStr">
        <is>
          <t>Production of High Calorific Biogas from Organic Wastewater and Enhancement of Anaerobic Digestion</t>
        </is>
      </c>
      <c r="C58" s="2" t="inlineStr">
        <is>
          <t>文献类型</t>
        </is>
      </c>
      <c r="D58" s="2" t="inlineStr">
        <is>
          <t>期刊/会议或其他载体身份缺少足够凭据，单列待核实，不混入期刊论文分母 | 非目标期刊论文或类型待核实，不进入JCR分母</t>
        </is>
      </c>
      <c r="E58" s="2" t="inlineStr">
        <is>
          <t>Advanced Materials Research</t>
        </is>
      </c>
      <c r="F58" s="2" t="inlineStr">
        <is>
          <t>10.4028/www.scientific.net/amr.550-553.522</t>
        </is>
      </c>
      <c r="G58" s="2" t="inlineStr">
        <is>
          <t>2025发布版/2024指标年JCR导出：期刊全名、ISSN/eISSN、全部Category、JIF Quartile、JIF Rank、数据年份、导出日期；类型疑点需题名页/正式载体说明</t>
        </is>
      </c>
      <c r="H58" s="2" t="inlineStr"/>
    </row>
    <row r="59" ht="48" customHeight="1">
      <c r="A59" s="3" t="inlineStr">
        <is>
          <t>R00516</t>
        </is>
      </c>
      <c r="B59" s="3" t="inlineStr">
        <is>
          <t>Aeration and pH Combined Regulation for the Phase Separation of Anaerobic Digestion</t>
        </is>
      </c>
      <c r="C59" s="3" t="inlineStr">
        <is>
          <t>JCR分区/期刊身份</t>
        </is>
      </c>
      <c r="D59" s="3" t="inlineStr">
        <is>
          <t>2024指标年JCR分区未核实；空白不能当非Q1。需要2025发布版/2024指标年的JCR全部学科导出。</t>
        </is>
      </c>
      <c r="E59" s="3" t="inlineStr">
        <is>
          <t>China Biogas</t>
        </is>
      </c>
      <c r="F59" s="3" t="inlineStr"/>
      <c r="G59" s="3" t="inlineStr">
        <is>
          <t>2025发布版/2024指标年JCR导出：期刊全名、ISSN/eISSN、全部Category、JIF Quartile、JIF Rank、数据年份、导出日期；类型疑点需题名页/正式载体说明</t>
        </is>
      </c>
      <c r="H59" s="3" t="inlineStr"/>
    </row>
    <row r="60" ht="48" customHeight="1">
      <c r="A60" s="2" t="inlineStr">
        <is>
          <t>R00608</t>
        </is>
      </c>
      <c r="B60" s="2" t="inlineStr">
        <is>
          <t>Comparative Study of Micro-aerobic and Anaerobic Hydrolysis Acidifications of Petrochemical Wastewater</t>
        </is>
      </c>
      <c r="C60" s="2" t="inlineStr">
        <is>
          <t>JCR分区/期刊身份</t>
        </is>
      </c>
      <c r="D60" s="2" t="inlineStr">
        <is>
          <t>扫描PDF p.1：《环境工程技术学报》3(5),386–390；doi:10.3969/j.issn.1674-991X.2013.05.060，原DOI为空未直接覆盖 | 2024指标年JCR分区未核实；空白不能当非Q1。需要2025发布版/2024指标年的JCR全部学科导出。</t>
        </is>
      </c>
      <c r="E60" s="2" t="inlineStr">
        <is>
          <t>Journal of Environmental Engineering Technology</t>
        </is>
      </c>
      <c r="F60" s="2" t="inlineStr"/>
      <c r="G60" s="2" t="inlineStr">
        <is>
          <t>2025发布版/2024指标年JCR导出：期刊全名、ISSN/eISSN、全部Category、JIF Quartile、JIF Rank、数据年份、导出日期；类型疑点需题名页/正式载体说明</t>
        </is>
      </c>
      <c r="H60" s="2" t="inlineStr">
        <is>
          <t>original_files/R00608/fulltext/fulltext__version_unverified__e2a20257638dab74.pdf</t>
        </is>
      </c>
    </row>
    <row r="61" ht="48" customHeight="1">
      <c r="A61" s="3" t="inlineStr">
        <is>
          <t>R00888</t>
        </is>
      </c>
      <c r="B61" s="3" t="inlineStr">
        <is>
          <t>Performance evaluation of oxygen and air for the microaerobic removal of hydrogen sulphide in biogas from cow manure anaerobic digestion.</t>
        </is>
      </c>
      <c r="C61" s="3" t="inlineStr">
        <is>
          <t>JCR分区/期刊身份</t>
        </is>
      </c>
      <c r="D61" s="3" t="inlineStr">
        <is>
          <t>2024指标年JCR分区未核实；空白不能当非Q1。需要2025发布版/2024指标年的JCR全部学科导出。</t>
        </is>
      </c>
      <c r="E61" s="3" t="inlineStr">
        <is>
          <t>Journal of Pure and Applied Microbiology</t>
        </is>
      </c>
      <c r="F61" s="3" t="inlineStr"/>
      <c r="G61" s="3" t="inlineStr">
        <is>
          <t>2025发布版/2024指标年JCR导出：期刊全名、ISSN/eISSN、全部Category、JIF Quartile、JIF Rank、数据年份、导出日期；类型疑点需题名页/正式载体说明</t>
        </is>
      </c>
      <c r="H61" s="3" t="inlineStr">
        <is>
          <t>original_files/R00888/fulltext/fulltext__version_unverified__fa65f300505c073a.pdf</t>
        </is>
      </c>
    </row>
    <row r="62" ht="48" customHeight="1">
      <c r="A62" s="2" t="inlineStr">
        <is>
          <t>R01071</t>
        </is>
      </c>
      <c r="B62" s="2" t="inlineStr">
        <is>
          <t>An Approach to Enhance Biomethanation by Thermophilic Aerobic Digestion of Combined Vegetable Waste.</t>
        </is>
      </c>
      <c r="C62" s="2" t="inlineStr">
        <is>
          <t>JCR分区/期刊身份</t>
        </is>
      </c>
      <c r="D62" s="2" t="inlineStr">
        <is>
          <t>2024指标年JCR分区未核实；空白不能当非Q1。需要2025发布版/2024指标年的JCR全部学科导出。</t>
        </is>
      </c>
      <c r="E62" s="2" t="inlineStr">
        <is>
          <t>IOSR Journal of Environmental Science, Toxicology and Food Technology</t>
        </is>
      </c>
      <c r="F62" s="2" t="inlineStr">
        <is>
          <t>10.9790/2402-08120107</t>
        </is>
      </c>
      <c r="G62" s="2" t="inlineStr">
        <is>
          <t>2025发布版/2024指标年JCR导出：期刊全名、ISSN/eISSN、全部Category、JIF Quartile、JIF Rank、数据年份、导出日期；类型疑点需题名页/正式载体说明</t>
        </is>
      </c>
      <c r="H62" s="2" t="inlineStr"/>
    </row>
    <row r="63" ht="48" customHeight="1">
      <c r="A63" s="3" t="inlineStr">
        <is>
          <t>R01238</t>
        </is>
      </c>
      <c r="B63" s="3" t="inlineStr">
        <is>
          <t>Enhancement of Anaerobic Digestion of Cellulosic Fraction in Cassava Production Wastewater by Microaeration</t>
        </is>
      </c>
      <c r="C63" s="3" t="inlineStr">
        <is>
          <t>JCR分区/期刊身份</t>
        </is>
      </c>
      <c r="D63" s="3" t="inlineStr">
        <is>
          <t>既有DOI未由Crossref返回可用元数据（可能为DataCite/JaLC等）；不据此否认记录身份 | 2024指标年JCR分区未核实；空白不能当非Q1。需要2025发布版/2024指标年的JCR全部学科导出。</t>
        </is>
      </c>
      <c r="E63" s="3" t="inlineStr">
        <is>
          <t>Chemical engineering transactions</t>
        </is>
      </c>
      <c r="F63" s="3" t="inlineStr">
        <is>
          <t>10.3303/cet1439093</t>
        </is>
      </c>
      <c r="G63" s="3" t="inlineStr">
        <is>
          <t>2025发布版/2024指标年JCR导出：期刊全名、ISSN/eISSN、全部Category、JIF Quartile、JIF Rank、数据年份、导出日期；类型疑点需题名页/正式载体说明</t>
        </is>
      </c>
      <c r="H63" s="3" t="inlineStr">
        <is>
          <t>original_files/R01238/fulltext/fulltext__published__61aa93be627c8612.pdf</t>
        </is>
      </c>
    </row>
    <row r="64" ht="48" customHeight="1">
      <c r="A64" s="2" t="inlineStr">
        <is>
          <t>R01680</t>
        </is>
      </c>
      <c r="B64" s="2" t="inlineStr">
        <is>
          <t>Biogas Recovery from MSW using Different Aeration Pretreatments</t>
        </is>
      </c>
      <c r="C64" s="2" t="inlineStr">
        <is>
          <t>文献类型</t>
        </is>
      </c>
      <c r="D64" s="2" t="inlineStr">
        <is>
          <t>期刊/会议或其他载体身份缺少足够凭据，单列待核实，不混入期刊论文分母 | 非目标期刊论文或类型待核实，不进入JCR分母</t>
        </is>
      </c>
      <c r="E64" s="2" t="inlineStr"/>
      <c r="F64" s="2" t="inlineStr"/>
      <c r="G64" s="2" t="inlineStr">
        <is>
          <t>2025发布版/2024指标年JCR导出：期刊全名、ISSN/eISSN、全部Category、JIF Quartile、JIF Rank、数据年份、导出日期；类型疑点需题名页/正式载体说明</t>
        </is>
      </c>
      <c r="H64" s="2" t="inlineStr"/>
    </row>
    <row r="65" ht="48" customHeight="1">
      <c r="A65" s="3" t="inlineStr">
        <is>
          <t>R01805</t>
        </is>
      </c>
      <c r="B65" s="3" t="inlineStr">
        <is>
          <t>Effect of oxygen supply at initial stage of anaerobic digestion on biogas production from corn straw</t>
        </is>
      </c>
      <c r="C65" s="3" t="inlineStr">
        <is>
          <t>文献类型</t>
        </is>
      </c>
      <c r="D65" s="3" t="inlineStr">
        <is>
          <t>期刊/会议或其他载体身份缺少足够凭据，单列待核实，不混入期刊论文分母 | 非目标期刊论文或类型待核实，不进入JCR分母</t>
        </is>
      </c>
      <c r="E65" s="3" t="inlineStr"/>
      <c r="F65" s="3" t="inlineStr"/>
      <c r="G65" s="3" t="inlineStr">
        <is>
          <t>2025发布版/2024指标年JCR导出：期刊全名、ISSN/eISSN、全部Category、JIF Quartile、JIF Rank、数据年份、导出日期；类型疑点需题名页/正式载体说明</t>
        </is>
      </c>
      <c r="H65" s="3" t="inlineStr"/>
    </row>
    <row r="66" ht="48" customHeight="1">
      <c r="A66" s="2" t="inlineStr">
        <is>
          <t>R02370</t>
        </is>
      </c>
      <c r="B66" s="2" t="inlineStr">
        <is>
          <t>Change of the Digested Sludge Quality at Microaerobic Digestion</t>
        </is>
      </c>
      <c r="C66" s="2" t="inlineStr">
        <is>
          <t>JCR分区/期刊身份</t>
        </is>
      </c>
      <c r="D66" s="2" t="inlineStr">
        <is>
          <t>PDF p.1期刊页脚显示Vol.8, No.2 April 2011，与原年份存在差异，范围分类不因年份核验自动改变 | 2024指标年JCR分区未核实；空白不能当非Q1。需要2025发布版/2024指标年的JCR全部学科导出。</t>
        </is>
      </c>
      <c r="E66" s="2" t="inlineStr">
        <is>
          <t>Journal of Residuals Science &amp; Technology</t>
        </is>
      </c>
      <c r="F66" s="2" t="inlineStr"/>
      <c r="G66" s="2" t="inlineStr">
        <is>
          <t>2025发布版/2024指标年JCR导出：期刊全名、ISSN/eISSN、全部Category、JIF Quartile、JIF Rank、数据年份、导出日期；类型疑点需题名页/正式载体说明</t>
        </is>
      </c>
      <c r="H66" s="2" t="inlineStr">
        <is>
          <t>original_files/R02370/fulltext/fulltext__published__534deaaf21ea8112.pdf</t>
        </is>
      </c>
    </row>
    <row r="67" ht="48" customHeight="1">
      <c r="A67" s="3" t="inlineStr">
        <is>
          <t>R03367</t>
        </is>
      </c>
      <c r="B67" s="3" t="inlineStr">
        <is>
          <t>Microaeration reduces hydrogen sulfide in biogas</t>
        </is>
      </c>
      <c r="C67" s="3" t="inlineStr">
        <is>
          <t>JCR分区/期刊身份</t>
        </is>
      </c>
      <c r="D67" s="3" t="inlineStr">
        <is>
          <t>2024指标年JCR分区未核实；空白不能当非Q1。需要2025发布版/2024指标年的JCR全部学科导出。</t>
        </is>
      </c>
      <c r="E67" s="3" t="inlineStr">
        <is>
          <t>Biocycle</t>
        </is>
      </c>
      <c r="F67" s="3" t="inlineStr"/>
      <c r="G67" s="3" t="inlineStr">
        <is>
          <t>2025发布版/2024指标年JCR导出：期刊全名、ISSN/eISSN、全部Category、JIF Quartile、JIF Rank、数据年份、导出日期；类型疑点需题名页/正式载体说明</t>
        </is>
      </c>
      <c r="H67" s="3" t="inlineStr"/>
    </row>
    <row r="68" ht="48" customHeight="1">
      <c r="A68" s="2" t="inlineStr">
        <is>
          <t>R04646</t>
        </is>
      </c>
      <c r="B68" s="2" t="inlineStr">
        <is>
          <t>Coupling intermittent micro-aeration to anaerobic digestion improves tetra-azo dye Direct Black 22 treatment in sequencing batch reactors</t>
        </is>
      </c>
      <c r="C68" s="2" t="inlineStr">
        <is>
          <t>JCR分区/期刊身份</t>
        </is>
      </c>
      <c r="D68" s="2" t="inlineStr">
        <is>
          <t>2024指标年JCR分区未核实；空白不能当非Q1。需要2025发布版/2024指标年的JCR全部学科导出。</t>
        </is>
      </c>
      <c r="E68" s="2" t="inlineStr">
        <is>
          <t>Chemical Engineering Research and Design</t>
        </is>
      </c>
      <c r="F68" s="2" t="inlineStr">
        <is>
          <t>10.1016/j.cherd.2019.04.020</t>
        </is>
      </c>
      <c r="G68" s="2" t="inlineStr">
        <is>
          <t>2025发布版/2024指标年JCR导出：期刊全名、ISSN/eISSN、全部Category、JIF Quartile、JIF Rank、数据年份、导出日期；类型疑点需题名页/正式载体说明</t>
        </is>
      </c>
      <c r="H68" s="2" t="inlineStr">
        <is>
          <t>original_files/R04646/fulltext/fulltext__published__e1d4e0f3c97d519f.pdf</t>
        </is>
      </c>
    </row>
    <row r="69" ht="48" customHeight="1">
      <c r="A69" s="3" t="inlineStr">
        <is>
          <t>R04796</t>
        </is>
      </c>
      <c r="B69" s="3" t="inlineStr">
        <is>
          <t>Evaluation of Hydrogen Sulfide Scrubbing Systems for Anaerobic Digesters on Two U.S. Dairy Farms</t>
        </is>
      </c>
      <c r="C69" s="3" t="inlineStr">
        <is>
          <t>JCR分区/期刊身份</t>
        </is>
      </c>
      <c r="D69" s="3" t="inlineStr">
        <is>
          <t>2024指标年JCR分区未核实；空白不能当非Q1。需要2025发布版/2024指标年的JCR全部学科导出。</t>
        </is>
      </c>
      <c r="E69" s="3" t="inlineStr">
        <is>
          <t>Energies</t>
        </is>
      </c>
      <c r="F69" s="3" t="inlineStr">
        <is>
          <t>10.3390/en12244605</t>
        </is>
      </c>
      <c r="G69" s="3" t="inlineStr">
        <is>
          <t>2025发布版/2024指标年JCR导出：期刊全名、ISSN/eISSN、全部Category、JIF Quartile、JIF Rank、数据年份、导出日期；类型疑点需题名页/正式载体说明</t>
        </is>
      </c>
      <c r="H69" s="3" t="inlineStr">
        <is>
          <t>original_files/R04796/evidence/source_evidence__27a9ab55f7ca4ae1.html; original_files/R04796/fulltext/fulltext__published__6844f12fe56c174d.pdf</t>
        </is>
      </c>
    </row>
    <row r="70" ht="48" customHeight="1">
      <c r="A70" s="2" t="inlineStr">
        <is>
          <t>R05066</t>
        </is>
      </c>
      <c r="B70" s="2" t="inlineStr">
        <is>
          <t>Performance of microaerobic granular sludge system for pentachlorophenol (PCP) degradation responding to PCP loading shock</t>
        </is>
      </c>
      <c r="C70" s="2" t="inlineStr">
        <is>
          <t>JCR分区/期刊身份</t>
        </is>
      </c>
      <c r="D70" s="2" t="inlineStr">
        <is>
          <t>2024指标年JCR分区未核实；空白不能当非Q1。需要2025发布版/2024指标年的JCR全部学科导出。</t>
        </is>
      </c>
      <c r="E70" s="2" t="inlineStr">
        <is>
          <t>Nordic Pulp &amp; Paper Research Journal</t>
        </is>
      </c>
      <c r="F70" s="2" t="inlineStr">
        <is>
          <t>10.1515/npprj-2018-0069</t>
        </is>
      </c>
      <c r="G70" s="2" t="inlineStr">
        <is>
          <t>2025发布版/2024指标年JCR导出：期刊全名、ISSN/eISSN、全部Category、JIF Quartile、JIF Rank、数据年份、导出日期；类型疑点需题名页/正式载体说明</t>
        </is>
      </c>
      <c r="H70" s="2" t="inlineStr"/>
    </row>
    <row r="71" ht="48" customHeight="1">
      <c r="A71" s="3" t="inlineStr">
        <is>
          <t>R05213</t>
        </is>
      </c>
      <c r="B71" s="3" t="inlineStr">
        <is>
          <t>The use of lytic polysaccharide monooxygenases in anaerobic digestion of lignocellulosic materials</t>
        </is>
      </c>
      <c r="C71" s="3" t="inlineStr">
        <is>
          <t>JCR分区/期刊身份</t>
        </is>
      </c>
      <c r="D71" s="3" t="inlineStr">
        <is>
          <t>2024指标年JCR分区未核实；空白不能当非Q1。需要2025发布版/2024指标年的JCR全部学科导出。</t>
        </is>
      </c>
      <c r="E71" s="3" t="inlineStr">
        <is>
          <t>Biotechnology for Biofuels</t>
        </is>
      </c>
      <c r="F71" s="3" t="inlineStr">
        <is>
          <t>10.1186/s13068-019-1611-8</t>
        </is>
      </c>
      <c r="G71" s="3" t="inlineStr">
        <is>
          <t>2025发布版/2024指标年JCR导出：期刊全名、ISSN/eISSN、全部Category、JIF Quartile、JIF Rank、数据年份、导出日期；类型疑点需题名页/正式载体说明</t>
        </is>
      </c>
      <c r="H71" s="3" t="inlineStr">
        <is>
          <t>original_files/R05213/evidence/source_evidence__17894ab410001846.xml; original_files/R05213/supplementary/supplementary__2a8184a309e33621.docx; original_files/R05213/fulltext/fulltext__published__bcab84a15ce93062.pdf</t>
        </is>
      </c>
    </row>
    <row r="72" ht="48" customHeight="1">
      <c r="A72" s="2" t="inlineStr">
        <is>
          <t>R06036</t>
        </is>
      </c>
      <c r="B72" s="2" t="inlineStr">
        <is>
          <t>Rapid hydrogen generation from cotton wastes by mean of dark fermentation</t>
        </is>
      </c>
      <c r="C72" s="2" t="inlineStr">
        <is>
          <t>JCR分区/期刊身份</t>
        </is>
      </c>
      <c r="D72" s="2" t="inlineStr">
        <is>
          <t>2024指标年JCR分区未核实；空白不能当非Q1。需要2025发布版/2024指标年的JCR全部学科导出。</t>
        </is>
      </c>
      <c r="E72" s="2" t="inlineStr">
        <is>
          <t>SN Applied Sciences</t>
        </is>
      </c>
      <c r="F72" s="2" t="inlineStr">
        <is>
          <t>10.1007/s42452-020-03247-3</t>
        </is>
      </c>
      <c r="G72" s="2" t="inlineStr">
        <is>
          <t>2025发布版/2024指标年JCR导出：期刊全名、ISSN/eISSN、全部Category、JIF Quartile、JIF Rank、数据年份、导出日期；类型疑点需题名页/正式载体说明</t>
        </is>
      </c>
      <c r="H72" s="2" t="inlineStr">
        <is>
          <t>original_files/R06036/fulltext/fulltext__published__0bdc7b19fdb70091.pdf</t>
        </is>
      </c>
    </row>
    <row r="73" ht="48" customHeight="1">
      <c r="A73" s="3" t="inlineStr">
        <is>
          <t>R06674</t>
        </is>
      </c>
      <c r="B73" s="3" t="inlineStr">
        <is>
          <t>Enhanced volatile fatty acids production from Napier grass(Pennisetum purpureum) using micro-aerated anaerobic culture</t>
        </is>
      </c>
      <c r="C73" s="3" t="inlineStr">
        <is>
          <t>JCR分区/期刊身份</t>
        </is>
      </c>
      <c r="D73" s="3" t="inlineStr">
        <is>
          <t>既有DOI未由Crossref返回可用元数据（可能为DataCite/JaLC等）；不据此否认记录身份 | PDF p.1：Songklanakarin J. Sci. Technol.43(6),1793–1799，原DOAJ字段为目录平台 | 2024指标年JCR分区未核实；空白不能当非Q1。需要2025发布版/2024指标年的JCR全部学科导出。</t>
        </is>
      </c>
      <c r="E73" s="3" t="inlineStr">
        <is>
          <t>Songklanakarin Journal of Science and Technology</t>
        </is>
      </c>
      <c r="F73" s="3" t="inlineStr">
        <is>
          <t>10.14456/sjst-psu.2021.235</t>
        </is>
      </c>
      <c r="G73" s="3" t="inlineStr">
        <is>
          <t>2025发布版/2024指标年JCR导出：期刊全名、ISSN/eISSN、全部Category、JIF Quartile、JIF Rank、数据年份、导出日期；类型疑点需题名页/正式载体说明</t>
        </is>
      </c>
      <c r="H73" s="3" t="inlineStr">
        <is>
          <t>original_files/R06674/fulltext/fulltext__version_unverified__c7efa201e3abc6fb.pdf</t>
        </is>
      </c>
    </row>
    <row r="74" ht="48" customHeight="1">
      <c r="A74" s="2" t="inlineStr">
        <is>
          <t>R06681</t>
        </is>
      </c>
      <c r="B74" s="2" t="inlineStr">
        <is>
          <t>Enhancing anaerobic digestion of agricultural residues by microaerobic conditions</t>
        </is>
      </c>
      <c r="C74" s="2" t="inlineStr">
        <is>
          <t>JCR分区/期刊身份</t>
        </is>
      </c>
      <c r="D74" s="2" t="inlineStr">
        <is>
          <t>2024指标年JCR分区未核实；空白不能当非Q1。需要2025发布版/2024指标年的JCR全部学科导出。</t>
        </is>
      </c>
      <c r="E74" s="2" t="inlineStr">
        <is>
          <t>Biomass Conversion and Biorefinery</t>
        </is>
      </c>
      <c r="F74" s="2" t="inlineStr">
        <is>
          <t>10.1007/s13399-019-00430-4</t>
        </is>
      </c>
      <c r="G74" s="2" t="inlineStr">
        <is>
          <t>2025发布版/2024指标年JCR导出：期刊全名、ISSN/eISSN、全部Category、JIF Quartile、JIF Rank、数据年份、导出日期；类型疑点需题名页/正式载体说明</t>
        </is>
      </c>
      <c r="H74" s="2" t="inlineStr">
        <is>
          <t>original_files/R06681/supplementary/supplementary__6d87338c9b3572e8.xlsx; original_files/R06681/supplementary/supplementary__ee3e5a378a23e173.docx; original_files/R06681/fulltext/fulltext__published__f7020ddfca4d31c1.pdf</t>
        </is>
      </c>
    </row>
    <row r="75" ht="48" customHeight="1">
      <c r="A75" s="3" t="inlineStr">
        <is>
          <t>R07033</t>
        </is>
      </c>
      <c r="B75" s="3" t="inlineStr">
        <is>
          <t>Part A: Advances in tools and techniques for estimating biogas production and treatment in anaerobic-based STPs Technical Note 3 - Biogas desulfurization by microaeration in UASB reactors</t>
        </is>
      </c>
      <c r="C75" s="3" t="inlineStr">
        <is>
          <t>JCR分区/期刊身份</t>
        </is>
      </c>
      <c r="D75" s="3" t="inlineStr">
        <is>
          <t>2024指标年JCR分区未核实；空白不能当非Q1。需要2025发布版/2024指标年的JCR全部学科导出。</t>
        </is>
      </c>
      <c r="E75" s="3" t="inlineStr">
        <is>
          <t>Cadernos Técnicos Engenharia Sanitária e Ambiental</t>
        </is>
      </c>
      <c r="F75" s="3" t="inlineStr">
        <is>
          <t>10.5327/276455760101005</t>
        </is>
      </c>
      <c r="G75" s="3" t="inlineStr">
        <is>
          <t>2025发布版/2024指标年JCR导出：期刊全名、ISSN/eISSN、全部Category、JIF Quartile、JIF Rank、数据年份、导出日期；类型疑点需题名页/正式载体说明</t>
        </is>
      </c>
      <c r="H75" s="3" t="inlineStr"/>
    </row>
    <row r="76" ht="48" customHeight="1">
      <c r="A76" s="2" t="inlineStr">
        <is>
          <t>R07105</t>
        </is>
      </c>
      <c r="B76" s="2" t="inlineStr">
        <is>
          <t>Recent advancements in nanobubble water technology and its application in energy recovery from organic solid wastes towards a greater environmental friendliness of anaerobic digestion system</t>
        </is>
      </c>
      <c r="C76" s="2" t="inlineStr">
        <is>
          <t>JCR分区/期刊身份</t>
        </is>
      </c>
      <c r="D76" s="2" t="inlineStr">
        <is>
          <t>2024指标年JCR分区未核实；空白不能当非Q1。需要2025发布版/2024指标年的JCR全部学科导出。</t>
        </is>
      </c>
      <c r="E76" s="2" t="inlineStr">
        <is>
          <t>Renewable and Sustainable Energy Reviews</t>
        </is>
      </c>
      <c r="F76" s="2" t="inlineStr">
        <is>
          <t>10.1016/j.rser.2021.111074</t>
        </is>
      </c>
      <c r="G76" s="2" t="inlineStr">
        <is>
          <t>2025发布版/2024指标年JCR导出：期刊全名、ISSN/eISSN、全部Category、JIF Quartile、JIF Rank、数据年份、导出日期；类型疑点需题名页/正式载体说明</t>
        </is>
      </c>
      <c r="H76" s="2" t="inlineStr">
        <is>
          <t>original_files/R07105/fulltext/fulltext__published__b9b8bcdeb6fe7b82.pdf</t>
        </is>
      </c>
    </row>
    <row r="77" ht="48" customHeight="1">
      <c r="A77" s="3" t="inlineStr">
        <is>
          <t>R08562</t>
        </is>
      </c>
      <c r="B77" s="3" t="inlineStr">
        <is>
          <t>Acidogenic Fermentation of Kitchen Waste for the Production of Volatile Fatty Acids: Bioaugmentation by Bacillus GIEC</t>
        </is>
      </c>
      <c r="C77" s="3" t="inlineStr">
        <is>
          <t>JCR分区/期刊身份</t>
        </is>
      </c>
      <c r="D77" s="3" t="inlineStr">
        <is>
          <t>2024指标年JCR分区未核实；空白不能当非Q1。需要2025发布版/2024指标年的JCR全部学科导出。</t>
        </is>
      </c>
      <c r="E77" s="3" t="inlineStr">
        <is>
          <t>Journal of Biobased Materials and Bioenergy</t>
        </is>
      </c>
      <c r="F77" s="3" t="inlineStr">
        <is>
          <t>10.1166/jbmb.2023.2329</t>
        </is>
      </c>
      <c r="G77" s="3" t="inlineStr">
        <is>
          <t>2025发布版/2024指标年JCR导出：期刊全名、ISSN/eISSN、全部Category、JIF Quartile、JIF Rank、数据年份、导出日期；类型疑点需题名页/正式载体说明</t>
        </is>
      </c>
      <c r="H77" s="3" t="inlineStr"/>
    </row>
    <row r="78" ht="48" customHeight="1">
      <c r="A78" s="2" t="inlineStr">
        <is>
          <t>R09230</t>
        </is>
      </c>
      <c r="B78" s="2" t="inlineStr">
        <is>
          <t>Microbial electrolysis cell simultaneously enhancing methanization and reducing hydrogen sulfide production in anaerobic digestion of sewage sludge</t>
        </is>
      </c>
      <c r="C78" s="2" t="inlineStr">
        <is>
          <t>JCR分区/期刊身份</t>
        </is>
      </c>
      <c r="D78" s="2" t="inlineStr">
        <is>
          <t>2024指标年JCR分区未核实；空白不能当非Q1。需要2025发布版/2024指标年的JCR全部学科导出。</t>
        </is>
      </c>
      <c r="E78" s="2" t="inlineStr">
        <is>
          <t>Chemosphere</t>
        </is>
      </c>
      <c r="F78" s="2" t="inlineStr">
        <is>
          <t>10.1016/j.chemosphere.2023.139445</t>
        </is>
      </c>
      <c r="G78" s="2" t="inlineStr">
        <is>
          <t>2025发布版/2024指标年JCR导出：期刊全名、ISSN/eISSN、全部Category、JIF Quartile、JIF Rank、数据年份、导出日期；类型疑点需题名页/正式载体说明</t>
        </is>
      </c>
      <c r="H78" s="2" t="inlineStr">
        <is>
          <t>original_files/R09230/fulltext/fulltext__published__14fc742c31a44270.pdf; original_files/R09230/supplementary/supplementary__9eb15b74ff187bb6.docx</t>
        </is>
      </c>
    </row>
    <row r="79" ht="48" customHeight="1">
      <c r="A79" s="3" t="inlineStr">
        <is>
          <t>R09240</t>
        </is>
      </c>
      <c r="B79" s="3" t="inlineStr">
        <is>
          <t>Microbubble Intensification of Bioprocessing</t>
        </is>
      </c>
      <c r="C79" s="3" t="inlineStr">
        <is>
          <t>JCR分区/期刊身份</t>
        </is>
      </c>
      <c r="D79" s="3" t="inlineStr">
        <is>
          <t>2024指标年JCR分区未核实；空白不能当非Q1。需要2025发布版/2024指标年的JCR全部学科导出。</t>
        </is>
      </c>
      <c r="E79" s="3" t="inlineStr">
        <is>
          <t>Johnson Matthey Technology Review</t>
        </is>
      </c>
      <c r="F79" s="3" t="inlineStr">
        <is>
          <t>10.1595/205651323x16778518231554</t>
        </is>
      </c>
      <c r="G79" s="3" t="inlineStr">
        <is>
          <t>2025发布版/2024指标年JCR导出：期刊全名、ISSN/eISSN、全部Category、JIF Quartile、JIF Rank、数据年份、导出日期；类型疑点需题名页/正式载体说明</t>
        </is>
      </c>
      <c r="H79" s="3" t="inlineStr">
        <is>
          <t>original_files/R09240/evidence/source_evidence__b1ca5efc1c1695ce.html; original_files/R09240/fulltext/fulltext__version_unverified__da8dbeb874b19b59.pdf</t>
        </is>
      </c>
    </row>
    <row r="80" ht="48" customHeight="1">
      <c r="A80" s="2" t="inlineStr">
        <is>
          <t>R09585</t>
        </is>
      </c>
      <c r="B80" s="2" t="inlineStr">
        <is>
          <t>Thermophilic Fungi as the Microbial Agents of Choice for the Industrial Co-Fermentation of Wood Wastes and Nitrogen-Rich Organic Wastes to Bio-Methane</t>
        </is>
      </c>
      <c r="C80" s="2" t="inlineStr">
        <is>
          <t>JCR分区/期刊身份</t>
        </is>
      </c>
      <c r="D80" s="2" t="inlineStr">
        <is>
          <t>2024指标年JCR分区未核实；空白不能当非Q1。需要2025发布版/2024指标年的JCR全部学科导出。</t>
        </is>
      </c>
      <c r="E80" s="2" t="inlineStr">
        <is>
          <t>Microorganisms</t>
        </is>
      </c>
      <c r="F80" s="2" t="inlineStr">
        <is>
          <t>10.3390/microorganisms11102600</t>
        </is>
      </c>
      <c r="G80" s="2" t="inlineStr">
        <is>
          <t>2025发布版/2024指标年JCR导出：期刊全名、ISSN/eISSN、全部Category、JIF Quartile、JIF Rank、数据年份、导出日期；类型疑点需题名页/正式载体说明</t>
        </is>
      </c>
      <c r="H80" s="2" t="inlineStr">
        <is>
          <t>original_files/R09585/evidence/source_evidence__a3430f38fa1652de.xml; original_files/R09585/fulltext/fulltext__published__b16e44cb7a1232c0.pdf</t>
        </is>
      </c>
    </row>
    <row r="81" ht="48" customHeight="1">
      <c r="A81" s="3" t="inlineStr">
        <is>
          <t>R10097</t>
        </is>
      </c>
      <c r="B81" s="3" t="inlineStr">
        <is>
          <t>Effect of thermal pretreatment and nanobubble addition water on methane production from cowpea hull anaerobic digestion</t>
        </is>
      </c>
      <c r="C81" s="3" t="inlineStr">
        <is>
          <t>JCR分区/期刊身份</t>
        </is>
      </c>
      <c r="D81" s="3" t="inlineStr">
        <is>
          <t>2024指标年JCR分区未核实；空白不能当非Q1。需要2025发布版/2024指标年的JCR全部学科导出。</t>
        </is>
      </c>
      <c r="E81" s="3" t="inlineStr">
        <is>
          <t>Research on Chemical Intermediates</t>
        </is>
      </c>
      <c r="F81" s="3" t="inlineStr">
        <is>
          <t>10.1007/s11164-023-05167-4</t>
        </is>
      </c>
      <c r="G81" s="3" t="inlineStr">
        <is>
          <t>2025发布版/2024指标年JCR导出：期刊全名、ISSN/eISSN、全部Category、JIF Quartile、JIF Rank、数据年份、导出日期；类型疑点需题名页/正式载体说明</t>
        </is>
      </c>
      <c r="H81" s="3" t="inlineStr">
        <is>
          <t>original_files/R10097/fulltext/fulltext__published__491b63375fcbafa6.pdf</t>
        </is>
      </c>
    </row>
    <row r="82" ht="48" customHeight="1">
      <c r="A82" s="2" t="inlineStr">
        <is>
          <t>R10250</t>
        </is>
      </c>
      <c r="B82" s="2" t="inlineStr">
        <is>
          <t>Exploring nanobubble technology for enhanced anaerobic digestion of thermal-hydrolysis pre-treated sewage sludge</t>
        </is>
      </c>
      <c r="C82" s="2" t="inlineStr">
        <is>
          <t>JCR分区/期刊身份</t>
        </is>
      </c>
      <c r="D82" s="2" t="inlineStr">
        <is>
          <t>2024指标年JCR分区未核实；空白不能当非Q1。需要2025发布版/2024指标年的JCR全部学科导出。</t>
        </is>
      </c>
      <c r="E82" s="2" t="inlineStr">
        <is>
          <t>Bioresource Technology Reports</t>
        </is>
      </c>
      <c r="F82" s="2" t="inlineStr">
        <is>
          <t>10.1016/j.biteb.2024.101939</t>
        </is>
      </c>
      <c r="G82" s="2" t="inlineStr">
        <is>
          <t>2025发布版/2024指标年JCR导出：期刊全名、ISSN/eISSN、全部Category、JIF Quartile、JIF Rank、数据年份、导出日期；类型疑点需题名页/正式载体说明</t>
        </is>
      </c>
      <c r="H82" s="2" t="inlineStr">
        <is>
          <t>original_files/R10250/fulltext/fulltext__published__4356ccc0339c4477.pdf</t>
        </is>
      </c>
    </row>
    <row r="83" ht="48" customHeight="1">
      <c r="A83" s="3" t="inlineStr">
        <is>
          <t>R10290</t>
        </is>
      </c>
      <c r="B83" s="3" t="inlineStr">
        <is>
          <t>Gas nanobubble technology in wastewater treatment and anaerobic digestion</t>
        </is>
      </c>
      <c r="C83" s="3" t="inlineStr">
        <is>
          <t>JCR分区/期刊身份</t>
        </is>
      </c>
      <c r="D83" s="3" t="inlineStr">
        <is>
          <t>2024指标年JCR分区未核实；空白不能当非Q1。需要2025发布版/2024指标年的JCR全部学科导出。</t>
        </is>
      </c>
      <c r="E83" s="3" t="inlineStr">
        <is>
          <t>Nova Biotechnologica et Chimica</t>
        </is>
      </c>
      <c r="F83" s="3" t="inlineStr">
        <is>
          <t>10.34135/nbc.2100</t>
        </is>
      </c>
      <c r="G83" s="3" t="inlineStr">
        <is>
          <t>2025发布版/2024指标年JCR导出：期刊全名、ISSN/eISSN、全部Category、JIF Quartile、JIF Rank、数据年份、导出日期；类型疑点需题名页/正式载体说明</t>
        </is>
      </c>
      <c r="H83" s="3" t="inlineStr">
        <is>
          <t>original_files/R10290/fulltext/fulltext__published__0a63bc6c89e8dff8.pdf; original_files/R10290/evidence/source_evidence__9a3491b2e1e775f4.html</t>
        </is>
      </c>
    </row>
    <row r="84" ht="48" customHeight="1">
      <c r="A84" s="2" t="inlineStr">
        <is>
          <t>R10372</t>
        </is>
      </c>
      <c r="B84" s="2" t="inlineStr">
        <is>
          <t>Influence of Aeration, Introduction of Probiotics, and Supply of Water on Landfill Gas Production—Study of Models</t>
        </is>
      </c>
      <c r="C84" s="2" t="inlineStr">
        <is>
          <t>JCR分区/期刊身份</t>
        </is>
      </c>
      <c r="D84" s="2" t="inlineStr">
        <is>
          <t>2024指标年JCR分区未核实；空白不能当非Q1。需要2025发布版/2024指标年的JCR全部学科导出。</t>
        </is>
      </c>
      <c r="E84" s="2" t="inlineStr">
        <is>
          <t>Processes</t>
        </is>
      </c>
      <c r="F84" s="2" t="inlineStr">
        <is>
          <t>10.3390/pr12091859</t>
        </is>
      </c>
      <c r="G84" s="2" t="inlineStr">
        <is>
          <t>2025发布版/2024指标年JCR导出：期刊全名、ISSN/eISSN、全部Category、JIF Quartile、JIF Rank、数据年份、导出日期；类型疑点需题名页/正式载体说明</t>
        </is>
      </c>
      <c r="H84" s="2" t="inlineStr">
        <is>
          <t>original_files/R10372/fulltext/fulltext__published__750f30a55be12e7a.pdf; original_files/R10372/evidence/source_evidence__7c0f4f65d49854d8.html</t>
        </is>
      </c>
    </row>
    <row r="85" ht="48" customHeight="1">
      <c r="A85" s="3" t="inlineStr">
        <is>
          <t>R10525</t>
        </is>
      </c>
      <c r="B85" s="3" t="inlineStr">
        <is>
          <t>Microbial community dynamics and volatile fatty acid production during anaerobic digestion of microaerated food waste under different organic loadings</t>
        </is>
      </c>
      <c r="C85" s="3" t="inlineStr">
        <is>
          <t>JCR分区/期刊身份</t>
        </is>
      </c>
      <c r="D85" s="3" t="inlineStr">
        <is>
          <t>2024指标年JCR分区未核实；空白不能当非Q1。需要2025发布版/2024指标年的JCR全部学科导出。</t>
        </is>
      </c>
      <c r="E85" s="3" t="inlineStr">
        <is>
          <t>Bioresource Technology Reports</t>
        </is>
      </c>
      <c r="F85" s="3" t="inlineStr">
        <is>
          <t>10.1016/j.biteb.2024.101949</t>
        </is>
      </c>
      <c r="G85" s="3" t="inlineStr">
        <is>
          <t>2025发布版/2024指标年JCR导出：期刊全名、ISSN/eISSN、全部Category、JIF Quartile、JIF Rank、数据年份、导出日期；类型疑点需题名页/正式载体说明</t>
        </is>
      </c>
      <c r="H85" s="3" t="inlineStr">
        <is>
          <t>original_files/R10525/fulltext/fulltext__published__0249dd7b9749f3ef.pdf</t>
        </is>
      </c>
    </row>
    <row r="86" ht="48" customHeight="1">
      <c r="A86" s="2" t="inlineStr">
        <is>
          <t>R10724</t>
        </is>
      </c>
      <c r="B86" s="2" t="inlineStr">
        <is>
          <t>Protection of the Purification Station Thermal Engines Against the Effects of Hydrogen Sulfide by the Coupling of a Chemical and Biological Treatment of the Produced Biogas</t>
        </is>
      </c>
      <c r="C86" s="2" t="inlineStr">
        <is>
          <t>JCR分区/期刊身份</t>
        </is>
      </c>
      <c r="D86" s="2" t="inlineStr">
        <is>
          <t>2024指标年JCR分区未核实；空白不能当非Q1。需要2025发布版/2024指标年的JCR全部学科导出。</t>
        </is>
      </c>
      <c r="E86" s="2" t="inlineStr">
        <is>
          <t>Ecological Engineering &amp; Environmental Technology</t>
        </is>
      </c>
      <c r="F86" s="2" t="inlineStr">
        <is>
          <t>10.12912/27197050/181210</t>
        </is>
      </c>
      <c r="G86" s="2" t="inlineStr">
        <is>
          <t>2025发布版/2024指标年JCR导出：期刊全名、ISSN/eISSN、全部Category、JIF Quartile、JIF Rank、数据年份、导出日期；类型疑点需题名页/正式载体说明</t>
        </is>
      </c>
      <c r="H86" s="2" t="inlineStr">
        <is>
          <t>original_files/R10724/evidence/source_evidence__c38788bcb0a41fed.html; original_files/R10724/fulltext/fulltext__published__cfdc1bcb235acdd7.pdf</t>
        </is>
      </c>
    </row>
    <row r="87" ht="48" customHeight="1">
      <c r="A87" s="3" t="inlineStr">
        <is>
          <t>R10761</t>
        </is>
      </c>
      <c r="B87" s="3" t="inlineStr">
        <is>
          <t>Role of polylactic acid microplastics during anaerobic co-digestion of cow manure and Chinese cabbage waste enhanced by nanobubble</t>
        </is>
      </c>
      <c r="C87" s="3" t="inlineStr">
        <is>
          <t>JCR分区/期刊身份</t>
        </is>
      </c>
      <c r="D87" s="3" t="inlineStr">
        <is>
          <t>2024指标年JCR分区未核实；空白不能当非Q1。需要2025发布版/2024指标年的JCR全部学科导出。</t>
        </is>
      </c>
      <c r="E87" s="3" t="inlineStr">
        <is>
          <t>Chemosphere</t>
        </is>
      </c>
      <c r="F87" s="3" t="inlineStr">
        <is>
          <t>10.1016/j.chemosphere.2024.143639</t>
        </is>
      </c>
      <c r="G87" s="3" t="inlineStr">
        <is>
          <t>2025发布版/2024指标年JCR导出：期刊全名、ISSN/eISSN、全部Category、JIF Quartile、JIF Rank、数据年份、导出日期；类型疑点需题名页/正式载体说明</t>
        </is>
      </c>
      <c r="H87" s="3" t="inlineStr">
        <is>
          <t>original_files/R10761/fulltext/fulltext__published__29a4d8ee7e26c7d4.pdf; original_files/R10761/supplementary/supplementary__394c49ff288412f3.docx</t>
        </is>
      </c>
    </row>
    <row r="88" ht="48" customHeight="1">
      <c r="A88" s="2" t="inlineStr">
        <is>
          <t>R11606</t>
        </is>
      </c>
      <c r="B88" s="2" t="inlineStr">
        <is>
          <t>Food Waste Anaerobic Digestion Under High Organic Loading Rate: Inhibiting Factors, Mechanisms, and Mitigation Strategies</t>
        </is>
      </c>
      <c r="C88" s="2" t="inlineStr">
        <is>
          <t>JCR分区/期刊身份</t>
        </is>
      </c>
      <c r="D88" s="2" t="inlineStr">
        <is>
          <t>2024指标年JCR分区未核实；空白不能当非Q1。需要2025发布版/2024指标年的JCR全部学科导出。</t>
        </is>
      </c>
      <c r="E88" s="2" t="inlineStr">
        <is>
          <t>Processes</t>
        </is>
      </c>
      <c r="F88" s="2" t="inlineStr">
        <is>
          <t>10.3390/pr13072090</t>
        </is>
      </c>
      <c r="G88" s="2" t="inlineStr">
        <is>
          <t>2025发布版/2024指标年JCR导出：期刊全名、ISSN/eISSN、全部Category、JIF Quartile、JIF Rank、数据年份、导出日期；类型疑点需题名页/正式载体说明</t>
        </is>
      </c>
      <c r="H88" s="2" t="inlineStr">
        <is>
          <t>original_files/R11606/fulltext/fulltext__published__db6e9b90ba74622e.pdf; original_files/R11606/evidence/source_evidence__e9e2c5d79797af35.html</t>
        </is>
      </c>
    </row>
    <row r="89" ht="48" customHeight="1">
      <c r="A89" s="3" t="inlineStr">
        <is>
          <t>R11658</t>
        </is>
      </c>
      <c r="B89" s="3" t="inlineStr">
        <is>
          <t>IMPACT OF MICRO-AERATION ON FUNGAL COMMUNITY FROM ANAEROBIC DIGESTION</t>
        </is>
      </c>
      <c r="C89" s="3" t="inlineStr">
        <is>
          <t>JCR分区/期刊身份</t>
        </is>
      </c>
      <c r="D89" s="3" t="inlineStr">
        <is>
          <t>2024指标年JCR分区未核实；空白不能当非Q1。需要2025发布版/2024指标年的JCR全部学科导出。</t>
        </is>
      </c>
      <c r="E89" s="3" t="inlineStr">
        <is>
          <t>BSU- Journal of Life Sciences &amp; Biology</t>
        </is>
      </c>
      <c r="F89" s="3" t="inlineStr">
        <is>
          <t>10.30546/300045.2024.1.4.019</t>
        </is>
      </c>
      <c r="G89" s="3" t="inlineStr">
        <is>
          <t>2025发布版/2024指标年JCR导出：期刊全名、ISSN/eISSN、全部Category、JIF Quartile、JIF Rank、数据年份、导出日期；类型疑点需题名页/正式载体说明</t>
        </is>
      </c>
      <c r="H89" s="3" t="inlineStr">
        <is>
          <t>original_files/R11658/fulltext/fulltext__published__83a514a4b04c73a0.pdf</t>
        </is>
      </c>
    </row>
    <row r="90" ht="48" customHeight="1">
      <c r="A90" s="2" t="inlineStr">
        <is>
          <t>R12483</t>
        </is>
      </c>
      <c r="B90" s="2" t="inlineStr">
        <is>
          <t>การปรับสภาพชีวมวลลิกโนเซลลูโลสด้วยวัสดุเพาะเห็ดเหลือทิ้ง: แนวทางการเพิ่มมูลค่าวัสดุเหลือทิ้งทางการเกษตรเพื่อการผลิตแก๊สชีวภาพอย่างยั่งยืน</t>
        </is>
      </c>
      <c r="C90" s="2" t="inlineStr">
        <is>
          <t>JCR分区/期刊身份</t>
        </is>
      </c>
      <c r="D90" s="2" t="inlineStr">
        <is>
          <t>2024指标年JCR分区未核实；空白不能当非Q1。需要2025发布版/2024指标年的JCR全部学科导出。</t>
        </is>
      </c>
      <c r="E90" s="2" t="inlineStr">
        <is>
          <t>Thai Society of Agricultural Engineering Journal</t>
        </is>
      </c>
      <c r="F90" s="2" t="inlineStr"/>
      <c r="G90" s="2" t="inlineStr">
        <is>
          <t>2025发布版/2024指标年JCR导出：期刊全名、ISSN/eISSN、全部Category、JIF Quartile、JIF Rank、数据年份、导出日期；类型疑点需题名页/正式载体说明</t>
        </is>
      </c>
      <c r="H90" s="2" t="inlineStr">
        <is>
          <t>original_files/R12483/fulltext/fulltext__published__b51428ca89e5bf95.pdf; original_files/R12483/evidence/source_evidence__c91412b83d1a6965.html</t>
        </is>
      </c>
    </row>
    <row r="91" ht="48" customHeight="1">
      <c r="A91" s="3" t="inlineStr">
        <is>
          <t>R12923</t>
        </is>
      </c>
      <c r="B91" s="3" t="inlineStr">
        <is>
          <t>Enhanced anaerobic digestion of rice straw by using microbial pretreatment augmented with micro-nano bubble water</t>
        </is>
      </c>
      <c r="C91" s="3" t="inlineStr">
        <is>
          <t>JCR分区/期刊身份</t>
        </is>
      </c>
      <c r="D91" s="3" t="inlineStr">
        <is>
          <t>2024指标年JCR分区未核实；空白不能当非Q1。需要2025发布版/2024指标年的JCR全部学科导出。</t>
        </is>
      </c>
      <c r="E91" s="3" t="inlineStr">
        <is>
          <t>Bioresource Technology Reports</t>
        </is>
      </c>
      <c r="F91" s="3" t="inlineStr">
        <is>
          <t>10.1016/j.biteb.2025.102484</t>
        </is>
      </c>
      <c r="G91" s="3" t="inlineStr">
        <is>
          <t>2025发布版/2024指标年JCR导出：期刊全名、ISSN/eISSN、全部Category、JIF Quartile、JIF Rank、数据年份、导出日期；类型疑点需题名页/正式载体说明</t>
        </is>
      </c>
      <c r="H91" s="3" t="inlineStr">
        <is>
          <t>original_files/R12923/fulltext/fulltext__published__c5fa38e81cb6810f.pdf; original_files/R12923/supplementary/supplementary__d07750b920619855.docx</t>
        </is>
      </c>
    </row>
    <row r="92" ht="48" customHeight="1">
      <c r="A92" s="2" t="inlineStr">
        <is>
          <t>R13818</t>
        </is>
      </c>
      <c r="B92" s="2" t="inlineStr">
        <is>
          <t>Influence of raw sludge quality on the efficiency of microaerobic sulfide removal during anaerobic digestion of sewage sludge</t>
        </is>
      </c>
      <c r="C92" s="2" t="inlineStr">
        <is>
          <t>JCR分区/期刊身份</t>
        </is>
      </c>
      <c r="D92" s="2" t="inlineStr">
        <is>
          <t>PDF p.1期刊页脚：Vol.10, No.1 January 2013 | 2024指标年JCR分区未核实；空白不能当非Q1。需要2025发布版/2024指标年的JCR全部学科导出。</t>
        </is>
      </c>
      <c r="E92" s="2" t="inlineStr">
        <is>
          <t>Journal of Residuals Science &amp; Technology</t>
        </is>
      </c>
      <c r="F92" s="2" t="inlineStr"/>
      <c r="G92" s="2" t="inlineStr">
        <is>
          <t>2025发布版/2024指标年JCR导出：期刊全名、ISSN/eISSN、全部Category、JIF Quartile、JIF Rank、数据年份、导出日期；类型疑点需题名页/正式载体说明</t>
        </is>
      </c>
      <c r="H92" s="2" t="inlineStr">
        <is>
          <t>original_files/R13818/fulltext/fulltext__published__ea9ad5deb641605b.pdf</t>
        </is>
      </c>
    </row>
    <row r="93" ht="48" customHeight="1">
      <c r="A93" s="3" t="inlineStr">
        <is>
          <t>R13835</t>
        </is>
      </c>
      <c r="B93" s="3" t="inlineStr">
        <is>
          <t>Microaerobic Desulfurization in the Semi-Dry Fermentation of Cow Manure</t>
        </is>
      </c>
      <c r="C93" s="3" t="inlineStr">
        <is>
          <t>JCR分区/期刊身份</t>
        </is>
      </c>
      <c r="D93" s="3" t="inlineStr">
        <is>
          <t>2024指标年JCR分区未核实；空白不能当非Q1。需要2025发布版/2024指标年的JCR全部学科导出。</t>
        </is>
      </c>
      <c r="E93" s="3" t="inlineStr">
        <is>
          <t>Journal of Biobased Materials and Bioenergy</t>
        </is>
      </c>
      <c r="F93" s="3" t="inlineStr">
        <is>
          <t>10.1166/jbmb.2019.1826</t>
        </is>
      </c>
      <c r="G93" s="3" t="inlineStr">
        <is>
          <t>2025发布版/2024指标年JCR导出：期刊全名、ISSN/eISSN、全部Category、JIF Quartile、JIF Rank、数据年份、导出日期；类型疑点需题名页/正式载体说明</t>
        </is>
      </c>
      <c r="H93" s="3" t="inlineStr"/>
    </row>
    <row r="94" ht="48" customHeight="1">
      <c r="A94" s="2" t="inlineStr">
        <is>
          <t>R13836</t>
        </is>
      </c>
      <c r="B94" s="2" t="inlineStr">
        <is>
          <t>Enhancement of surfactant biodegradation with an anaerobic membrane bioreactor by introducing microaeration.</t>
        </is>
      </c>
      <c r="C94" s="2" t="inlineStr">
        <is>
          <t>JCR分区/期刊身份</t>
        </is>
      </c>
      <c r="D94" s="2" t="inlineStr">
        <is>
          <t>2024指标年JCR分区未核实；空白不能当非Q1。需要2025发布版/2024指标年的JCR全部学科导出。</t>
        </is>
      </c>
      <c r="E94" s="2" t="inlineStr">
        <is>
          <t>Chemosphere</t>
        </is>
      </c>
      <c r="F94" s="2" t="inlineStr">
        <is>
          <t>10.1016/j.chemosphere.2018.06.001</t>
        </is>
      </c>
      <c r="G94" s="2" t="inlineStr">
        <is>
          <t>2025发布版/2024指标年JCR导出：期刊全名、ISSN/eISSN、全部Category、JIF Quartile、JIF Rank、数据年份、导出日期；类型疑点需题名页/正式载体说明</t>
        </is>
      </c>
      <c r="H94" s="2" t="inlineStr">
        <is>
          <t>original_files/R13836/supplementary/supplementary__b031085267d119a3.docx; original_files/R13836/fulltext/fulltext__published__e7c89129ec7164ac.pdf</t>
        </is>
      </c>
    </row>
    <row r="95" ht="48" customHeight="1">
      <c r="A95" s="3" t="inlineStr">
        <is>
          <t>R13838</t>
        </is>
      </c>
      <c r="B95" s="3" t="inlineStr">
        <is>
          <t>Oxygen tolerance capacity of upflow anaerobic solid-state (UASS) with anaerobic filter (AF) system</t>
        </is>
      </c>
      <c r="C95" s="3" t="inlineStr">
        <is>
          <t>JCR分区/期刊身份</t>
        </is>
      </c>
      <c r="D95" s="3" t="inlineStr">
        <is>
          <t>2024指标年JCR分区未核实；空白不能当非Q1。需要2025发布版/2024指标年的JCR全部学科导出。</t>
        </is>
      </c>
      <c r="E95" s="3" t="inlineStr">
        <is>
          <t>Journal of Environmental Sciences</t>
        </is>
      </c>
      <c r="F95" s="3" t="inlineStr">
        <is>
          <t>10.1016/j.jes.2016.01.009</t>
        </is>
      </c>
      <c r="G95" s="3" t="inlineStr">
        <is>
          <t>2025发布版/2024指标年JCR导出：期刊全名、ISSN/eISSN、全部Category、JIF Quartile、JIF Rank、数据年份、导出日期；类型疑点需题名页/正式载体说明</t>
        </is>
      </c>
      <c r="H95" s="3" t="inlineStr">
        <is>
          <t>original_files/R13838/fulltext/fulltext__published__118b6f5b48a3b653.pdf</t>
        </is>
      </c>
    </row>
    <row r="96" ht="48" customHeight="1">
      <c r="A96" s="2" t="inlineStr">
        <is>
          <t>R13844</t>
        </is>
      </c>
      <c r="B96" s="2" t="inlineStr">
        <is>
          <t>Influence of Aerobic Pretreatment of Poultry Manure on the Biogas Production Process</t>
        </is>
      </c>
      <c r="C96" s="2" t="inlineStr">
        <is>
          <t>JCR分区/期刊身份</t>
        </is>
      </c>
      <c r="D96" s="2" t="inlineStr">
        <is>
          <t>2024指标年JCR分区未核实；空白不能当非Q1。需要2025发布版/2024指标年的JCR全部学科导出。</t>
        </is>
      </c>
      <c r="E96" s="2" t="inlineStr">
        <is>
          <t>Processes</t>
        </is>
      </c>
      <c r="F96" s="2" t="inlineStr">
        <is>
          <t>10.3390/pr8091109</t>
        </is>
      </c>
      <c r="G96" s="2" t="inlineStr">
        <is>
          <t>2025发布版/2024指标年JCR导出：期刊全名、ISSN/eISSN、全部Category、JIF Quartile、JIF Rank、数据年份、导出日期；类型疑点需题名页/正式载体说明</t>
        </is>
      </c>
      <c r="H96" s="2" t="inlineStr">
        <is>
          <t>original_files/R13844/fulltext/fulltext__published__7b0ea11b84bfa14d.pdf; original_files/R13844/evidence/source_evidence__f68ef517bdadeb11.html</t>
        </is>
      </c>
    </row>
    <row r="97" ht="48" customHeight="1">
      <c r="A97" s="3" t="inlineStr">
        <is>
          <t>R13852</t>
        </is>
      </c>
      <c r="B97" s="3" t="inlineStr">
        <is>
          <t>A Novel Application of Micro-Aerobic Hydrolysis and Acidification on the Treatment of Refractory Chinese Traditional Medicine Wastewater</t>
        </is>
      </c>
      <c r="C97" s="3" t="inlineStr">
        <is>
          <t>文献类型</t>
        </is>
      </c>
      <c r="D97" s="3" t="inlineStr">
        <is>
          <t>期刊/会议或其他载体身份缺少足够凭据，单列待核实，不混入期刊论文分母 | 非目标期刊论文或类型待核实，不进入JCR分母</t>
        </is>
      </c>
      <c r="E97" s="3" t="inlineStr">
        <is>
          <t>Applied Mechanics and Materials</t>
        </is>
      </c>
      <c r="F97" s="3" t="inlineStr">
        <is>
          <t>10.4028/www.scientific.net/amm.178-181.570</t>
        </is>
      </c>
      <c r="G97" s="3" t="inlineStr">
        <is>
          <t>2025发布版/2024指标年JCR导出：期刊全名、ISSN/eISSN、全部Category、JIF Quartile、JIF Rank、数据年份、导出日期；类型疑点需题名页/正式载体说明</t>
        </is>
      </c>
      <c r="H97" s="3" t="inlineStr"/>
    </row>
    <row r="98" ht="48" customHeight="1">
      <c r="A98" s="2" t="inlineStr">
        <is>
          <t>R13861</t>
        </is>
      </c>
      <c r="B98" s="2" t="inlineStr">
        <is>
          <t>Enhanced removal of emerging micropollutants by applying microaeration to an anaerobic reactor</t>
        </is>
      </c>
      <c r="C98" s="2" t="inlineStr">
        <is>
          <t>JCR分区/期刊身份</t>
        </is>
      </c>
      <c r="D98" s="2" t="inlineStr">
        <is>
          <t>2024指标年JCR分区未核实；空白不能当非Q1。需要2025发布版/2024指标年的JCR全部学科导出。</t>
        </is>
      </c>
      <c r="E98" s="2" t="inlineStr">
        <is>
          <t>Engenharia Sanitaria e Ambiental</t>
        </is>
      </c>
      <c r="F98" s="2" t="inlineStr">
        <is>
          <t>10.1590/s1413-4152201920190030</t>
        </is>
      </c>
      <c r="G98" s="2" t="inlineStr">
        <is>
          <t>2025发布版/2024指标年JCR导出：期刊全名、ISSN/eISSN、全部Category、JIF Quartile、JIF Rank、数据年份、导出日期；类型疑点需题名页/正式载体说明</t>
        </is>
      </c>
      <c r="H98" s="2" t="inlineStr">
        <is>
          <t>original_files/R13861/fulltext/fulltext__published__ba6f44b77d79c4a0.pdf; original_files/R13861/evidence/source_evidence__f3cb6052a5aabceb.html</t>
        </is>
      </c>
    </row>
    <row r="99" ht="48" customHeight="1">
      <c r="A99" s="3" t="inlineStr">
        <is>
          <t>R13894</t>
        </is>
      </c>
      <c r="B99" s="3" t="inlineStr">
        <is>
          <t>Effects of Aerobic Pre-Treatment on Anaerobic Batch Digestion of Corn Straw</t>
        </is>
      </c>
      <c r="C99" s="3" t="inlineStr">
        <is>
          <t>JCR分区/期刊身份</t>
        </is>
      </c>
      <c r="D99" s="3" t="inlineStr">
        <is>
          <t>2024指标年JCR分区未核实；空白不能当非Q1。需要2025发布版/2024指标年的JCR全部学科导出。</t>
        </is>
      </c>
      <c r="E99" s="3" t="inlineStr">
        <is>
          <t>Journal of Biobased Materials and Bioenergy</t>
        </is>
      </c>
      <c r="F99" s="3" t="inlineStr">
        <is>
          <t>10.1166/jbmb.2017.1716</t>
        </is>
      </c>
      <c r="G99" s="3" t="inlineStr">
        <is>
          <t>2025发布版/2024指标年JCR导出：期刊全名、ISSN/eISSN、全部Category、JIF Quartile、JIF Rank、数据年份、导出日期；类型疑点需题名页/正式载体说明</t>
        </is>
      </c>
      <c r="H99" s="3" t="inlineStr"/>
    </row>
    <row r="100" ht="48" customHeight="1">
      <c r="A100" s="2" t="inlineStr">
        <is>
          <t>R13895</t>
        </is>
      </c>
      <c r="B100" s="2" t="inlineStr">
        <is>
          <t>Enhancement of anaerobic batch digestion of spineless cacti (Opuntia ficus indica) feedstock by aerobic pre-treatment</t>
        </is>
      </c>
      <c r="C100" s="2" t="inlineStr">
        <is>
          <t>JCR分区/期刊身份</t>
        </is>
      </c>
      <c r="D100" s="2" t="inlineStr">
        <is>
          <t>2024指标年JCR分区未核实；空白不能当非Q1。需要2025发布版/2024指标年的JCR全部学科导出。</t>
        </is>
      </c>
      <c r="E100" s="2" t="inlineStr">
        <is>
          <t>African Journal of Biotechnology</t>
        </is>
      </c>
      <c r="F100" s="2" t="inlineStr">
        <is>
          <t>10.5897/ajb2018.16652</t>
        </is>
      </c>
      <c r="G100" s="2" t="inlineStr">
        <is>
          <t>2025发布版/2024指标年JCR导出：期刊全名、ISSN/eISSN、全部Category、JIF Quartile、JIF Rank、数据年份、导出日期；类型疑点需题名页/正式载体说明</t>
        </is>
      </c>
      <c r="H100" s="2" t="inlineStr">
        <is>
          <t>original_files/R13895/fulltext/fulltext__published__106f8aa2d37135c5.pdf; original_files/R13895/evidence/source_evidence__cbaf62a3a24fd183.html</t>
        </is>
      </c>
    </row>
    <row r="101" ht="48" customHeight="1">
      <c r="A101" s="3" t="inlineStr">
        <is>
          <t>R13900</t>
        </is>
      </c>
      <c r="B101" s="3" t="inlineStr">
        <is>
          <t>Effectiveness of aerobic pretreatment of municipal solid waste for accelerating biogas generation during simulated landfilling</t>
        </is>
      </c>
      <c r="C101" s="3" t="inlineStr">
        <is>
          <t>JCR分区/期刊身份</t>
        </is>
      </c>
      <c r="D101" s="3" t="inlineStr">
        <is>
          <t>2024指标年JCR分区未核实；空白不能当非Q1。需要2025发布版/2024指标年的JCR全部学科导出。</t>
        </is>
      </c>
      <c r="E101" s="3" t="inlineStr">
        <is>
          <t>Frontiers of Environmental Science &amp; Engineering</t>
        </is>
      </c>
      <c r="F101" s="3" t="inlineStr">
        <is>
          <t>10.1007/s11783-018-1031-1</t>
        </is>
      </c>
      <c r="G101" s="3" t="inlineStr">
        <is>
          <t>2025发布版/2024指标年JCR导出：期刊全名、ISSN/eISSN、全部Category、JIF Quartile、JIF Rank、数据年份、导出日期；类型疑点需题名页/正式载体说明</t>
        </is>
      </c>
      <c r="H101" s="3" t="inlineStr">
        <is>
          <t>original_files/R13900/fulltext/fulltext__published__b2ba7df8c04ab66c.pdf</t>
        </is>
      </c>
    </row>
    <row r="102" ht="48" customHeight="1">
      <c r="A102" s="2" t="inlineStr">
        <is>
          <t>R13901</t>
        </is>
      </c>
      <c r="B102" s="2" t="inlineStr">
        <is>
          <t>Effect of Aerobic Hydrolysis on Anaerobic Fermentation Characteristics of Various Parts of Corn Stover and the Scum Layer</t>
        </is>
      </c>
      <c r="C102" s="2" t="inlineStr">
        <is>
          <t>JCR分区/期刊身份</t>
        </is>
      </c>
      <c r="D102" s="2" t="inlineStr">
        <is>
          <t>2024指标年JCR分区未核实；空白不能当非Q1。需要2025发布版/2024指标年的JCR全部学科导出。</t>
        </is>
      </c>
      <c r="E102" s="2" t="inlineStr">
        <is>
          <t>Energies</t>
        </is>
      </c>
      <c r="F102" s="2" t="inlineStr">
        <is>
          <t>10.3390/en12030381</t>
        </is>
      </c>
      <c r="G102" s="2" t="inlineStr">
        <is>
          <t>2025发布版/2024指标年JCR导出：期刊全名、ISSN/eISSN、全部Category、JIF Quartile、JIF Rank、数据年份、导出日期；类型疑点需题名页/正式载体说明</t>
        </is>
      </c>
      <c r="H102" s="2" t="inlineStr">
        <is>
          <t>original_files/R13901/evidence/source_evidence__05a20be8b6d3d115.html; original_files/R13901/fulltext/fulltext__published__391926b6cc0c70ed.pdf</t>
        </is>
      </c>
    </row>
    <row r="103" ht="48" customHeight="1">
      <c r="A103" s="3" t="inlineStr">
        <is>
          <t>R13902</t>
        </is>
      </c>
      <c r="B103" s="3" t="inlineStr">
        <is>
          <t>Investigating the Effects of Aerobic Hydrolysis on Scum Layer Formation during the Anaerobic Digestion of Corn Stalk Particles</t>
        </is>
      </c>
      <c r="C103" s="3" t="inlineStr">
        <is>
          <t>JCR分区/期刊身份</t>
        </is>
      </c>
      <c r="D103" s="3" t="inlineStr">
        <is>
          <t>2024指标年JCR分区未核实；空白不能当非Q1。需要2025发布版/2024指标年的JCR全部学科导出。</t>
        </is>
      </c>
      <c r="E103" s="3" t="inlineStr">
        <is>
          <t>Sustainability</t>
        </is>
      </c>
      <c r="F103" s="3" t="inlineStr">
        <is>
          <t>10.3390/su14116497</t>
        </is>
      </c>
      <c r="G103" s="3" t="inlineStr">
        <is>
          <t>2025发布版/2024指标年JCR导出：期刊全名、ISSN/eISSN、全部Category、JIF Quartile、JIF Rank、数据年份、导出日期；类型疑点需题名页/正式载体说明</t>
        </is>
      </c>
      <c r="H103" s="3" t="inlineStr">
        <is>
          <t>original_files/R13902/fulltext/fulltext__published__48b83d115db6ba97.pdf; original_files/R13902/evidence/source_evidence__acd43326765e45dc.html</t>
        </is>
      </c>
    </row>
    <row r="104" ht="48" customHeight="1">
      <c r="A104" s="2" t="inlineStr">
        <is>
          <t>R13903</t>
        </is>
      </c>
      <c r="B104" s="2" t="inlineStr">
        <is>
          <t>Effect of vacuum negative pressure aerobic hydrolysis pretreatment on corn stover anaerobic fermentation</t>
        </is>
      </c>
      <c r="C104" s="2" t="inlineStr">
        <is>
          <t>JCR分区/期刊身份</t>
        </is>
      </c>
      <c r="D104" s="2" t="inlineStr">
        <is>
          <t>2024指标年JCR分区未核实；空白不能当非Q1。需要2025发布版/2024指标年的JCR全部学科导出。</t>
        </is>
      </c>
      <c r="E104" s="2" t="inlineStr">
        <is>
          <t>International Journal of Agricultural and Biological Engineering</t>
        </is>
      </c>
      <c r="F104" s="2" t="inlineStr">
        <is>
          <t>10.25165/j.ijabe.20231602.7975</t>
        </is>
      </c>
      <c r="G104" s="2" t="inlineStr">
        <is>
          <t>2025发布版/2024指标年JCR导出：期刊全名、ISSN/eISSN、全部Category、JIF Quartile、JIF Rank、数据年份、导出日期；类型疑点需题名页/正式载体说明</t>
        </is>
      </c>
      <c r="H104" s="2" t="inlineStr">
        <is>
          <t>original_files/R13903/fulltext/fulltext__published__2cd9e7b409250e7b.pdf; original_files/R13903/evidence/source_evidence__bb1f29b7e4332099.html</t>
        </is>
      </c>
    </row>
    <row r="105" ht="48" customHeight="1">
      <c r="A105" s="3" t="inlineStr">
        <is>
          <t>R13906</t>
        </is>
      </c>
      <c r="B105" s="3" t="inlineStr">
        <is>
          <t>Production of Biogas by Using Different Pretreatments of Rice Straw Under Aerobic and Semi Aerobic Conditions.</t>
        </is>
      </c>
      <c r="C105" s="3" t="inlineStr">
        <is>
          <t>文献类型</t>
        </is>
      </c>
      <c r="D105" s="3" t="inlineStr">
        <is>
          <t>期刊/会议或其他载体身份缺少足够凭据，单列待核实，不混入期刊论文分母 | PDF标注ICBAA会议，Crossref类型journal-article；会议专刊性质待核实，暂不混入期刊论文分母 | 非目标期刊论文或类型待核实，不进入JCR分母</t>
        </is>
      </c>
      <c r="E105" s="3" t="inlineStr">
        <is>
          <t>Annals of Agricultural Science, Moshtohor</t>
        </is>
      </c>
      <c r="F105" s="3" t="inlineStr">
        <is>
          <t>10.21608/assjm.2021.194823</t>
        </is>
      </c>
      <c r="G105" s="3" t="inlineStr">
        <is>
          <t>2025发布版/2024指标年JCR导出：期刊全名、ISSN/eISSN、全部Category、JIF Quartile、JIF Rank、数据年份、导出日期；类型疑点需题名页/正式载体说明</t>
        </is>
      </c>
      <c r="H105" s="3" t="inlineStr">
        <is>
          <t>original_files/R13906/fulltext/fulltext__version_unverified__afe47132ea57e2c3.pdf</t>
        </is>
      </c>
    </row>
    <row r="106" ht="48" customHeight="1">
      <c r="A106" s="2" t="inlineStr">
        <is>
          <t>R13910</t>
        </is>
      </c>
      <c r="B106" s="2" t="inlineStr">
        <is>
          <t>Effects of Ammonia Stripping and Other Physico-Chemical Pretreatments on Anaerobic Digestion of Swine Wastewater</t>
        </is>
      </c>
      <c r="C106" s="2" t="inlineStr">
        <is>
          <t>JCR分区/期刊身份</t>
        </is>
      </c>
      <c r="D106" s="2" t="inlineStr">
        <is>
          <t>2024指标年JCR分区未核实；空白不能当非Q1。需要2025发布版/2024指标年的JCR全部学科导出。</t>
        </is>
      </c>
      <c r="E106" s="2" t="inlineStr">
        <is>
          <t>Energies</t>
        </is>
      </c>
      <c r="F106" s="2" t="inlineStr">
        <is>
          <t>10.3390/en13133413</t>
        </is>
      </c>
      <c r="G106" s="2" t="inlineStr">
        <is>
          <t>2025发布版/2024指标年JCR导出：期刊全名、ISSN/eISSN、全部Category、JIF Quartile、JIF Rank、数据年份、导出日期；类型疑点需题名页/正式载体说明</t>
        </is>
      </c>
      <c r="H106" s="2" t="inlineStr">
        <is>
          <t>original_files/R13910/fulltext/fulltext__published__4d03064db7853736.pdf; original_files/R13910/evidence/source_evidence__f22c0d3346114024.html</t>
        </is>
      </c>
    </row>
    <row r="107" ht="48" customHeight="1">
      <c r="A107" s="3" t="inlineStr">
        <is>
          <t>R13921</t>
        </is>
      </c>
      <c r="B107" s="3" t="inlineStr">
        <is>
          <t>Optimizing Anaerobic Acidogenesis: Synergistic Effects of Thermal Pretreatment of Composting, Oxygen Regulation, and Additive Supplementation</t>
        </is>
      </c>
      <c r="C107" s="3" t="inlineStr">
        <is>
          <t>JCR分区/期刊身份</t>
        </is>
      </c>
      <c r="D107" s="3" t="inlineStr">
        <is>
          <t>2024指标年JCR分区未核实；空白不能当非Q1。需要2025发布版/2024指标年的JCR全部学科导出。</t>
        </is>
      </c>
      <c r="E107" s="3" t="inlineStr">
        <is>
          <t>Sustainability</t>
        </is>
      </c>
      <c r="F107" s="3" t="inlineStr">
        <is>
          <t>10.3390/su17146494</t>
        </is>
      </c>
      <c r="G107" s="3" t="inlineStr">
        <is>
          <t>2025发布版/2024指标年JCR导出：期刊全名、ISSN/eISSN、全部Category、JIF Quartile、JIF Rank、数据年份、导出日期；类型疑点需题名页/正式载体说明</t>
        </is>
      </c>
      <c r="H107" s="3" t="inlineStr">
        <is>
          <t>original_files/R13921/fulltext/fulltext__published__151f154636afa1e3.pdf; original_files/R13921/evidence/source_evidence__494c1155f23eb033.html</t>
        </is>
      </c>
    </row>
    <row r="108" ht="48" customHeight="1">
      <c r="A108" s="2" t="inlineStr">
        <is>
          <t>R13922</t>
        </is>
      </c>
      <c r="B108" s="2" t="inlineStr">
        <is>
          <t>Pilot-scale microaerobic hydrolysis-acidification and anoxic-oxic processes for the treatment of petrochemical wastewater</t>
        </is>
      </c>
      <c r="C108" s="2" t="inlineStr">
        <is>
          <t>JCR分区/期刊身份</t>
        </is>
      </c>
      <c r="D108" s="2" t="inlineStr">
        <is>
          <t>2024指标年JCR分区未核实；空白不能当非Q1。需要2025发布版/2024指标年的JCR全部学科导出。</t>
        </is>
      </c>
      <c r="E108" s="2" t="inlineStr">
        <is>
          <t>Environmental Science and Pollution Research</t>
        </is>
      </c>
      <c r="F108" s="2" t="inlineStr">
        <is>
          <t>10.1007/s11356-021-14810-9</t>
        </is>
      </c>
      <c r="G108" s="2" t="inlineStr">
        <is>
          <t>2025发布版/2024指标年JCR导出：期刊全名、ISSN/eISSN、全部Category、JIF Quartile、JIF Rank、数据年份、导出日期；类型疑点需题名页/正式载体说明</t>
        </is>
      </c>
      <c r="H108" s="2" t="inlineStr">
        <is>
          <t>original_files/R13922/fulltext/fulltext__published__86ff6fe4a39481e0.pdf</t>
        </is>
      </c>
    </row>
    <row r="109" ht="48" customHeight="1">
      <c r="A109" s="3" t="inlineStr">
        <is>
          <t>R13925</t>
        </is>
      </c>
      <c r="B109" s="3" t="inlineStr">
        <is>
          <t>Study on characteristics of methane production by coupling aerobic and anaerobic fermentation of Chinese herb-extraction residues</t>
        </is>
      </c>
      <c r="C109" s="3" t="inlineStr">
        <is>
          <t>JCR分区/期刊身份</t>
        </is>
      </c>
      <c r="D109" s="3" t="inlineStr">
        <is>
          <t>2024指标年JCR分区未核实；空白不能当非Q1。需要2025发布版/2024指标年的JCR全部学科导出。</t>
        </is>
      </c>
      <c r="E109" s="3" t="inlineStr">
        <is>
          <t>Dongbei Nongye Daxue xuebao</t>
        </is>
      </c>
      <c r="F109" s="3" t="inlineStr"/>
      <c r="G109" s="3" t="inlineStr">
        <is>
          <t>2025发布版/2024指标年JCR导出：期刊全名、ISSN/eISSN、全部Category、JIF Quartile、JIF Rank、数据年份、导出日期；类型疑点需题名页/正式载体说明</t>
        </is>
      </c>
      <c r="H109" s="3" t="inlineStr"/>
    </row>
    <row r="110" ht="48" customHeight="1">
      <c r="A110" s="2" t="inlineStr">
        <is>
          <t>R13928</t>
        </is>
      </c>
      <c r="B110" s="2" t="inlineStr">
        <is>
          <t>The impact of aerobic pretreatment of agro and industrial wastes on their biomethanation potential in Nisargruna technology</t>
        </is>
      </c>
      <c r="C110" s="2" t="inlineStr">
        <is>
          <t>JCR分区/期刊身份</t>
        </is>
      </c>
      <c r="D110" s="2" t="inlineStr">
        <is>
          <t>2024指标年JCR分区未核实；空白不能当非Q1。需要2025发布版/2024指标年的JCR全部学科导出。</t>
        </is>
      </c>
      <c r="E110" s="2" t="inlineStr">
        <is>
          <t>South Asian Journal of Experimental Biology</t>
        </is>
      </c>
      <c r="F110" s="2" t="inlineStr">
        <is>
          <t>10.38150/sajeb.11(5).p548-556</t>
        </is>
      </c>
      <c r="G110" s="2" t="inlineStr">
        <is>
          <t>2025发布版/2024指标年JCR导出：期刊全名、ISSN/eISSN、全部Category、JIF Quartile、JIF Rank、数据年份、导出日期；类型疑点需题名页/正式载体说明</t>
        </is>
      </c>
      <c r="H110" s="2" t="inlineStr">
        <is>
          <t>original_files/R13928/uncertain/uncertain__2243d14b51d82a02.pdf; original_files/R13928/uncertain/uncertain__5dee7aa7153bfd4b.pdf; original_files/R13928/uncertain/uncertain__647b0753df33daf4.pdf; original_files/R13928/uncertain/uncertain__9a5ac478146e1c56.pdf; original_files/R13928/uncertain/uncertain__bc45c41b0611bb7a.pdf; original_files/R13928/uncertain/uncertain__dbd72771dcf34508.pdf; original_files/R13928/uncertain/uncertain__fb6452be0334d630.pdf; original_files/R13928/evidence/source_evidence__fc04ae518409496c.html; original_files/R13928/uncertain/uncertain__fc155477aa5670a5.pdf</t>
        </is>
      </c>
    </row>
    <row r="111" ht="48" customHeight="1">
      <c r="A111" s="3" t="inlineStr">
        <is>
          <t>R13930</t>
        </is>
      </c>
      <c r="B111" s="3" t="inlineStr">
        <is>
          <t>Effect of incubation conditions on the aerobic pretreatment of the organic solid wastes and the volatile fatty acids production</t>
        </is>
      </c>
      <c r="C111" s="3" t="inlineStr">
        <is>
          <t>JCR分区/期刊身份</t>
        </is>
      </c>
      <c r="D111" s="3" t="inlineStr">
        <is>
          <t>2024指标年JCR分区未核实；空白不能当非Q1。需要2025发布版/2024指标年的JCR全部学科导出。</t>
        </is>
      </c>
      <c r="E111" s="3" t="inlineStr">
        <is>
          <t>Revista Mexicana de Ingeniería Química</t>
        </is>
      </c>
      <c r="F111" s="3" t="inlineStr">
        <is>
          <t>10.24275/rmiq/bio849</t>
        </is>
      </c>
      <c r="G111" s="3" t="inlineStr">
        <is>
          <t>2025发布版/2024指标年JCR导出：期刊全名、ISSN/eISSN、全部Category、JIF Quartile、JIF Rank、数据年份、导出日期；类型疑点需题名页/正式载体说明</t>
        </is>
      </c>
      <c r="H111" s="3" t="inlineStr">
        <is>
          <t>original_files/R13930/fulltext/fulltext__version_unverified__abff0bd62cce53e5.pdf</t>
        </is>
      </c>
    </row>
    <row r="112" ht="48" customHeight="1">
      <c r="A112" s="2" t="inlineStr">
        <is>
          <t>R13934</t>
        </is>
      </c>
      <c r="B112" s="2" t="inlineStr">
        <is>
          <t>Air stripping pre-treatment process to enhance biogas production in anaerobic digestion of chicken manure wastewater</t>
        </is>
      </c>
      <c r="C112" s="2" t="inlineStr">
        <is>
          <t>JCR分区/期刊身份</t>
        </is>
      </c>
      <c r="D112" s="2" t="inlineStr">
        <is>
          <t>2024指标年JCR分区未核实；空白不能当非Q1。需要2025发布版/2024指标年的JCR全部学科导出。</t>
        </is>
      </c>
      <c r="E112" s="2" t="inlineStr">
        <is>
          <t>Bioresource Technology Reports</t>
        </is>
      </c>
      <c r="F112" s="2" t="inlineStr">
        <is>
          <t>10.1016/j.biteb.2021.100647</t>
        </is>
      </c>
      <c r="G112" s="2" t="inlineStr">
        <is>
          <t>2025发布版/2024指标年JCR导出：期刊全名、ISSN/eISSN、全部Category、JIF Quartile、JIF Rank、数据年份、导出日期；类型疑点需题名页/正式载体说明</t>
        </is>
      </c>
      <c r="H112" s="2" t="inlineStr">
        <is>
          <t>original_files/R13934/fulltext/fulltext__published__1480f7c3e38dbfec.pdf</t>
        </is>
      </c>
    </row>
    <row r="113" ht="48" customHeight="1">
      <c r="A113" s="3" t="inlineStr">
        <is>
          <t>R13935</t>
        </is>
      </c>
      <c r="B113" s="3" t="inlineStr">
        <is>
          <t>Enhancement of Fermentation Performance in the Anaerobic Co-Digestion of Chicken Manure and Corn Straw under Biogas Slurry Reflux via Air Stripping of the Digestate</t>
        </is>
      </c>
      <c r="C113" s="3" t="inlineStr">
        <is>
          <t>JCR分区/期刊身份</t>
        </is>
      </c>
      <c r="D113" s="3" t="inlineStr">
        <is>
          <t>2024指标年JCR分区未核实；空白不能当非Q1。需要2025发布版/2024指标年的JCR全部学科导出。</t>
        </is>
      </c>
      <c r="E113" s="3" t="inlineStr">
        <is>
          <t>Agronomy</t>
        </is>
      </c>
      <c r="F113" s="3" t="inlineStr">
        <is>
          <t>10.3390/agronomy14081794</t>
        </is>
      </c>
      <c r="G113" s="3" t="inlineStr">
        <is>
          <t>2025发布版/2024指标年JCR导出：期刊全名、ISSN/eISSN、全部Category、JIF Quartile、JIF Rank、数据年份、导出日期；类型疑点需题名页/正式载体说明</t>
        </is>
      </c>
      <c r="H113" s="3" t="inlineStr">
        <is>
          <t>original_files/R13935/fulltext/fulltext__published__036bc6df1562131d.pdf; original_files/R13935/evidence/source_evidence__f9450824961dfb12.html</t>
        </is>
      </c>
    </row>
    <row r="114" ht="48" customHeight="1">
      <c r="A114" s="2" t="inlineStr">
        <is>
          <t>R13936</t>
        </is>
      </c>
      <c r="B114" s="2" t="inlineStr">
        <is>
          <t>Improvement of anaerobic digestion of landfill leachate by using coagulation‐flocculation, Fenton's oxidation and air stripping pretreatments</t>
        </is>
      </c>
      <c r="C114" s="2" t="inlineStr">
        <is>
          <t>JCR分区/期刊身份</t>
        </is>
      </c>
      <c r="D114" s="2" t="inlineStr">
        <is>
          <t>2024指标年JCR分区未核实；空白不能当非Q1。需要2025发布版/2024指标年的JCR全部学科导出。</t>
        </is>
      </c>
      <c r="E114" s="2" t="inlineStr">
        <is>
          <t>Environmental Progress &amp; Sustainable Energy</t>
        </is>
      </c>
      <c r="F114" s="2" t="inlineStr">
        <is>
          <t>10.1002/ep.12781</t>
        </is>
      </c>
      <c r="G114" s="2" t="inlineStr">
        <is>
          <t>2025发布版/2024指标年JCR导出：期刊全名、ISSN/eISSN、全部Category、JIF Quartile、JIF Rank、数据年份、导出日期；类型疑点需题名页/正式载体说明</t>
        </is>
      </c>
      <c r="H114" s="2" t="inlineStr">
        <is>
          <t>original_files/R13936/fulltext/fulltext__published__c21af6f0f332d512.pdf</t>
        </is>
      </c>
    </row>
    <row r="115" ht="48" customHeight="1">
      <c r="A115" s="3" t="inlineStr">
        <is>
          <t>R13939</t>
        </is>
      </c>
      <c r="B115" s="3" t="inlineStr">
        <is>
          <t>Efficient Treatment and Simultaneous Energy Recovery from Cattle Wastewater by the Micro-Aerated UASB and SBR Coupled System</t>
        </is>
      </c>
      <c r="C115" s="3" t="inlineStr">
        <is>
          <t>JCR分区/期刊身份</t>
        </is>
      </c>
      <c r="D115" s="3" t="inlineStr">
        <is>
          <t>2024指标年JCR分区未核实；空白不能当非Q1。需要2025发布版/2024指标年的JCR全部学科导出。</t>
        </is>
      </c>
      <c r="E115" s="3" t="inlineStr">
        <is>
          <t>ACS ES&amp;T Water</t>
        </is>
      </c>
      <c r="F115" s="3" t="inlineStr">
        <is>
          <t>10.1021/acsestwater.3c00241</t>
        </is>
      </c>
      <c r="G115" s="3" t="inlineStr">
        <is>
          <t>2025发布版/2024指标年JCR导出：期刊全名、ISSN/eISSN、全部Category、JIF Quartile、JIF Rank、数据年份、导出日期；类型疑点需题名页/正式载体说明</t>
        </is>
      </c>
      <c r="H115" s="3" t="inlineStr">
        <is>
          <t>original_files/R13939/fulltext/fulltext__published__2f52215fbeb2f906.pdf; original_files/R13939/supplementary/supplementary__66e9851e6c1740f0.pdf</t>
        </is>
      </c>
    </row>
    <row r="116" ht="48" customHeight="1">
      <c r="A116" s="2" t="inlineStr">
        <is>
          <t>R13940</t>
        </is>
      </c>
      <c r="B116" s="2" t="inlineStr">
        <is>
          <t>Impact of Microaeration and the Redox Mediator Anthraquinone‐2,6‐Disulfonate on Azo Dye Reduction and By‐Products Degradation</t>
        </is>
      </c>
      <c r="C116" s="2" t="inlineStr">
        <is>
          <t>JCR分区/期刊身份</t>
        </is>
      </c>
      <c r="D116" s="2" t="inlineStr">
        <is>
          <t>2024指标年JCR分区未核实；空白不能当非Q1。需要2025发布版/2024指标年的JCR全部学科导出。</t>
        </is>
      </c>
      <c r="E116" s="2" t="inlineStr">
        <is>
          <t>CLEAN – Soil, Air, Water</t>
        </is>
      </c>
      <c r="F116" s="2" t="inlineStr">
        <is>
          <t>10.1002/clen.201700518</t>
        </is>
      </c>
      <c r="G116" s="2" t="inlineStr">
        <is>
          <t>2025发布版/2024指标年JCR导出：期刊全名、ISSN/eISSN、全部Category、JIF Quartile、JIF Rank、数据年份、导出日期；类型疑点需题名页/正式载体说明</t>
        </is>
      </c>
      <c r="H116" s="2" t="inlineStr">
        <is>
          <t>original_files/R13940/fulltext/fulltext__published__ca43ea0057db6aba.pdf</t>
        </is>
      </c>
    </row>
    <row r="117" ht="48" customHeight="1">
      <c r="A117" s="3" t="inlineStr">
        <is>
          <t>R13942</t>
        </is>
      </c>
      <c r="B117" s="3" t="inlineStr">
        <is>
          <t>Microaerated UASB reactor treating textile wastewater: The core microbiome and removal of azo dye Direct Black 22</t>
        </is>
      </c>
      <c r="C117" s="3" t="inlineStr">
        <is>
          <t>JCR分区/期刊身份</t>
        </is>
      </c>
      <c r="D117" s="3" t="inlineStr">
        <is>
          <t>2024指标年JCR分区未核实；空白不能当非Q1。需要2025发布版/2024指标年的JCR全部学科导出。</t>
        </is>
      </c>
      <c r="E117" s="3" t="inlineStr">
        <is>
          <t>Chemosphere</t>
        </is>
      </c>
      <c r="F117" s="3" t="inlineStr">
        <is>
          <t>10.1016/j.chemosphere.2019.125157</t>
        </is>
      </c>
      <c r="G117" s="3" t="inlineStr">
        <is>
          <t>2025发布版/2024指标年JCR导出：期刊全名、ISSN/eISSN、全部Category、JIF Quartile、JIF Rank、数据年份、导出日期；类型疑点需题名页/正式载体说明</t>
        </is>
      </c>
      <c r="H117" s="3" t="inlineStr">
        <is>
          <t>original_files/R13942/fulltext/fulltext__published__c575b15a8ecfb829.pdf</t>
        </is>
      </c>
    </row>
    <row r="118" ht="48" customHeight="1">
      <c r="A118" s="2" t="inlineStr">
        <is>
          <t>R13956</t>
        </is>
      </c>
      <c r="B118" s="2" t="inlineStr">
        <is>
          <t>Anaerobic digestion of mixed dried fallen leaves by mixing with cow dung</t>
        </is>
      </c>
      <c r="C118" s="2" t="inlineStr">
        <is>
          <t>JCR分区/期刊身份</t>
        </is>
      </c>
      <c r="D118" s="2" t="inlineStr">
        <is>
          <t>2024指标年JCR分区未核实；空白不能当非Q1。需要2025发布版/2024指标年的JCR全部学科导出。</t>
        </is>
      </c>
      <c r="E118" s="2" t="inlineStr">
        <is>
          <t>Bangladesh Journal of Scientific and Industrial Research</t>
        </is>
      </c>
      <c r="F118" s="2" t="inlineStr">
        <is>
          <t>10.3329/bjsir.v50i3.25579</t>
        </is>
      </c>
      <c r="G118" s="2" t="inlineStr">
        <is>
          <t>2025发布版/2024指标年JCR导出：期刊全名、ISSN/eISSN、全部Category、JIF Quartile、JIF Rank、数据年份、导出日期；类型疑点需题名页/正式载体说明</t>
        </is>
      </c>
      <c r="H118" s="2" t="inlineStr">
        <is>
          <t>original_files/R13956/evidence/source_evidence__3640bee52075449e.html; original_files/R13956/fulltext/fulltext__version_unverified__fedaffcdf5be81e2.pdf</t>
        </is>
      </c>
    </row>
    <row r="119" ht="48" customHeight="1">
      <c r="A119" s="3" t="inlineStr">
        <is>
          <t>R13958</t>
        </is>
      </c>
      <c r="B119" s="3" t="inlineStr">
        <is>
          <t>Effects of Cell Lysis in Gas Yield and Sludge Stabilization by Combined Process of Thermophilic Aerobic and Anaerobic Digestion</t>
        </is>
      </c>
      <c r="C119" s="3" t="inlineStr">
        <is>
          <t>文献类型</t>
        </is>
      </c>
      <c r="D119" s="3" t="inlineStr">
        <is>
          <t>期刊/会议或其他载体身份缺少足够凭据，单列待核实，不混入期刊论文分母 | 非目标期刊论文或类型待核实，不进入JCR分母</t>
        </is>
      </c>
      <c r="E119" s="3" t="inlineStr">
        <is>
          <t>Procedia Environmental Sciences</t>
        </is>
      </c>
      <c r="F119" s="3" t="inlineStr">
        <is>
          <t>10.1016/j.proenv.2016.02.007</t>
        </is>
      </c>
      <c r="G119" s="3" t="inlineStr">
        <is>
          <t>2025发布版/2024指标年JCR导出：期刊全名、ISSN/eISSN、全部Category、JIF Quartile、JIF Rank、数据年份、导出日期；类型疑点需题名页/正式载体说明</t>
        </is>
      </c>
      <c r="H119" s="3" t="inlineStr">
        <is>
          <t>original_files/R13958/fulltext/fulltext__published__599e1d0536c7a33e.pdf</t>
        </is>
      </c>
    </row>
    <row r="120" ht="48" customHeight="1">
      <c r="A120" s="2" t="inlineStr">
        <is>
          <t>R13959</t>
        </is>
      </c>
      <c r="B120" s="2" t="inlineStr">
        <is>
          <t>Influence of Temperature and Oxidation-Reduction Potential on Hydrolysis of Swine Manure Wastewater</t>
        </is>
      </c>
      <c r="C120" s="2" t="inlineStr">
        <is>
          <t>JCR分区/期刊身份</t>
        </is>
      </c>
      <c r="D120" s="2" t="inlineStr">
        <is>
          <t>2024指标年JCR分区未核实；空白不能当非Q1。需要2025发布版/2024指标年的JCR全部学科导出。</t>
        </is>
      </c>
      <c r="E120" s="2" t="inlineStr">
        <is>
          <t>International Journal of Environmental Science and Development</t>
        </is>
      </c>
      <c r="F120" s="2" t="inlineStr">
        <is>
          <t>10.18178/ijesd.2020.11.3.1241</t>
        </is>
      </c>
      <c r="G120" s="2" t="inlineStr">
        <is>
          <t>2025发布版/2024指标年JCR导出：期刊全名、ISSN/eISSN、全部Category、JIF Quartile、JIF Rank、数据年份、导出日期；类型疑点需题名页/正式载体说明</t>
        </is>
      </c>
      <c r="H120" s="2" t="inlineStr">
        <is>
          <t>original_files/R13959/fulltext/fulltext__version_unverified__3da7041fe46dc44c.pdf</t>
        </is>
      </c>
    </row>
    <row r="121" ht="48" customHeight="1">
      <c r="A121" s="3" t="inlineStr">
        <is>
          <t>R13965</t>
        </is>
      </c>
      <c r="B121" s="3" t="inlineStr">
        <is>
          <t>Investigating the Anaerobic Digestion of Water Hyacinth (Eichhornia crassipes) Sourced from Hartbeespoort Dam in South Africa</t>
        </is>
      </c>
      <c r="C121" s="3" t="inlineStr">
        <is>
          <t>JCR分区/期刊身份</t>
        </is>
      </c>
      <c r="D121" s="3" t="inlineStr">
        <is>
          <t>2024指标年JCR分区未核实；空白不能当非Q1。需要2025发布版/2024指标年的JCR全部学科导出。</t>
        </is>
      </c>
      <c r="E121" s="3" t="inlineStr">
        <is>
          <t>Fermentation</t>
        </is>
      </c>
      <c r="F121" s="3" t="inlineStr">
        <is>
          <t>10.3390/fermentation9070685</t>
        </is>
      </c>
      <c r="G121" s="3" t="inlineStr">
        <is>
          <t>2025发布版/2024指标年JCR导出：期刊全名、ISSN/eISSN、全部Category、JIF Quartile、JIF Rank、数据年份、导出日期；类型疑点需题名页/正式载体说明</t>
        </is>
      </c>
      <c r="H121" s="3" t="inlineStr">
        <is>
          <t>original_files/R13965/fulltext/fulltext__published__4b881bf9f0bde719.pdf; original_files/R13965/evidence/source_evidence__e463c8416778e583.html</t>
        </is>
      </c>
    </row>
    <row r="122" ht="48" customHeight="1">
      <c r="A122" s="2" t="inlineStr">
        <is>
          <t>R13966</t>
        </is>
      </c>
      <c r="B122" s="2" t="inlineStr">
        <is>
          <t>Recent Progress on Dry Anaerobic Digestion of Organic Solid Wastes: Achievements and Challenges</t>
        </is>
      </c>
      <c r="C122" s="2" t="inlineStr">
        <is>
          <t>JCR分区/期刊身份</t>
        </is>
      </c>
      <c r="D122" s="2" t="inlineStr">
        <is>
          <t>2024指标年JCR分区未核实；空白不能当非Q1。需要2025发布版/2024指标年的JCR全部学科导出。</t>
        </is>
      </c>
      <c r="E122" s="2" t="inlineStr">
        <is>
          <t>Current Organic Chemistry</t>
        </is>
      </c>
      <c r="F122" s="2" t="inlineStr">
        <is>
          <t>10.2174/1385272819666150119222633</t>
        </is>
      </c>
      <c r="G122" s="2" t="inlineStr">
        <is>
          <t>2025发布版/2024指标年JCR导出：期刊全名、ISSN/eISSN、全部Category、JIF Quartile、JIF Rank、数据年份、导出日期；类型疑点需题名页/正式载体说明</t>
        </is>
      </c>
      <c r="H122" s="2" t="inlineStr">
        <is>
          <t>original_files/R13966/fulltext/fulltext__version_unverified__122a9569f31981ee.pdf; original_files/R13966/uncertain/uncertain__241323b4bf27ebf0.pdf; original_files/R13966/evidence/source_evidence__70742010b555dec1.html; original_files/R04721/uncertain/uncertain__baf22465d3f7d634.pdf</t>
        </is>
      </c>
    </row>
    <row r="123" ht="48" customHeight="1">
      <c r="A123" s="3" t="inlineStr">
        <is>
          <t>R06623</t>
        </is>
      </c>
      <c r="B123" s="3" t="inlineStr">
        <is>
          <t>Effects of different microbial pretreatments on the anaerobic digestion of giant grass under anaerobic and microaerobic conditions</t>
        </is>
      </c>
      <c r="C123" s="3" t="inlineStr">
        <is>
          <t>附件唯一关联待核实</t>
        </is>
      </c>
      <c r="D123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23" s="3" t="inlineStr"/>
      <c r="F123" s="3" t="inlineStr">
        <is>
          <t>10.1016/j.biortech.2021.125456</t>
        </is>
      </c>
      <c r="G123" s="3" t="inlineStr">
        <is>
          <t>附件的原始出版社文件名/下载关联页面；错配文献的目标原件。原件保留，不在本轮追下载。</t>
        </is>
      </c>
      <c r="H123" s="3" t="inlineStr">
        <is>
          <t>original_files/R06623/supplementary/supplementary__0026b62bc0e14fd9.docx</t>
        </is>
      </c>
    </row>
    <row r="124" ht="48" customHeight="1">
      <c r="A124" s="2" t="inlineStr">
        <is>
          <t>R13947</t>
        </is>
      </c>
      <c r="B124" s="2" t="inlineStr">
        <is>
          <t>Microaerobic removal of hydrogen sulphide from biogas</t>
        </is>
      </c>
      <c r="C124" s="2" t="inlineStr">
        <is>
          <t>原件身份/角色异常</t>
        </is>
      </c>
      <c r="D124" s="2" t="inlineStr">
        <is>
          <t>上传3页University of Maryland Extension推广资料草稿，不是Iris Ramos Castaño目标学位论文</t>
        </is>
      </c>
      <c r="E124" s="2" t="inlineStr"/>
      <c r="F124" s="2" t="inlineStr">
        <is>
          <t>10.35376/10324/4850</t>
        </is>
      </c>
      <c r="G124" s="2" t="inlineStr">
        <is>
          <t>附件的原始出版社文件名/下载关联页面；错配文献的目标原件。原件保留，不在本轮追下载。</t>
        </is>
      </c>
      <c r="H124" s="2" t="inlineStr">
        <is>
          <t>original_files/R13947/uncertain/uncertain__0106b055c0ada5d1.pdf</t>
        </is>
      </c>
    </row>
    <row r="125" ht="48" customHeight="1">
      <c r="A125" s="3" t="inlineStr">
        <is>
          <t>R03400</t>
        </is>
      </c>
      <c r="B125" s="3" t="inlineStr">
        <is>
          <t>Model-based optimization of microaeration for biogas desulfurization in UASB reactors</t>
        </is>
      </c>
      <c r="C125" s="3" t="inlineStr">
        <is>
          <t>附件唯一关联待核实</t>
        </is>
      </c>
      <c r="D125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25" s="3" t="inlineStr"/>
      <c r="F125" s="3" t="inlineStr">
        <is>
          <t>10.1016/j.bej.2017.06.009</t>
        </is>
      </c>
      <c r="G125" s="3" t="inlineStr">
        <is>
          <t>附件的原始出版社文件名/下载关联页面；错配文献的目标原件。原件保留，不在本轮追下载。</t>
        </is>
      </c>
      <c r="H125" s="3" t="inlineStr">
        <is>
          <t>original_files/R03400/supplementary/supplementary__01a0c3f189551435.docx</t>
        </is>
      </c>
    </row>
    <row r="126" ht="48" customHeight="1">
      <c r="A126" s="2" t="inlineStr">
        <is>
          <t>R11655</t>
        </is>
      </c>
      <c r="B126" s="2" t="inlineStr">
        <is>
          <t>Hydrolysis and methane yield enhancement of anaerobic co-digestion of kitchen waste and sewage sludge by air/carbon dioxide nanobubble water</t>
        </is>
      </c>
      <c r="C126" s="2" t="inlineStr">
        <is>
          <t>附件唯一关联待核实</t>
        </is>
      </c>
      <c r="D126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26" s="2" t="inlineStr"/>
      <c r="F126" s="2" t="inlineStr">
        <is>
          <t>10.1016/j.fuel.2024.133456</t>
        </is>
      </c>
      <c r="G126" s="2" t="inlineStr">
        <is>
          <t>附件的原始出版社文件名/下载关联页面；错配文献的目标原件。原件保留，不在本轮追下载。</t>
        </is>
      </c>
      <c r="H126" s="2" t="inlineStr">
        <is>
          <t>original_files/R11655/supplementary/supplementary__04e1aca79019dac9.docx</t>
        </is>
      </c>
    </row>
    <row r="127" ht="48" customHeight="1">
      <c r="A127" s="3" t="inlineStr">
        <is>
          <t>R02386</t>
        </is>
      </c>
      <c r="B127" s="3" t="inlineStr">
        <is>
          <t>Comparison of micro-aerobic and anaerobic fermentative hydrogen production from corn straw</t>
        </is>
      </c>
      <c r="C127" s="3" t="inlineStr">
        <is>
          <t>附件唯一关联待核实</t>
        </is>
      </c>
      <c r="D127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27" s="3" t="inlineStr"/>
      <c r="F127" s="3" t="inlineStr">
        <is>
          <t>10.1016/j.ijhydene.2016.01.141</t>
        </is>
      </c>
      <c r="G127" s="3" t="inlineStr">
        <is>
          <t>附件的原始出版社文件名/下载关联页面；错配文献的目标原件。原件保留，不在本轮追下载。</t>
        </is>
      </c>
      <c r="H127" s="3" t="inlineStr">
        <is>
          <t>original_files/R02386/supplementary/supplementary__096f0ab6b5dd328b.txt</t>
        </is>
      </c>
    </row>
    <row r="128" ht="48" customHeight="1">
      <c r="A128" s="2" t="inlineStr">
        <is>
          <t>R04721</t>
        </is>
      </c>
      <c r="B128" s="2" t="inlineStr">
        <is>
          <t>Effects of Gas Supplying Patterns on Aerobic Anaerobic Biogas Production of Rice Straw</t>
        </is>
      </c>
      <c r="C128" s="2" t="inlineStr">
        <is>
          <t>原件身份/角色异常</t>
        </is>
      </c>
      <c r="D128" s="2" t="inlineStr">
        <is>
          <t>历史候选抓取物：出版商目录/广告、期刊索引或检索页等，目标身份及正文不成立；原件保留，不计全文或科研补充材料。</t>
        </is>
      </c>
      <c r="E128" s="2" t="inlineStr"/>
      <c r="F128" s="2" t="inlineStr">
        <is>
          <t>10.2174/1574893613666180502112425</t>
        </is>
      </c>
      <c r="G128" s="2" t="inlineStr">
        <is>
          <t>附件的原始出版社文件名/下载关联页面；错配文献的目标原件。原件保留，不在本轮追下载。</t>
        </is>
      </c>
      <c r="H128" s="2" t="inlineStr">
        <is>
          <t>original_files/R04721/uncertain/uncertain__0a35490689f20fcd.pdf</t>
        </is>
      </c>
    </row>
    <row r="129" ht="48" customHeight="1">
      <c r="A129" s="3" t="inlineStr">
        <is>
          <t>R11751</t>
        </is>
      </c>
      <c r="B129" s="3" t="inlineStr">
        <is>
          <t>Intermittent Microaeration Enhanced Anaerobic Digestion: The Key Role of Fe(III)/Fe(II) Cycle and Reactive Oxygen Species</t>
        </is>
      </c>
      <c r="C129" s="3" t="inlineStr">
        <is>
          <t>附件唯一关联待核实</t>
        </is>
      </c>
      <c r="D129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29" s="3" t="inlineStr"/>
      <c r="F129" s="3" t="inlineStr">
        <is>
          <t>10.1021/acs.est.5c04187</t>
        </is>
      </c>
      <c r="G129" s="3" t="inlineStr">
        <is>
          <t>附件的原始出版社文件名/下载关联页面；错配文献的目标原件。原件保留，不在本轮追下载。</t>
        </is>
      </c>
      <c r="H129" s="3" t="inlineStr">
        <is>
          <t>original_files/R11751/supplementary/supplementary__0bb73736e985bad3.pdf</t>
        </is>
      </c>
    </row>
    <row r="130" ht="48" customHeight="1">
      <c r="A130" s="2" t="inlineStr">
        <is>
          <t>R13914</t>
        </is>
      </c>
      <c r="B130" s="2" t="inlineStr">
        <is>
          <t>Development of aerobic methane oxidation, denitrification coupled to methanogenesis (AMODM) in a microaerophilic expanded granular sludge blanket biofilm reactor</t>
        </is>
      </c>
      <c r="C130" s="2" t="inlineStr">
        <is>
          <t>附件唯一关联待核实</t>
        </is>
      </c>
      <c r="D130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30" s="2" t="inlineStr"/>
      <c r="F130" s="2" t="inlineStr">
        <is>
          <t>10.1016/j.jenvman.2020.111280</t>
        </is>
      </c>
      <c r="G130" s="2" t="inlineStr">
        <is>
          <t>附件的原始出版社文件名/下载关联页面；错配文献的目标原件。原件保留，不在本轮追下载。</t>
        </is>
      </c>
      <c r="H130" s="2" t="inlineStr">
        <is>
          <t>original_files/R13914/supplementary/supplementary__0c42b59a5954bf07.doc</t>
        </is>
      </c>
    </row>
    <row r="131" ht="48" customHeight="1">
      <c r="A131" s="3" t="inlineStr">
        <is>
          <t>R07202</t>
        </is>
      </c>
      <c r="B131" s="3" t="inlineStr">
        <is>
          <t>Synergistic association between cytochrome bd-encoded Proteiniphilum and reactive oxygen species (ROS)-scavenging methanogens in microaerobic-anaerobic digestion of lignocellulosic biomass</t>
        </is>
      </c>
      <c r="C131" s="3" t="inlineStr">
        <is>
          <t>附件唯一关联待核实</t>
        </is>
      </c>
      <c r="D131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31" s="3" t="inlineStr"/>
      <c r="F131" s="3" t="inlineStr">
        <is>
          <t>10.1016/j.watres.2020.116721</t>
        </is>
      </c>
      <c r="G131" s="3" t="inlineStr">
        <is>
          <t>附件的原始出版社文件名/下载关联页面；错配文献的目标原件。原件保留，不在本轮追下载。</t>
        </is>
      </c>
      <c r="H131" s="3" t="inlineStr">
        <is>
          <t>original_files/R07202/supplementary/supplementary__0fe7ac23fd51cc3e.xlsx</t>
        </is>
      </c>
    </row>
    <row r="132" ht="48" customHeight="1">
      <c r="A132" s="2" t="inlineStr">
        <is>
          <t>R11094</t>
        </is>
      </c>
      <c r="B132" s="2" t="inlineStr">
        <is>
          <t>Aeration promotes Proteobacteria over Firmicutes in macerated food waste, resulting in superior anaerobic digestion efficiency</t>
        </is>
      </c>
      <c r="C132" s="2" t="inlineStr">
        <is>
          <t>附件唯一关联待核实</t>
        </is>
      </c>
      <c r="D132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32" s="2" t="inlineStr"/>
      <c r="F132" s="2" t="inlineStr">
        <is>
          <t>10.1093/femsle/fnaf001</t>
        </is>
      </c>
      <c r="G132" s="2" t="inlineStr">
        <is>
          <t>附件的原始出版社文件名/下载关联页面；错配文献的目标原件。原件保留，不在本轮追下载。</t>
        </is>
      </c>
      <c r="H132" s="2" t="inlineStr">
        <is>
          <t>original_files/R11094/supplementary/supplementary__13b62e160ec9e90b.jpg</t>
        </is>
      </c>
    </row>
    <row r="133" ht="48" customHeight="1">
      <c r="A133" s="3" t="inlineStr">
        <is>
          <t>R13928</t>
        </is>
      </c>
      <c r="B133" s="3" t="inlineStr">
        <is>
          <t>The impact of aerobic pretreatment of agro and industrial wastes on their biomethanation potential in Nisargruna technology</t>
        </is>
      </c>
      <c r="C133" s="3" t="inlineStr">
        <is>
          <t>原件身份/角色异常</t>
        </is>
      </c>
      <c r="D133" s="3" t="inlineStr">
        <is>
          <t>历史候选抓取物：出版商目录/广告、期刊索引或检索页等，目标身份及正文不成立；原件保留，不计全文或科研补充材料。</t>
        </is>
      </c>
      <c r="E133" s="3" t="inlineStr"/>
      <c r="F133" s="3" t="inlineStr">
        <is>
          <t>10.38150/sajeb.11(5).p548-556</t>
        </is>
      </c>
      <c r="G133" s="3" t="inlineStr">
        <is>
          <t>附件的原始出版社文件名/下载关联页面；错配文献的目标原件。原件保留，不在本轮追下载。</t>
        </is>
      </c>
      <c r="H133" s="3" t="inlineStr">
        <is>
          <t>original_files/R13928/uncertain/uncertain__2243d14b51d82a02.pdf</t>
        </is>
      </c>
    </row>
    <row r="134" ht="48" customHeight="1">
      <c r="A134" s="2" t="inlineStr">
        <is>
          <t>R04605</t>
        </is>
      </c>
      <c r="B134" s="2" t="inlineStr">
        <is>
          <t>Characteristics of Ultra-Fine Bubble Water and Its Effects on Anaerobic Digestion of Waste Activated Sludge</t>
        </is>
      </c>
      <c r="C134" s="2" t="inlineStr">
        <is>
          <t>原件身份/角色异常</t>
        </is>
      </c>
      <c r="D134" s="2" t="inlineStr">
        <is>
          <t>上传7页Bioresource Technology 273 (2019) 63–69期刊文章，不是目标Wang Di博士学位全文；同研究关联待核实，未另增文献ID</t>
        </is>
      </c>
      <c r="E134" s="2" t="inlineStr"/>
      <c r="F134" s="2" t="inlineStr">
        <is>
          <t>10.15068/00158028</t>
        </is>
      </c>
      <c r="G134" s="2" t="inlineStr">
        <is>
          <t>附件的原始出版社文件名/下载关联页面；错配文献的目标原件。原件保留，不在本轮追下载。</t>
        </is>
      </c>
      <c r="H134" s="2" t="inlineStr">
        <is>
          <t>original_files/R04605/uncertain/uncertain__23467bce618a72ea.pdf</t>
        </is>
      </c>
    </row>
    <row r="135" ht="48" customHeight="1">
      <c r="A135" s="3" t="inlineStr">
        <is>
          <t>R13966</t>
        </is>
      </c>
      <c r="B135" s="3" t="inlineStr">
        <is>
          <t>Recent Progress on Dry Anaerobic Digestion of Organic Solid Wastes: Achievements and Challenges</t>
        </is>
      </c>
      <c r="C135" s="3" t="inlineStr">
        <is>
          <t>原件身份/角色异常</t>
        </is>
      </c>
      <c r="D135" s="3" t="inlineStr">
        <is>
          <t>历史候选抓取物：出版商目录/广告、期刊索引或检索页等，目标身份及正文不成立；原件保留，不计全文或科研补充材料。</t>
        </is>
      </c>
      <c r="E135" s="3" t="inlineStr"/>
      <c r="F135" s="3" t="inlineStr">
        <is>
          <t>10.2174/1385272819666150119222633</t>
        </is>
      </c>
      <c r="G135" s="3" t="inlineStr">
        <is>
          <t>附件的原始出版社文件名/下载关联页面；错配文献的目标原件。原件保留，不在本轮追下载。</t>
        </is>
      </c>
      <c r="H135" s="3" t="inlineStr">
        <is>
          <t>original_files/R13966/uncertain/uncertain__241323b4bf27ebf0.pdf</t>
        </is>
      </c>
    </row>
    <row r="136" ht="48" customHeight="1">
      <c r="A136" s="2" t="inlineStr">
        <is>
          <t>R11773</t>
        </is>
      </c>
      <c r="B136" s="2" t="inlineStr">
        <is>
          <t>Lab to large-scale applications of microaeration in anaerobic digestion: Biowaste digestibility, microbiome nexus, and reactor stability</t>
        </is>
      </c>
      <c r="C136" s="2" t="inlineStr">
        <is>
          <t>原件身份/角色异常</t>
        </is>
      </c>
      <c r="D136" s="2" t="inlineStr">
        <is>
          <t>内容为Authorship change request（作者变更申请表）；有关联论文题名，但不是科研补充材料。</t>
        </is>
      </c>
      <c r="E136" s="2" t="inlineStr"/>
      <c r="F136" s="2" t="inlineStr">
        <is>
          <t>10.1016/j.jece.2025.117766</t>
        </is>
      </c>
      <c r="G136" s="2" t="inlineStr">
        <is>
          <t>附件的原始出版社文件名/下载关联页面；错配文献的目标原件。原件保留，不在本轮追下载。</t>
        </is>
      </c>
      <c r="H136" s="2" t="inlineStr">
        <is>
          <t>original_files/R11773/administrative/administrative_attachment__2678b792270b6843.pdf</t>
        </is>
      </c>
    </row>
    <row r="137" ht="48" customHeight="1">
      <c r="A137" s="3" t="inlineStr">
        <is>
          <t>R03220</t>
        </is>
      </c>
      <c r="B137" s="3" t="inlineStr">
        <is>
          <t>Enhanced volatile fatty acids production during anaerobic digestion of lignocellulosic biomass via micro-oxygenation</t>
        </is>
      </c>
      <c r="C137" s="3" t="inlineStr">
        <is>
          <t>附件唯一关联待核实</t>
        </is>
      </c>
      <c r="D137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37" s="3" t="inlineStr"/>
      <c r="F137" s="3" t="inlineStr">
        <is>
          <t>10.1016/j.biortech.2017.02.029</t>
        </is>
      </c>
      <c r="G137" s="3" t="inlineStr">
        <is>
          <t>附件的原始出版社文件名/下载关联页面；错配文献的目标原件。原件保留，不在本轮追下载。</t>
        </is>
      </c>
      <c r="H137" s="3" t="inlineStr">
        <is>
          <t>original_files/R03220/supplementary/supplementary__285191e1fb2e2380.docx</t>
        </is>
      </c>
    </row>
    <row r="138" ht="48" customHeight="1">
      <c r="A138" s="2" t="inlineStr">
        <is>
          <t>R03965</t>
        </is>
      </c>
      <c r="B138" s="2" t="inlineStr">
        <is>
          <t>Fate of ammonia, solids, sterols, pharmaceuticals and polycyclic aromatic hydrocarbons in anaerobic digestion and intermittent aeration of mixed sludge</t>
        </is>
      </c>
      <c r="C138" s="2" t="inlineStr">
        <is>
          <t>附件唯一关联待核实</t>
        </is>
      </c>
      <c r="D138" s="2" t="inlineStr">
        <is>
          <t xml:space="preserve"> 文件可打开且内容为表格/数据/图等补充材料；缺题名/DOI等唯一关联凭据，仅保留目录及内容关联，不能声称已核实附件身份或已收齐全部附件。 与该目录中的不同DOI期刊版相关，未核实属于目标会议文献。</t>
        </is>
      </c>
      <c r="E138" s="2" t="inlineStr"/>
      <c r="F138" s="2" t="inlineStr">
        <is>
          <t>10.2175/193864718824828948</t>
        </is>
      </c>
      <c r="G138" s="2" t="inlineStr">
        <is>
          <t>附件的原始出版社文件名/下载关联页面；错配文献的目标原件。原件保留，不在本轮追下载。</t>
        </is>
      </c>
      <c r="H138" s="2" t="inlineStr">
        <is>
          <t>original_files/R03965/supplementary/supplementary__2a701df2118e05e1.docx</t>
        </is>
      </c>
    </row>
    <row r="139" ht="48" customHeight="1">
      <c r="A139" s="3" t="inlineStr">
        <is>
          <t>R11094</t>
        </is>
      </c>
      <c r="B139" s="3" t="inlineStr">
        <is>
          <t>Aeration promotes Proteobacteria over Firmicutes in macerated food waste, resulting in superior anaerobic digestion efficiency</t>
        </is>
      </c>
      <c r="C139" s="3" t="inlineStr">
        <is>
          <t>附件唯一关联待核实</t>
        </is>
      </c>
      <c r="D139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39" s="3" t="inlineStr"/>
      <c r="F139" s="3" t="inlineStr">
        <is>
          <t>10.1093/femsle/fnaf001</t>
        </is>
      </c>
      <c r="G139" s="3" t="inlineStr">
        <is>
          <t>附件的原始出版社文件名/下载关联页面；错配文献的目标原件。原件保留，不在本轮追下载。</t>
        </is>
      </c>
      <c r="H139" s="3" t="inlineStr">
        <is>
          <t>original_files/R11094/supplementary/supplementary__2b58ff09571434e8.jpg</t>
        </is>
      </c>
    </row>
    <row r="140" ht="48" customHeight="1">
      <c r="A140" s="2" t="inlineStr">
        <is>
          <t>R01727</t>
        </is>
      </c>
      <c r="B140" s="2" t="inlineStr">
        <is>
          <t>Comparison of thermophilic microaerobic and alkali pretreatment of sugarcane bagasse for anaerobic digestion</t>
        </is>
      </c>
      <c r="C140" s="2" t="inlineStr">
        <is>
          <t>附件唯一关联待核实</t>
        </is>
      </c>
      <c r="D140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40" s="2" t="inlineStr"/>
      <c r="F140" s="2" t="inlineStr">
        <is>
          <t>10.1039/c5ra10717b</t>
        </is>
      </c>
      <c r="G140" s="2" t="inlineStr">
        <is>
          <t>附件的原始出版社文件名/下载关联页面；错配文献的目标原件。原件保留，不在本轮追下载。</t>
        </is>
      </c>
      <c r="H140" s="2" t="inlineStr">
        <is>
          <t>original_files/R01727/supplementary/supplementary__2b717bb2226270b6.pdf</t>
        </is>
      </c>
    </row>
    <row r="141" ht="48" customHeight="1">
      <c r="A141" s="3" t="inlineStr">
        <is>
          <t>R11724</t>
        </is>
      </c>
      <c r="B141" s="3" t="inlineStr">
        <is>
          <t>Insight into the role of intermittent microaeration in enhancing lignocellulose-containing anaerobic digestion and humic substances formation</t>
        </is>
      </c>
      <c r="C141" s="3" t="inlineStr">
        <is>
          <t>附件唯一关联待核实</t>
        </is>
      </c>
      <c r="D141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41" s="3" t="inlineStr"/>
      <c r="F141" s="3" t="inlineStr">
        <is>
          <t>10.1016/j.cej.2025.166500</t>
        </is>
      </c>
      <c r="G141" s="3" t="inlineStr">
        <is>
          <t>附件的原始出版社文件名/下载关联页面；错配文献的目标原件。原件保留，不在本轮追下载。</t>
        </is>
      </c>
      <c r="H141" s="3" t="inlineStr">
        <is>
          <t>original_files/R11724/supplementary/supplementary__3367aba3cbd3f6df.docx</t>
        </is>
      </c>
    </row>
    <row r="142" ht="48" customHeight="1">
      <c r="A142" s="2" t="inlineStr">
        <is>
          <t>R13937</t>
        </is>
      </c>
      <c r="B142" s="2" t="inlineStr">
        <is>
          <t>Effect of circulation and micro-aeration on sludge characteristics and microbial community in an ABR for treating traditional Chinese medicine wastewater</t>
        </is>
      </c>
      <c r="C142" s="2" t="inlineStr">
        <is>
          <t>附件唯一关联待核实</t>
        </is>
      </c>
      <c r="D142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42" s="2" t="inlineStr"/>
      <c r="F142" s="2" t="inlineStr">
        <is>
          <t>10.1080/09593330.2019.1604818</t>
        </is>
      </c>
      <c r="G142" s="2" t="inlineStr">
        <is>
          <t>附件的原始出版社文件名/下载关联页面；错配文献的目标原件。原件保留，不在本轮追下载。</t>
        </is>
      </c>
      <c r="H142" s="2" t="inlineStr">
        <is>
          <t>original_files/R13937/supplementary/supplementary__34b67bd6389ff22b.doc</t>
        </is>
      </c>
    </row>
    <row r="143" ht="48" customHeight="1">
      <c r="A143" s="3" t="inlineStr">
        <is>
          <t>R07202</t>
        </is>
      </c>
      <c r="B143" s="3" t="inlineStr">
        <is>
          <t>Synergistic association between cytochrome bd-encoded Proteiniphilum and reactive oxygen species (ROS)-scavenging methanogens in microaerobic-anaerobic digestion of lignocellulosic biomass</t>
        </is>
      </c>
      <c r="C143" s="3" t="inlineStr">
        <is>
          <t>附件唯一关联待核实</t>
        </is>
      </c>
      <c r="D143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43" s="3" t="inlineStr"/>
      <c r="F143" s="3" t="inlineStr">
        <is>
          <t>10.1016/j.watres.2020.116721</t>
        </is>
      </c>
      <c r="G143" s="3" t="inlineStr">
        <is>
          <t>附件的原始出版社文件名/下载关联页面；错配文献的目标原件。原件保留，不在本轮追下载。</t>
        </is>
      </c>
      <c r="H143" s="3" t="inlineStr">
        <is>
          <t>original_files/R07202/supplementary/supplementary__3e34694c8a7c6ad9.docx</t>
        </is>
      </c>
    </row>
    <row r="144" ht="48" customHeight="1">
      <c r="A144" s="2" t="inlineStr">
        <is>
          <t>R03965</t>
        </is>
      </c>
      <c r="B144" s="2" t="inlineStr">
        <is>
          <t>Fate of ammonia, solids, sterols, pharmaceuticals and polycyclic aromatic hydrocarbons in anaerobic digestion and intermittent aeration of mixed sludge</t>
        </is>
      </c>
      <c r="C144" s="2" t="inlineStr">
        <is>
          <t>原件身份/角色异常</t>
        </is>
      </c>
      <c r="D144" s="2" t="inlineStr">
        <is>
          <t>上传2019期刊文章，目标为2018会议文献；作者及主题关联，但题名和DOI不同，目标会议全文仍未取得</t>
        </is>
      </c>
      <c r="E144" s="2" t="inlineStr"/>
      <c r="F144" s="2" t="inlineStr">
        <is>
          <t>10.2175/193864718824828948</t>
        </is>
      </c>
      <c r="G144" s="2" t="inlineStr">
        <is>
          <t>附件的原始出版社文件名/下载关联页面；错配文献的目标原件。原件保留，不在本轮追下载。</t>
        </is>
      </c>
      <c r="H144" s="2" t="inlineStr">
        <is>
          <t>original_files/R03965/uncertain/uncertain__409812b8440780af.pdf</t>
        </is>
      </c>
    </row>
    <row r="145" ht="48" customHeight="1">
      <c r="A145" s="3" t="inlineStr">
        <is>
          <t>R13941</t>
        </is>
      </c>
      <c r="B145" s="3" t="inlineStr">
        <is>
          <t>Impact of micro-aerobic conditions in UASB Reactor using media to improve the removal efficiency of organics and nutrients from wastewater</t>
        </is>
      </c>
      <c r="C145" s="3" t="inlineStr">
        <is>
          <t>附件唯一关联待核实</t>
        </is>
      </c>
      <c r="D145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45" s="3" t="inlineStr"/>
      <c r="F145" s="3" t="inlineStr">
        <is>
          <t>10.1080/09593330.2025.2609982</t>
        </is>
      </c>
      <c r="G145" s="3" t="inlineStr">
        <is>
          <t>附件的原始出版社文件名/下载关联页面；错配文献的目标原件。原件保留，不在本轮追下载。</t>
        </is>
      </c>
      <c r="H145" s="3" t="inlineStr">
        <is>
          <t>original_files/R13941/supplementary/supplementary__444972b35253f037.docx</t>
        </is>
      </c>
    </row>
    <row r="146" ht="48" customHeight="1">
      <c r="A146" s="2" t="inlineStr">
        <is>
          <t>R13882</t>
        </is>
      </c>
      <c r="B146" s="2" t="inlineStr">
        <is>
          <t>Practical approaches for retrofitting plug flow digester and process control to maximize hydrolysis and methane yield from piggery waste</t>
        </is>
      </c>
      <c r="C146" s="2" t="inlineStr">
        <is>
          <t>附件唯一关联待核实</t>
        </is>
      </c>
      <c r="D146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46" s="2" t="inlineStr"/>
      <c r="F146" s="2" t="inlineStr">
        <is>
          <t>10.1016/j.jece.2021.105620</t>
        </is>
      </c>
      <c r="G146" s="2" t="inlineStr">
        <is>
          <t>附件的原始出版社文件名/下载关联页面；错配文献的目标原件。原件保留，不在本轮追下载。</t>
        </is>
      </c>
      <c r="H146" s="2" t="inlineStr">
        <is>
          <t>original_files/R13882/supplementary/supplementary__44717b3d77657d0a.doc</t>
        </is>
      </c>
    </row>
    <row r="147" ht="48" customHeight="1">
      <c r="A147" s="3" t="inlineStr">
        <is>
          <t>R11168</t>
        </is>
      </c>
      <c r="B147" s="3" t="inlineStr">
        <is>
          <t>Augmented methanogenic performance in straw-manure co-digestion via micro/nano bubble-enhanced syntrophic metabolism</t>
        </is>
      </c>
      <c r="C147" s="3" t="inlineStr">
        <is>
          <t>附件唯一关联待核实</t>
        </is>
      </c>
      <c r="D147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47" s="3" t="inlineStr"/>
      <c r="F147" s="3" t="inlineStr">
        <is>
          <t>10.1016/j.biortech.2025.132955</t>
        </is>
      </c>
      <c r="G147" s="3" t="inlineStr">
        <is>
          <t>附件的原始出版社文件名/下载关联页面；错配文献的目标原件。原件保留，不在本轮追下载。</t>
        </is>
      </c>
      <c r="H147" s="3" t="inlineStr">
        <is>
          <t>original_files/R11168/supplementary/supplementary__452021d2a82db226.docx</t>
        </is>
      </c>
    </row>
    <row r="148" ht="48" customHeight="1">
      <c r="A148" s="2" t="inlineStr">
        <is>
          <t>R02386</t>
        </is>
      </c>
      <c r="B148" s="2" t="inlineStr">
        <is>
          <t>Comparison of micro-aerobic and anaerobic fermentative hydrogen production from corn straw</t>
        </is>
      </c>
      <c r="C148" s="2" t="inlineStr">
        <is>
          <t>附件唯一关联待核实</t>
        </is>
      </c>
      <c r="D148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48" s="2" t="inlineStr"/>
      <c r="F148" s="2" t="inlineStr">
        <is>
          <t>10.1016/j.ijhydene.2016.01.141</t>
        </is>
      </c>
      <c r="G148" s="2" t="inlineStr">
        <is>
          <t>附件的原始出版社文件名/下载关联页面；错配文献的目标原件。原件保留，不在本轮追下载。</t>
        </is>
      </c>
      <c r="H148" s="2" t="inlineStr">
        <is>
          <t>original_files/R02386/supplementary/supplementary__45b710c2659733b1.txt</t>
        </is>
      </c>
    </row>
    <row r="149" ht="48" customHeight="1">
      <c r="A149" s="3" t="inlineStr">
        <is>
          <t>R10383</t>
        </is>
      </c>
      <c r="B149" s="3" t="inlineStr">
        <is>
          <t>Influence of water electrolysis on hydrolysis and methanogenesis stages of anaerobic digestion at room temperature: Kinetic and metabolic analysis</t>
        </is>
      </c>
      <c r="C149" s="3" t="inlineStr">
        <is>
          <t>附件唯一关联待核实</t>
        </is>
      </c>
      <c r="D149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49" s="3" t="inlineStr"/>
      <c r="F149" s="3" t="inlineStr">
        <is>
          <t>10.1016/j.biortech.2023.130096</t>
        </is>
      </c>
      <c r="G149" s="3" t="inlineStr">
        <is>
          <t>附件的原始出版社文件名/下载关联页面；错配文献的目标原件。原件保留，不在本轮追下载。</t>
        </is>
      </c>
      <c r="H149" s="3" t="inlineStr">
        <is>
          <t>original_files/R10383/supplementary/supplementary__4713f8dfe879de06.jpg</t>
        </is>
      </c>
    </row>
    <row r="150" ht="48" customHeight="1">
      <c r="A150" s="2" t="inlineStr">
        <is>
          <t>R11104</t>
        </is>
      </c>
      <c r="B150" s="2" t="inlineStr">
        <is>
          <t>Alleviation of propionic acid inhibition and enhancement of methane production in anaerobic digestion by micronano-bubble water supplementation</t>
        </is>
      </c>
      <c r="C150" s="2" t="inlineStr">
        <is>
          <t>附件唯一关联待核实</t>
        </is>
      </c>
      <c r="D150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50" s="2" t="inlineStr"/>
      <c r="F150" s="2" t="inlineStr">
        <is>
          <t>10.1016/j.biortech.2025.132425</t>
        </is>
      </c>
      <c r="G150" s="2" t="inlineStr">
        <is>
          <t>附件的原始出版社文件名/下载关联页面；错配文献的目标原件。原件保留，不在本轮追下载。</t>
        </is>
      </c>
      <c r="H150" s="2" t="inlineStr">
        <is>
          <t>original_files/R11104/supplementary/supplementary__5d37f833467dd163.docx</t>
        </is>
      </c>
    </row>
    <row r="151" ht="48" customHeight="1">
      <c r="A151" s="3" t="inlineStr">
        <is>
          <t>R13928</t>
        </is>
      </c>
      <c r="B151" s="3" t="inlineStr">
        <is>
          <t>The impact of aerobic pretreatment of agro and industrial wastes on their biomethanation potential in Nisargruna technology</t>
        </is>
      </c>
      <c r="C151" s="3" t="inlineStr">
        <is>
          <t>原件身份/角色异常</t>
        </is>
      </c>
      <c r="D151" s="3" t="inlineStr">
        <is>
          <t>历史候选抓取物：出版商目录/广告、期刊索引或检索页等，目标身份及正文不成立；原件保留，不计全文或科研补充材料。</t>
        </is>
      </c>
      <c r="E151" s="3" t="inlineStr"/>
      <c r="F151" s="3" t="inlineStr">
        <is>
          <t>10.38150/sajeb.11(5).p548-556</t>
        </is>
      </c>
      <c r="G151" s="3" t="inlineStr">
        <is>
          <t>附件的原始出版社文件名/下载关联页面；错配文献的目标原件。原件保留，不在本轮追下载。</t>
        </is>
      </c>
      <c r="H151" s="3" t="inlineStr">
        <is>
          <t>original_files/R13928/uncertain/uncertain__5dee7aa7153bfd4b.pdf</t>
        </is>
      </c>
    </row>
    <row r="152" ht="48" customHeight="1">
      <c r="A152" s="2" t="inlineStr">
        <is>
          <t>R13879</t>
        </is>
      </c>
      <c r="B152" s="2" t="inlineStr">
        <is>
          <t>Improved anaerobic digestion performance of Miscanthus floridulus by different pretreatment methods and preliminary economic analysis</t>
        </is>
      </c>
      <c r="C152" s="2" t="inlineStr">
        <is>
          <t>附件唯一关联待核实</t>
        </is>
      </c>
      <c r="D152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52" s="2" t="inlineStr"/>
      <c r="F152" s="2" t="inlineStr">
        <is>
          <t>10.1016/j.enconman.2018.01.014</t>
        </is>
      </c>
      <c r="G152" s="2" t="inlineStr">
        <is>
          <t>附件的原始出版社文件名/下载关联页面；错配文献的目标原件。原件保留，不在本轮追下载。</t>
        </is>
      </c>
      <c r="H152" s="2" t="inlineStr">
        <is>
          <t>original_files/R13879/supplementary/supplementary__5f449d5947bff00b.pdf</t>
        </is>
      </c>
    </row>
    <row r="153" ht="48" customHeight="1">
      <c r="A153" s="3" t="inlineStr">
        <is>
          <t>R13683</t>
        </is>
      </c>
      <c r="B153" s="3" t="inlineStr">
        <is>
          <t>Synergistic enhancement of methane yield and odor control in pig manure anaerobic digestion via micro-aeration pretreatment</t>
        </is>
      </c>
      <c r="C153" s="3" t="inlineStr">
        <is>
          <t>附件唯一关联待核实</t>
        </is>
      </c>
      <c r="D153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53" s="3" t="inlineStr"/>
      <c r="F153" s="3" t="inlineStr">
        <is>
          <t>10.1016/j.renene.2026.126304</t>
        </is>
      </c>
      <c r="G153" s="3" t="inlineStr">
        <is>
          <t>附件的原始出版社文件名/下载关联页面；错配文献的目标原件。原件保留，不在本轮追下载。</t>
        </is>
      </c>
      <c r="H153" s="3" t="inlineStr">
        <is>
          <t>original_files/R13683/supplementary/supplementary__5fdf454660591b7e.docx</t>
        </is>
      </c>
    </row>
    <row r="154" ht="48" customHeight="1">
      <c r="A154" s="2" t="inlineStr">
        <is>
          <t>R13949</t>
        </is>
      </c>
      <c r="B154" s="2" t="inlineStr">
        <is>
          <t>Aerobic Pre-treatment for Performance Enhancement of Batch Anaerobic Digestion of Napier Grass</t>
        </is>
      </c>
      <c r="C154" s="2" t="inlineStr">
        <is>
          <t>原件身份/角色异常</t>
        </is>
      </c>
      <c r="D154" s="2" t="inlineStr">
        <is>
          <t>上传Int. J. ChemTech Research 5(2) 558–564 (2013)碱预处理文章；目标为好氧预处理会议论文，处理方法及题名不一致</t>
        </is>
      </c>
      <c r="E154" s="2" t="inlineStr"/>
      <c r="F154" s="2" t="inlineStr">
        <is>
          <t>10.5071/21steubce2013-2dv.4.23</t>
        </is>
      </c>
      <c r="G154" s="2" t="inlineStr">
        <is>
          <t>附件的原始出版社文件名/下载关联页面；错配文献的目标原件。原件保留，不在本轮追下载。</t>
        </is>
      </c>
      <c r="H154" s="2" t="inlineStr">
        <is>
          <t>original_files/R13949/uncertain/uncertain__61944a1f5f79d220.pdf</t>
        </is>
      </c>
    </row>
    <row r="155" ht="48" customHeight="1">
      <c r="A155" s="3" t="inlineStr">
        <is>
          <t>R05173</t>
        </is>
      </c>
      <c r="B155" s="3" t="inlineStr">
        <is>
          <t>Submicron magnetite‐enhanced tribromophenol removal and methanogenesis under microaerobic condition</t>
        </is>
      </c>
      <c r="C155" s="3" t="inlineStr">
        <is>
          <t>附件唯一关联待核实</t>
        </is>
      </c>
      <c r="D155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55" s="3" t="inlineStr"/>
      <c r="F155" s="3" t="inlineStr">
        <is>
          <t>10.1002/jctb.5817</t>
        </is>
      </c>
      <c r="G155" s="3" t="inlineStr">
        <is>
          <t>附件的原始出版社文件名/下载关联页面；错配文献的目标原件。原件保留，不在本轮追下载。</t>
        </is>
      </c>
      <c r="H155" s="3" t="inlineStr">
        <is>
          <t>original_files/R05173/supplementary/supplementary__63ce6947f3cf6519.docx</t>
        </is>
      </c>
    </row>
    <row r="156" ht="48" customHeight="1">
      <c r="A156" s="2" t="inlineStr">
        <is>
          <t>R13928</t>
        </is>
      </c>
      <c r="B156" s="2" t="inlineStr">
        <is>
          <t>The impact of aerobic pretreatment of agro and industrial wastes on their biomethanation potential in Nisargruna technology</t>
        </is>
      </c>
      <c r="C156" s="2" t="inlineStr">
        <is>
          <t>原件身份/角色异常</t>
        </is>
      </c>
      <c r="D156" s="2" t="inlineStr">
        <is>
          <t>历史候选抓取物：出版商目录/广告、期刊索引或检索页等，目标身份及正文不成立；原件保留，不计全文或科研补充材料。</t>
        </is>
      </c>
      <c r="E156" s="2" t="inlineStr"/>
      <c r="F156" s="2" t="inlineStr">
        <is>
          <t>10.38150/sajeb.11(5).p548-556</t>
        </is>
      </c>
      <c r="G156" s="2" t="inlineStr">
        <is>
          <t>附件的原始出版社文件名/下载关联页面；错配文献的目标原件。原件保留，不在本轮追下载。</t>
        </is>
      </c>
      <c r="H156" s="2" t="inlineStr">
        <is>
          <t>original_files/R13928/uncertain/uncertain__647b0753df33daf4.pdf</t>
        </is>
      </c>
    </row>
    <row r="157" ht="48" customHeight="1">
      <c r="A157" s="3" t="inlineStr">
        <is>
          <t>R13816</t>
        </is>
      </c>
      <c r="B157" s="3" t="inlineStr">
        <is>
          <t>Can microaeration and hydraulic retention time steer anaerobic microbiomes toward efficient linear alkylbenzene sulfonate degradation?</t>
        </is>
      </c>
      <c r="C157" s="3" t="inlineStr">
        <is>
          <t>附件唯一关联待核实</t>
        </is>
      </c>
      <c r="D157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57" s="3" t="inlineStr"/>
      <c r="F157" s="3" t="inlineStr">
        <is>
          <t>10.1016/j.biortech.2026.135794</t>
        </is>
      </c>
      <c r="G157" s="3" t="inlineStr">
        <is>
          <t>附件的原始出版社文件名/下载关联页面；错配文献的目标原件。原件保留，不在本轮追下载。</t>
        </is>
      </c>
      <c r="H157" s="3" t="inlineStr">
        <is>
          <t>original_files/R13816/supplementary/supplementary__64c389b828148a72.docx</t>
        </is>
      </c>
    </row>
    <row r="158" ht="48" customHeight="1">
      <c r="A158" s="2" t="inlineStr">
        <is>
          <t>R13939</t>
        </is>
      </c>
      <c r="B158" s="2" t="inlineStr">
        <is>
          <t>Efficient Treatment and Simultaneous Energy Recovery from Cattle Wastewater by the Micro-Aerated UASB and SBR Coupled System</t>
        </is>
      </c>
      <c r="C158" s="2" t="inlineStr">
        <is>
          <t>附件唯一关联待核实</t>
        </is>
      </c>
      <c r="D158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58" s="2" t="inlineStr"/>
      <c r="F158" s="2" t="inlineStr">
        <is>
          <t>10.1021/acsestwater.3c00241</t>
        </is>
      </c>
      <c r="G158" s="2" t="inlineStr">
        <is>
          <t>附件的原始出版社文件名/下载关联页面；错配文献的目标原件。原件保留，不在本轮追下载。</t>
        </is>
      </c>
      <c r="H158" s="2" t="inlineStr">
        <is>
          <t>original_files/R13939/supplementary/supplementary__66e9851e6c1740f0.pdf</t>
        </is>
      </c>
    </row>
    <row r="159" ht="48" customHeight="1">
      <c r="A159" s="3" t="inlineStr">
        <is>
          <t>R13864</t>
        </is>
      </c>
      <c r="B159" s="3" t="inlineStr">
        <is>
          <t>Microaeration promotes volatile siloxanes conversion to methane and simpler monomeric products</t>
        </is>
      </c>
      <c r="C159" s="3" t="inlineStr">
        <is>
          <t>附件唯一关联待核实</t>
        </is>
      </c>
      <c r="D159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59" s="3" t="inlineStr"/>
      <c r="F159" s="3" t="inlineStr">
        <is>
          <t>10.1016/j.biortech.2024.130673</t>
        </is>
      </c>
      <c r="G159" s="3" t="inlineStr">
        <is>
          <t>附件的原始出版社文件名/下载关联页面；错配文献的目标原件。原件保留，不在本轮追下载。</t>
        </is>
      </c>
      <c r="H159" s="3" t="inlineStr">
        <is>
          <t>original_files/R13864/supplementary/supplementary__6a06b7a325461f76.docx</t>
        </is>
      </c>
    </row>
    <row r="160" ht="48" customHeight="1">
      <c r="A160" s="2" t="inlineStr">
        <is>
          <t>R13891</t>
        </is>
      </c>
      <c r="B160" s="2" t="inlineStr">
        <is>
          <t>Enhancement of high-solid chicken manure anaerobic digestion: Insights into ammonia air stripping pretreatment for microbial resilience and hydraulic retention stabilization</t>
        </is>
      </c>
      <c r="C160" s="2" t="inlineStr">
        <is>
          <t>附件唯一关联待核实</t>
        </is>
      </c>
      <c r="D160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60" s="2" t="inlineStr"/>
      <c r="F160" s="2" t="inlineStr">
        <is>
          <t>10.1016/j.biombioe.2025.108098</t>
        </is>
      </c>
      <c r="G160" s="2" t="inlineStr">
        <is>
          <t>附件的原始出版社文件名/下载关联页面；错配文献的目标原件。原件保留，不在本轮追下载。</t>
        </is>
      </c>
      <c r="H160" s="2" t="inlineStr">
        <is>
          <t>original_files/R13891/supplementary/supplementary__6c2b13c51dc6d090.doc</t>
        </is>
      </c>
    </row>
    <row r="161" ht="48" customHeight="1">
      <c r="A161" s="3" t="inlineStr">
        <is>
          <t>R06681</t>
        </is>
      </c>
      <c r="B161" s="3" t="inlineStr">
        <is>
          <t>Enhancing anaerobic digestion of agricultural residues by microaerobic conditions</t>
        </is>
      </c>
      <c r="C161" s="3" t="inlineStr">
        <is>
          <t>附件唯一关联待核实</t>
        </is>
      </c>
      <c r="D161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61" s="3" t="inlineStr"/>
      <c r="F161" s="3" t="inlineStr">
        <is>
          <t>10.1007/s13399-019-00430-4</t>
        </is>
      </c>
      <c r="G161" s="3" t="inlineStr">
        <is>
          <t>附件的原始出版社文件名/下载关联页面；错配文献的目标原件。原件保留，不在本轮追下载。</t>
        </is>
      </c>
      <c r="H161" s="3" t="inlineStr">
        <is>
          <t>original_files/R06681/supplementary/supplementary__6d87338c9b3572e8.xlsx</t>
        </is>
      </c>
    </row>
    <row r="162" ht="48" customHeight="1">
      <c r="A162" s="2" t="inlineStr">
        <is>
          <t>R02386</t>
        </is>
      </c>
      <c r="B162" s="2" t="inlineStr">
        <is>
          <t>Comparison of micro-aerobic and anaerobic fermentative hydrogen production from corn straw</t>
        </is>
      </c>
      <c r="C162" s="2" t="inlineStr">
        <is>
          <t>附件唯一关联待核实</t>
        </is>
      </c>
      <c r="D162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62" s="2" t="inlineStr"/>
      <c r="F162" s="2" t="inlineStr">
        <is>
          <t>10.1016/j.ijhydene.2016.01.141</t>
        </is>
      </c>
      <c r="G162" s="2" t="inlineStr">
        <is>
          <t>附件的原始出版社文件名/下载关联页面；错配文献的目标原件。原件保留，不在本轮追下载。</t>
        </is>
      </c>
      <c r="H162" s="2" t="inlineStr">
        <is>
          <t>original_files/R02386/supplementary/supplementary__6feec398919e2f0e.docx</t>
        </is>
      </c>
    </row>
    <row r="163" ht="48" customHeight="1">
      <c r="A163" s="3" t="inlineStr">
        <is>
          <t>R13884</t>
        </is>
      </c>
      <c r="B163" s="3" t="inlineStr">
        <is>
          <t>Performance evaluation of methanogenic digester using kitchen waste for validation of optimized hydrolysis conditions for reduction in ammonia accumulation</t>
        </is>
      </c>
      <c r="C163" s="3" t="inlineStr">
        <is>
          <t>附件唯一关联待核实</t>
        </is>
      </c>
      <c r="D163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63" s="3" t="inlineStr"/>
      <c r="F163" s="3" t="inlineStr">
        <is>
          <t>10.1016/j.renene.2019.02.023</t>
        </is>
      </c>
      <c r="G163" s="3" t="inlineStr">
        <is>
          <t>附件的原始出版社文件名/下载关联页面；错配文献的目标原件。原件保留，不在本轮追下载。</t>
        </is>
      </c>
      <c r="H163" s="3" t="inlineStr">
        <is>
          <t>original_files/R13884/supplementary/supplementary__6ff25c5becbbfcff.docx</t>
        </is>
      </c>
    </row>
    <row r="164" ht="48" customHeight="1">
      <c r="A164" s="2" t="inlineStr">
        <is>
          <t>R13860</t>
        </is>
      </c>
      <c r="B164" s="2" t="inlineStr">
        <is>
          <t>Unveiling the influence of microaeration and sludge recirculation on enhancement of pharmaceutical removal and microbial community change of the novel anaerobic baffled biofilm - membrane bioreactor in treating building wastewater.</t>
        </is>
      </c>
      <c r="C164" s="2" t="inlineStr">
        <is>
          <t>附件唯一关联待核实</t>
        </is>
      </c>
      <c r="D164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64" s="2" t="inlineStr"/>
      <c r="F164" s="2" t="inlineStr">
        <is>
          <t>10.1016/j.scitotenv.2024.172420</t>
        </is>
      </c>
      <c r="G164" s="2" t="inlineStr">
        <is>
          <t>附件的原始出版社文件名/下载关联页面；错配文献的目标原件。原件保留，不在本轮追下载。</t>
        </is>
      </c>
      <c r="H164" s="2" t="inlineStr">
        <is>
          <t>original_files/R13860/supplementary/supplementary__7473e625ba93185b.pdf</t>
        </is>
      </c>
    </row>
    <row r="165" ht="48" customHeight="1">
      <c r="A165" s="3" t="inlineStr">
        <is>
          <t>R04721</t>
        </is>
      </c>
      <c r="B165" s="3" t="inlineStr">
        <is>
          <t>Effects of Gas Supplying Patterns on Aerobic Anaerobic Biogas Production of Rice Straw</t>
        </is>
      </c>
      <c r="C165" s="3" t="inlineStr">
        <is>
          <t>原件身份/角色异常</t>
        </is>
      </c>
      <c r="D165" s="3" t="inlineStr">
        <is>
          <t>历史候选抓取物：出版商目录/广告、期刊索引或检索页等，目标身份及正文不成立；原件保留，不计全文或科研补充材料。</t>
        </is>
      </c>
      <c r="E165" s="3" t="inlineStr"/>
      <c r="F165" s="3" t="inlineStr">
        <is>
          <t>10.2174/1574893613666180502112425</t>
        </is>
      </c>
      <c r="G165" s="3" t="inlineStr">
        <is>
          <t>附件的原始出版社文件名/下载关联页面；错配文献的目标原件。原件保留，不在本轮追下载。</t>
        </is>
      </c>
      <c r="H165" s="3" t="inlineStr">
        <is>
          <t>original_files/R04721/uncertain/uncertain__78c7e9503d806520.pdf</t>
        </is>
      </c>
    </row>
    <row r="166" ht="48" customHeight="1">
      <c r="A166" s="2" t="inlineStr">
        <is>
          <t>R10191</t>
        </is>
      </c>
      <c r="B166" s="2" t="inlineStr">
        <is>
          <t>Enhancing Anaerobic Digestion of Food Waste by Combining Carriers and Microaeration: Performance and Potential Mechanisms</t>
        </is>
      </c>
      <c r="C166" s="2" t="inlineStr">
        <is>
          <t>附件唯一关联待核实</t>
        </is>
      </c>
      <c r="D166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66" s="2" t="inlineStr"/>
      <c r="F166" s="2" t="inlineStr">
        <is>
          <t>10.1021/acsestengg.4c00298</t>
        </is>
      </c>
      <c r="G166" s="2" t="inlineStr">
        <is>
          <t>附件的原始出版社文件名/下载关联页面；错配文献的目标原件。原件保留，不在本轮追下载。</t>
        </is>
      </c>
      <c r="H166" s="2" t="inlineStr">
        <is>
          <t>original_files/R10191/supplementary/supplementary__7f5add489e7e2f53.xlsx</t>
        </is>
      </c>
    </row>
    <row r="167" ht="48" customHeight="1">
      <c r="A167" s="3" t="inlineStr">
        <is>
          <t>R12953</t>
        </is>
      </c>
      <c r="B167" s="3" t="inlineStr">
        <is>
          <t>Enhancing anaerobic digestion of sulfate-containing organic wastewater through an innovative integration of nitrate addition and microaeration</t>
        </is>
      </c>
      <c r="C167" s="3" t="inlineStr">
        <is>
          <t>附件唯一关联待核实</t>
        </is>
      </c>
      <c r="D167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67" s="3" t="inlineStr"/>
      <c r="F167" s="3" t="inlineStr">
        <is>
          <t>10.1016/j.jclepro.2026.147650</t>
        </is>
      </c>
      <c r="G167" s="3" t="inlineStr">
        <is>
          <t>附件的原始出版社文件名/下载关联页面；错配文献的目标原件。原件保留，不在本轮追下载。</t>
        </is>
      </c>
      <c r="H167" s="3" t="inlineStr">
        <is>
          <t>original_files/R12953/supplementary/supplementary__805c1220c91fcff9.docx</t>
        </is>
      </c>
    </row>
    <row r="168" ht="48" customHeight="1">
      <c r="A168" s="2" t="inlineStr">
        <is>
          <t>R11682</t>
        </is>
      </c>
      <c r="B168" s="2" t="inlineStr">
        <is>
          <t>Improving sludge solubilization and biogas upgrading with eco-friendly garbage enzyme and microaerobic pretreatment: Operational parameters and energy balance</t>
        </is>
      </c>
      <c r="C168" s="2" t="inlineStr">
        <is>
          <t>附件唯一关联待核实</t>
        </is>
      </c>
      <c r="D168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68" s="2" t="inlineStr"/>
      <c r="F168" s="2" t="inlineStr">
        <is>
          <t>10.1016/j.cej.2025.168425</t>
        </is>
      </c>
      <c r="G168" s="2" t="inlineStr">
        <is>
          <t>附件的原始出版社文件名/下载关联页面；错配文献的目标原件。原件保留，不在本轮追下载。</t>
        </is>
      </c>
      <c r="H168" s="2" t="inlineStr">
        <is>
          <t>original_files/R11682/supplementary/supplementary__85675106de1a4833.docx</t>
        </is>
      </c>
    </row>
    <row r="169" ht="48" customHeight="1">
      <c r="A169" s="3" t="inlineStr">
        <is>
          <t>R02863</t>
        </is>
      </c>
      <c r="B169" s="3" t="inlineStr">
        <is>
          <t>Transformations, Inhibition and Inhibition Control Methods of Sulfur in Sludge Anaerobic Digestion: A Review</t>
        </is>
      </c>
      <c r="C169" s="3" t="inlineStr">
        <is>
          <t>原件身份/角色异常</t>
        </is>
      </c>
      <c r="D169" s="3" t="inlineStr">
        <is>
          <t>历史候选抓取物：出版商目录/广告、期刊索引或检索页等，目标身份及正文不成立；原件保留，不计全文或科研补充材料。</t>
        </is>
      </c>
      <c r="E169" s="3" t="inlineStr"/>
      <c r="F169" s="3" t="inlineStr">
        <is>
          <t>10.2174/1385272820666160513152913</t>
        </is>
      </c>
      <c r="G169" s="3" t="inlineStr">
        <is>
          <t>附件的原始出版社文件名/下载关联页面；错配文献的目标原件。原件保留，不在本轮追下载。</t>
        </is>
      </c>
      <c r="H169" s="3" t="inlineStr">
        <is>
          <t>original_files/R02863/uncertain/uncertain__96f875a8ccf3e269.pdf</t>
        </is>
      </c>
    </row>
    <row r="170" ht="48" customHeight="1">
      <c r="A170" s="2" t="inlineStr">
        <is>
          <t>R08393</t>
        </is>
      </c>
      <c r="B170" s="2" t="inlineStr">
        <is>
          <t>The effects of micro-aeration on semi-continued anaerobic digestion of corn straw with increasing organic loading rates</t>
        </is>
      </c>
      <c r="C170" s="2" t="inlineStr">
        <is>
          <t>附件唯一关联待核实</t>
        </is>
      </c>
      <c r="D170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70" s="2" t="inlineStr"/>
      <c r="F170" s="2" t="inlineStr">
        <is>
          <t>10.1016/j.renene.2022.06.106</t>
        </is>
      </c>
      <c r="G170" s="2" t="inlineStr">
        <is>
          <t>附件的原始出版社文件名/下载关联页面；错配文献的目标原件。原件保留，不在本轮追下载。</t>
        </is>
      </c>
      <c r="H170" s="2" t="inlineStr">
        <is>
          <t>original_files/R08393/supplementary/supplementary__97f3045bbf7c1650.docx</t>
        </is>
      </c>
    </row>
    <row r="171" ht="48" customHeight="1">
      <c r="A171" s="3" t="inlineStr">
        <is>
          <t>R13928</t>
        </is>
      </c>
      <c r="B171" s="3" t="inlineStr">
        <is>
          <t>The impact of aerobic pretreatment of agro and industrial wastes on their biomethanation potential in Nisargruna technology</t>
        </is>
      </c>
      <c r="C171" s="3" t="inlineStr">
        <is>
          <t>原件身份/角色异常</t>
        </is>
      </c>
      <c r="D171" s="3" t="inlineStr">
        <is>
          <t>历史候选抓取物：出版商目录/广告、期刊索引或检索页等，目标身份及正文不成立；原件保留，不计全文或科研补充材料。</t>
        </is>
      </c>
      <c r="E171" s="3" t="inlineStr"/>
      <c r="F171" s="3" t="inlineStr">
        <is>
          <t>10.38150/sajeb.11(5).p548-556</t>
        </is>
      </c>
      <c r="G171" s="3" t="inlineStr">
        <is>
          <t>附件的原始出版社文件名/下载关联页面；错配文献的目标原件。原件保留，不在本轮追下载。</t>
        </is>
      </c>
      <c r="H171" s="3" t="inlineStr">
        <is>
          <t>original_files/R13928/uncertain/uncertain__9a5ac478146e1c56.pdf</t>
        </is>
      </c>
    </row>
    <row r="172" ht="48" customHeight="1">
      <c r="A172" s="2" t="inlineStr">
        <is>
          <t>R10187</t>
        </is>
      </c>
      <c r="B172" s="2" t="inlineStr">
        <is>
          <t>Enhancement of methane production from anaerobic digestion of Erigeron canadensis via O2-nanobubble water supplementation</t>
        </is>
      </c>
      <c r="C172" s="2" t="inlineStr">
        <is>
          <t>附件唯一关联待核实</t>
        </is>
      </c>
      <c r="D172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72" s="2" t="inlineStr"/>
      <c r="F172" s="2" t="inlineStr">
        <is>
          <t>10.1016/j.chemosphere.2024.141732</t>
        </is>
      </c>
      <c r="G172" s="2" t="inlineStr">
        <is>
          <t>附件的原始出版社文件名/下载关联页面；错配文献的目标原件。原件保留，不在本轮追下载。</t>
        </is>
      </c>
      <c r="H172" s="2" t="inlineStr">
        <is>
          <t>original_files/R10187/supplementary/supplementary__9b5e4725b27653c8.docx</t>
        </is>
      </c>
    </row>
    <row r="173" ht="48" customHeight="1">
      <c r="A173" s="3" t="inlineStr">
        <is>
          <t>R13912</t>
        </is>
      </c>
      <c r="B173" s="3" t="inlineStr">
        <is>
          <t>The effects and underlying mechanisms of composting and extrusion pretreatment on anaerobic biogas production from wheat straw</t>
        </is>
      </c>
      <c r="C173" s="3" t="inlineStr">
        <is>
          <t>附件唯一关联待核实</t>
        </is>
      </c>
      <c r="D173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73" s="3" t="inlineStr"/>
      <c r="F173" s="3" t="inlineStr">
        <is>
          <t>10.1080/09593330.2026.2727085</t>
        </is>
      </c>
      <c r="G173" s="3" t="inlineStr">
        <is>
          <t>附件的原始出版社文件名/下载关联页面；错配文献的目标原件。原件保留，不在本轮追下载。</t>
        </is>
      </c>
      <c r="H173" s="3" t="inlineStr">
        <is>
          <t>original_files/R13912/supplementary/supplementary__9ba1382da92c8f4d.docx</t>
        </is>
      </c>
    </row>
    <row r="174" ht="48" customHeight="1">
      <c r="A174" s="2" t="inlineStr">
        <is>
          <t>R08280</t>
        </is>
      </c>
      <c r="B174" s="2" t="inlineStr">
        <is>
          <t>Revealing mechanism of micro-aeration for enhancing volatile fatty acids production from swine manure</t>
        </is>
      </c>
      <c r="C174" s="2" t="inlineStr">
        <is>
          <t>附件唯一关联待核实</t>
        </is>
      </c>
      <c r="D174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74" s="2" t="inlineStr"/>
      <c r="F174" s="2" t="inlineStr">
        <is>
          <t>10.1016/j.biortech.2022.128140</t>
        </is>
      </c>
      <c r="G174" s="2" t="inlineStr">
        <is>
          <t>附件的原始出版社文件名/下载关联页面；错配文献的目标原件。原件保留，不在本轮追下载。</t>
        </is>
      </c>
      <c r="H174" s="2" t="inlineStr">
        <is>
          <t>original_files/R08280/supplementary/supplementary__a1191a34988b74dd.docx</t>
        </is>
      </c>
    </row>
    <row r="175" ht="48" customHeight="1">
      <c r="A175" s="3" t="inlineStr">
        <is>
          <t>R10673</t>
        </is>
      </c>
      <c r="B175" s="3" t="inlineStr">
        <is>
          <t>Performance and mechanism of various microaerobic pretreatments on anaerobic digestion of tobacco straw</t>
        </is>
      </c>
      <c r="C175" s="3" t="inlineStr">
        <is>
          <t>附件唯一关联待核实</t>
        </is>
      </c>
      <c r="D175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75" s="3" t="inlineStr"/>
      <c r="F175" s="3" t="inlineStr">
        <is>
          <t>10.1016/j.biortech.2023.130092</t>
        </is>
      </c>
      <c r="G175" s="3" t="inlineStr">
        <is>
          <t>附件的原始出版社文件名/下载关联页面；错配文献的目标原件。原件保留，不在本轮追下载。</t>
        </is>
      </c>
      <c r="H175" s="3" t="inlineStr">
        <is>
          <t>original_files/R10673/supplementary/supplementary__a19650cbbe3bc845.docx</t>
        </is>
      </c>
    </row>
    <row r="176" ht="48" customHeight="1">
      <c r="A176" s="2" t="inlineStr">
        <is>
          <t>R13831</t>
        </is>
      </c>
      <c r="B176" s="2" t="inlineStr">
        <is>
          <t>The effects of initial substrate concentration, C/N ratio, and temperature on solid-state anaerobic digestion from composting rice straw.</t>
        </is>
      </c>
      <c r="C176" s="2" t="inlineStr">
        <is>
          <t>附件唯一关联待核实</t>
        </is>
      </c>
      <c r="D176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76" s="2" t="inlineStr"/>
      <c r="F176" s="2" t="inlineStr">
        <is>
          <t>10.1016/j.biortech.2014.11.089</t>
        </is>
      </c>
      <c r="G176" s="2" t="inlineStr">
        <is>
          <t>附件的原始出版社文件名/下载关联页面；错配文献的目标原件。原件保留，不在本轮追下载。</t>
        </is>
      </c>
      <c r="H176" s="2" t="inlineStr">
        <is>
          <t>original_files/R13831/supplementary/supplementary__aa4099035ce281bf.docx</t>
        </is>
      </c>
    </row>
    <row r="177" ht="48" customHeight="1">
      <c r="A177" s="3" t="inlineStr">
        <is>
          <t>R12509</t>
        </is>
      </c>
      <c r="B177" s="3" t="inlineStr">
        <is>
          <t>A mechanism-guided, low-input Lactiplantibacillus plantarum strategy for attenuating antibiotic resistomes under oxygen re-entry during anaerobic fermentation</t>
        </is>
      </c>
      <c r="C177" s="3" t="inlineStr">
        <is>
          <t>附件唯一关联待核实</t>
        </is>
      </c>
      <c r="D177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77" s="3" t="inlineStr"/>
      <c r="F177" s="3" t="inlineStr">
        <is>
          <t>10.1016/j.cej.2026.178822</t>
        </is>
      </c>
      <c r="G177" s="3" t="inlineStr">
        <is>
          <t>附件的原始出版社文件名/下载关联页面；错配文献的目标原件。原件保留，不在本轮追下载。</t>
        </is>
      </c>
      <c r="H177" s="3" t="inlineStr">
        <is>
          <t>original_files/R12509/supplementary/supplementary__adb008ded6f96dd4.docx</t>
        </is>
      </c>
    </row>
    <row r="178" ht="48" customHeight="1">
      <c r="A178" s="2" t="inlineStr">
        <is>
          <t>R13832</t>
        </is>
      </c>
      <c r="B178" s="2" t="inlineStr">
        <is>
          <t>A membrane aerated biofilm reactor for sulfide control from anaerobically treated wastewater.</t>
        </is>
      </c>
      <c r="C178" s="2" t="inlineStr">
        <is>
          <t>附件唯一关联待核实</t>
        </is>
      </c>
      <c r="D178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78" s="2" t="inlineStr"/>
      <c r="F178" s="2" t="inlineStr">
        <is>
          <t>10.1080/09593330.2018.1441329</t>
        </is>
      </c>
      <c r="G178" s="2" t="inlineStr">
        <is>
          <t>附件的原始出版社文件名/下载关联页面；错配文献的目标原件。原件保留，不在本轮追下载。</t>
        </is>
      </c>
      <c r="H178" s="2" t="inlineStr">
        <is>
          <t>original_files/R13832/supplementary/supplementary__b73db4648f4fe908.docx</t>
        </is>
      </c>
    </row>
    <row r="179" ht="48" customHeight="1">
      <c r="A179" s="3" t="inlineStr">
        <is>
          <t>R04721</t>
        </is>
      </c>
      <c r="B179" s="3" t="inlineStr">
        <is>
          <t>Effects of Gas Supplying Patterns on Aerobic Anaerobic Biogas Production of Rice Straw</t>
        </is>
      </c>
      <c r="C179" s="3" t="inlineStr">
        <is>
          <t>原件身份/角色异常</t>
        </is>
      </c>
      <c r="D179" s="3" t="inlineStr">
        <is>
          <t>历史候选抓取物：出版商目录/广告、期刊索引或检索页等，目标身份及正文不成立；原件保留，不计全文或科研补充材料。</t>
        </is>
      </c>
      <c r="E179" s="3" t="inlineStr"/>
      <c r="F179" s="3" t="inlineStr">
        <is>
          <t>10.2174/1574893613666180502112425</t>
        </is>
      </c>
      <c r="G179" s="3" t="inlineStr">
        <is>
          <t>附件的原始出版社文件名/下载关联页面；错配文献的目标原件。原件保留，不在本轮追下载。</t>
        </is>
      </c>
      <c r="H179" s="3" t="inlineStr">
        <is>
          <t>original_files/R04721/uncertain/uncertain__baf22465d3f7d634.pdf</t>
        </is>
      </c>
    </row>
    <row r="180" ht="48" customHeight="1">
      <c r="A180" s="2" t="inlineStr">
        <is>
          <t>R13928</t>
        </is>
      </c>
      <c r="B180" s="2" t="inlineStr">
        <is>
          <t>The impact of aerobic pretreatment of agro and industrial wastes on their biomethanation potential in Nisargruna technology</t>
        </is>
      </c>
      <c r="C180" s="2" t="inlineStr">
        <is>
          <t>原件身份/角色异常</t>
        </is>
      </c>
      <c r="D180" s="2" t="inlineStr">
        <is>
          <t>历史候选抓取物：出版商目录/广告、期刊索引或检索页等，目标身份及正文不成立；原件保留，不计全文或科研补充材料。</t>
        </is>
      </c>
      <c r="E180" s="2" t="inlineStr"/>
      <c r="F180" s="2" t="inlineStr">
        <is>
          <t>10.38150/sajeb.11(5).p548-556</t>
        </is>
      </c>
      <c r="G180" s="2" t="inlineStr">
        <is>
          <t>附件的原始出版社文件名/下载关联页面；错配文献的目标原件。原件保留，不在本轮追下载。</t>
        </is>
      </c>
      <c r="H180" s="2" t="inlineStr">
        <is>
          <t>original_files/R13928/uncertain/uncertain__bc45c41b0611bb7a.pdf</t>
        </is>
      </c>
    </row>
    <row r="181" ht="48" customHeight="1">
      <c r="A181" s="3" t="inlineStr">
        <is>
          <t>R03518</t>
        </is>
      </c>
      <c r="B181" s="3" t="inlineStr">
        <is>
          <t>Short-term pre-aeration applied to the dry anaerobic digestion of MSW, with a focus on the spectroscopic characteristics of dissolved organic matter</t>
        </is>
      </c>
      <c r="C181" s="3" t="inlineStr">
        <is>
          <t>附件唯一关联待核实</t>
        </is>
      </c>
      <c r="D181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81" s="3" t="inlineStr"/>
      <c r="F181" s="3" t="inlineStr">
        <is>
          <t>10.1016/j.cej.2016.11.020</t>
        </is>
      </c>
      <c r="G181" s="3" t="inlineStr">
        <is>
          <t>附件的原始出版社文件名/下载关联页面；错配文献的目标原件。原件保留，不在本轮追下载。</t>
        </is>
      </c>
      <c r="H181" s="3" t="inlineStr">
        <is>
          <t>original_files/R03518/supplementary/supplementary__be818d1094ea8d29.docx</t>
        </is>
      </c>
    </row>
    <row r="182" ht="48" customHeight="1">
      <c r="A182" s="2" t="inlineStr">
        <is>
          <t>R13826</t>
        </is>
      </c>
      <c r="B182" s="2" t="inlineStr">
        <is>
          <t>Semi-aerobic fermentation as a novel pre-treatment to obtain VFA and increase methane yield from primary sludge</t>
        </is>
      </c>
      <c r="C182" s="2" t="inlineStr">
        <is>
          <t>附件唯一关联待核实</t>
        </is>
      </c>
      <c r="D182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82" s="2" t="inlineStr"/>
      <c r="F182" s="2" t="inlineStr">
        <is>
          <t>10.1016/j.biortech.2015.10.085</t>
        </is>
      </c>
      <c r="G182" s="2" t="inlineStr">
        <is>
          <t>附件的原始出版社文件名/下载关联页面；错配文献的目标原件。原件保留，不在本轮追下载。</t>
        </is>
      </c>
      <c r="H182" s="2" t="inlineStr">
        <is>
          <t>original_files/R13826/supplementary/supplementary__bed7252f1b3a2196.pdf</t>
        </is>
      </c>
    </row>
    <row r="183" ht="48" customHeight="1">
      <c r="A183" s="3" t="inlineStr">
        <is>
          <t>R03220</t>
        </is>
      </c>
      <c r="B183" s="3" t="inlineStr">
        <is>
          <t>Enhanced volatile fatty acids production during anaerobic digestion of lignocellulosic biomass via micro-oxygenation</t>
        </is>
      </c>
      <c r="C183" s="3" t="inlineStr">
        <is>
          <t>附件唯一关联待核实</t>
        </is>
      </c>
      <c r="D183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83" s="3" t="inlineStr"/>
      <c r="F183" s="3" t="inlineStr">
        <is>
          <t>10.1016/j.biortech.2017.02.029</t>
        </is>
      </c>
      <c r="G183" s="3" t="inlineStr">
        <is>
          <t>附件的原始出版社文件名/下载关联页面；错配文献的目标原件。原件保留，不在本轮追下载。</t>
        </is>
      </c>
      <c r="H183" s="3" t="inlineStr">
        <is>
          <t>original_files/R03220/supplementary/supplementary__c26f71c81867faf0.docx</t>
        </is>
      </c>
    </row>
    <row r="184" ht="48" customHeight="1">
      <c r="A184" s="2" t="inlineStr">
        <is>
          <t>R06092</t>
        </is>
      </c>
      <c r="B184" s="2" t="inlineStr">
        <is>
          <t>Simultaneous H2S mitigation and methanization enhancement of chicken manure through the introduction of the micro-aeration approach</t>
        </is>
      </c>
      <c r="C184" s="2" t="inlineStr">
        <is>
          <t>附件唯一关联待核实</t>
        </is>
      </c>
      <c r="D184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84" s="2" t="inlineStr"/>
      <c r="F184" s="2" t="inlineStr">
        <is>
          <t>10.1016/j.chemosphere.2020.126687</t>
        </is>
      </c>
      <c r="G184" s="2" t="inlineStr">
        <is>
          <t>附件的原始出版社文件名/下载关联页面；错配文献的目标原件。原件保留，不在本轮追下载。</t>
        </is>
      </c>
      <c r="H184" s="2" t="inlineStr">
        <is>
          <t>original_files/R06092/supplementary/supplementary__c368ee1db41c7a5d.docx</t>
        </is>
      </c>
    </row>
    <row r="185" ht="48" customHeight="1">
      <c r="A185" s="3" t="inlineStr">
        <is>
          <t>R13937</t>
        </is>
      </c>
      <c r="B185" s="3" t="inlineStr">
        <is>
          <t>Effect of circulation and micro-aeration on sludge characteristics and microbial community in an ABR for treating traditional Chinese medicine wastewater</t>
        </is>
      </c>
      <c r="C185" s="3" t="inlineStr">
        <is>
          <t>附件唯一关联待核实</t>
        </is>
      </c>
      <c r="D185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85" s="3" t="inlineStr"/>
      <c r="F185" s="3" t="inlineStr">
        <is>
          <t>10.1080/09593330.2019.1604818</t>
        </is>
      </c>
      <c r="G185" s="3" t="inlineStr">
        <is>
          <t>附件的原始出版社文件名/下载关联页面；错配文献的目标原件。原件保留，不在本轮追下载。</t>
        </is>
      </c>
      <c r="H185" s="3" t="inlineStr">
        <is>
          <t>original_files/R13937/supplementary/supplementary__c4fe1acf1dc2b187.doc</t>
        </is>
      </c>
    </row>
    <row r="186" ht="48" customHeight="1">
      <c r="A186" s="2" t="inlineStr">
        <is>
          <t>R13863</t>
        </is>
      </c>
      <c r="B186" s="2" t="inlineStr">
        <is>
          <t>Biochemical methane potential from sewage sludge: Effect of an aerobic pretreatment and fly ash addition as source of trace elements.</t>
        </is>
      </c>
      <c r="C186" s="2" t="inlineStr">
        <is>
          <t>附件唯一关联待核实</t>
        </is>
      </c>
      <c r="D186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86" s="2" t="inlineStr"/>
      <c r="F186" s="2" t="inlineStr">
        <is>
          <t>10.1016/j.wasman.2017.03.023</t>
        </is>
      </c>
      <c r="G186" s="2" t="inlineStr">
        <is>
          <t>附件的原始出版社文件名/下载关联页面；错配文献的目标原件。原件保留，不在本轮追下载。</t>
        </is>
      </c>
      <c r="H186" s="2" t="inlineStr">
        <is>
          <t>original_files/R13863/supplementary/supplementary__c96aa2a350b0c45a.docx</t>
        </is>
      </c>
    </row>
    <row r="187" ht="48" customHeight="1">
      <c r="A187" s="3" t="inlineStr">
        <is>
          <t>R13840</t>
        </is>
      </c>
      <c r="B187" s="3" t="inlineStr">
        <is>
          <t>Coupling of membrane-based bubbleless micro-aeration for 2,4-dinitrophenol degradation in a hydrolysis acidification reactor.</t>
        </is>
      </c>
      <c r="C187" s="3" t="inlineStr">
        <is>
          <t>附件唯一关联待核实</t>
        </is>
      </c>
      <c r="D187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87" s="3" t="inlineStr"/>
      <c r="F187" s="3" t="inlineStr">
        <is>
          <t>10.1016/j.watres.2022.118119</t>
        </is>
      </c>
      <c r="G187" s="3" t="inlineStr">
        <is>
          <t>附件的原始出版社文件名/下载关联页面；错配文献的目标原件。原件保留，不在本轮追下载。</t>
        </is>
      </c>
      <c r="H187" s="3" t="inlineStr">
        <is>
          <t>original_files/R13840/supplementary/supplementary__ca2efc324366d4c5.xlsx</t>
        </is>
      </c>
    </row>
    <row r="188" ht="48" customHeight="1">
      <c r="A188" s="2" t="inlineStr">
        <is>
          <t>R12923</t>
        </is>
      </c>
      <c r="B188" s="2" t="inlineStr">
        <is>
          <t>Enhanced anaerobic digestion of rice straw by using microbial pretreatment augmented with micro-nano bubble water</t>
        </is>
      </c>
      <c r="C188" s="2" t="inlineStr">
        <is>
          <t>附件唯一关联待核实</t>
        </is>
      </c>
      <c r="D188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88" s="2" t="inlineStr"/>
      <c r="F188" s="2" t="inlineStr">
        <is>
          <t>10.1016/j.biteb.2025.102484</t>
        </is>
      </c>
      <c r="G188" s="2" t="inlineStr">
        <is>
          <t>附件的原始出版社文件名/下载关联页面；错配文献的目标原件。原件保留，不在本轮追下载。</t>
        </is>
      </c>
      <c r="H188" s="2" t="inlineStr">
        <is>
          <t>original_files/R12923/supplementary/supplementary__d07750b920619855.docx</t>
        </is>
      </c>
    </row>
    <row r="189" ht="48" customHeight="1">
      <c r="A189" s="3" t="inlineStr">
        <is>
          <t>R13928</t>
        </is>
      </c>
      <c r="B189" s="3" t="inlineStr">
        <is>
          <t>The impact of aerobic pretreatment of agro and industrial wastes on their biomethanation potential in Nisargruna technology</t>
        </is>
      </c>
      <c r="C189" s="3" t="inlineStr">
        <is>
          <t>原件身份/角色异常</t>
        </is>
      </c>
      <c r="D189" s="3" t="inlineStr">
        <is>
          <t>历史候选抓取物：出版商目录/广告、期刊索引或检索页等，目标身份及正文不成立；原件保留，不计全文或科研补充材料。</t>
        </is>
      </c>
      <c r="E189" s="3" t="inlineStr"/>
      <c r="F189" s="3" t="inlineStr">
        <is>
          <t>10.38150/sajeb.11(5).p548-556</t>
        </is>
      </c>
      <c r="G189" s="3" t="inlineStr">
        <is>
          <t>附件的原始出版社文件名/下载关联页面；错配文献的目标原件。原件保留，不在本轮追下载。</t>
        </is>
      </c>
      <c r="H189" s="3" t="inlineStr">
        <is>
          <t>original_files/R13928/uncertain/uncertain__dbd72771dcf34508.pdf</t>
        </is>
      </c>
    </row>
    <row r="190" ht="48" customHeight="1">
      <c r="A190" s="2" t="inlineStr">
        <is>
          <t>R08462</t>
        </is>
      </c>
      <c r="B190" s="2" t="inlineStr">
        <is>
          <t>Upgrade the high-load anaerobic digestion and relieve acid stress through the strategy of side-stream micro-aeration: biochemical performances, microbial response and intrinsic mechanisms</t>
        </is>
      </c>
      <c r="C190" s="2" t="inlineStr">
        <is>
          <t>附件唯一关联待核实</t>
        </is>
      </c>
      <c r="D190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90" s="2" t="inlineStr"/>
      <c r="F190" s="2" t="inlineStr">
        <is>
          <t>10.1016/j.watres.2022.118850</t>
        </is>
      </c>
      <c r="G190" s="2" t="inlineStr">
        <is>
          <t>附件的原始出版社文件名/下载关联页面；错配文献的目标原件。原件保留，不在本轮追下载。</t>
        </is>
      </c>
      <c r="H190" s="2" t="inlineStr">
        <is>
          <t>original_files/R08462/supplementary/supplementary__dc9b581bc0cb167a.xlsx</t>
        </is>
      </c>
    </row>
    <row r="191" ht="48" customHeight="1">
      <c r="A191" s="3" t="inlineStr">
        <is>
          <t>R02386</t>
        </is>
      </c>
      <c r="B191" s="3" t="inlineStr">
        <is>
          <t>Comparison of micro-aerobic and anaerobic fermentative hydrogen production from corn straw</t>
        </is>
      </c>
      <c r="C191" s="3" t="inlineStr">
        <is>
          <t>附件唯一关联待核实</t>
        </is>
      </c>
      <c r="D191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91" s="3" t="inlineStr"/>
      <c r="F191" s="3" t="inlineStr">
        <is>
          <t>10.1016/j.ijhydene.2016.01.141</t>
        </is>
      </c>
      <c r="G191" s="3" t="inlineStr">
        <is>
          <t>附件的原始出版社文件名/下载关联页面；错配文献的目标原件。原件保留，不在本轮追下载。</t>
        </is>
      </c>
      <c r="H191" s="3" t="inlineStr">
        <is>
          <t>original_files/R02386/supplementary/supplementary__e0166aff04eddaa4.txt</t>
        </is>
      </c>
    </row>
    <row r="192" ht="48" customHeight="1">
      <c r="A192" s="2" t="inlineStr">
        <is>
          <t>R03475</t>
        </is>
      </c>
      <c r="B192" s="2" t="inlineStr">
        <is>
          <t>Pre-aeration of food waste to augment acidogenic process at higher organic load: Valorizing biohydrogen, volatile fatty acids and biohythane</t>
        </is>
      </c>
      <c r="C192" s="2" t="inlineStr">
        <is>
          <t>附件唯一关联待核实</t>
        </is>
      </c>
      <c r="D192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92" s="2" t="inlineStr"/>
      <c r="F192" s="2" t="inlineStr">
        <is>
          <t>10.1016/j.biortech.2017.05.053</t>
        </is>
      </c>
      <c r="G192" s="2" t="inlineStr">
        <is>
          <t>附件的原始出版社文件名/下载关联页面；错配文献的目标原件。原件保留，不在本轮追下载。</t>
        </is>
      </c>
      <c r="H192" s="2" t="inlineStr">
        <is>
          <t>original_files/R03475/supplementary/supplementary__e076e49096bc6bd6.docx</t>
        </is>
      </c>
    </row>
    <row r="193" ht="48" customHeight="1">
      <c r="A193" s="3" t="inlineStr">
        <is>
          <t>R13832</t>
        </is>
      </c>
      <c r="B193" s="3" t="inlineStr">
        <is>
          <t>A membrane aerated biofilm reactor for sulfide control from anaerobically treated wastewater.</t>
        </is>
      </c>
      <c r="C193" s="3" t="inlineStr">
        <is>
          <t>附件唯一关联待核实</t>
        </is>
      </c>
      <c r="D193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93" s="3" t="inlineStr"/>
      <c r="F193" s="3" t="inlineStr">
        <is>
          <t>10.1080/09593330.2018.1441329</t>
        </is>
      </c>
      <c r="G193" s="3" t="inlineStr">
        <is>
          <t>附件的原始出版社文件名/下载关联页面；错配文献的目标原件。原件保留，不在本轮追下载。</t>
        </is>
      </c>
      <c r="H193" s="3" t="inlineStr">
        <is>
          <t>original_files/R13832/supplementary/supplementary__e96c3a31ec7b58d4.docx</t>
        </is>
      </c>
    </row>
    <row r="194" ht="48" customHeight="1">
      <c r="A194" s="2" t="inlineStr">
        <is>
          <t>R13913</t>
        </is>
      </c>
      <c r="B194" s="2" t="inlineStr">
        <is>
          <t>Microaerobic bio-pretreatment of straw with fermentation broth as inoculum: Enhancing hydrolysis-acidification efficiency</t>
        </is>
      </c>
      <c r="C194" s="2" t="inlineStr">
        <is>
          <t>附件唯一关联待核实</t>
        </is>
      </c>
      <c r="D194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94" s="2" t="inlineStr"/>
      <c r="F194" s="2" t="inlineStr">
        <is>
          <t>10.1016/j.procbio.2026.01.005</t>
        </is>
      </c>
      <c r="G194" s="2" t="inlineStr">
        <is>
          <t>附件的原始出版社文件名/下载关联页面；错配文献的目标原件。原件保留，不在本轮追下载。</t>
        </is>
      </c>
      <c r="H194" s="2" t="inlineStr">
        <is>
          <t>original_files/R13913/supplementary/supplementary__eac1ff89e5ac698b.docx</t>
        </is>
      </c>
    </row>
    <row r="195" ht="48" customHeight="1">
      <c r="A195" s="3" t="inlineStr">
        <is>
          <t>R13274</t>
        </is>
      </c>
      <c r="B195" s="3" t="inlineStr">
        <is>
          <t>Micro-aeration enhances lactic acid production in food waste fermentation</t>
        </is>
      </c>
      <c r="C195" s="3" t="inlineStr">
        <is>
          <t>附件唯一关联待核实</t>
        </is>
      </c>
      <c r="D195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95" s="3" t="inlineStr"/>
      <c r="F195" s="3" t="inlineStr">
        <is>
          <t>10.1016/j.biortech.2025.133807</t>
        </is>
      </c>
      <c r="G195" s="3" t="inlineStr">
        <is>
          <t>附件的原始出版社文件名/下载关联页面；错配文献的目标原件。原件保留，不在本轮追下载。</t>
        </is>
      </c>
      <c r="H195" s="3" t="inlineStr">
        <is>
          <t>original_files/R13274/supplementary/supplementary__ef7b3183c95f4072.xlsx</t>
        </is>
      </c>
    </row>
    <row r="196" ht="48" customHeight="1">
      <c r="A196" s="2" t="inlineStr">
        <is>
          <t>R02386</t>
        </is>
      </c>
      <c r="B196" s="2" t="inlineStr">
        <is>
          <t>Comparison of micro-aerobic and anaerobic fermentative hydrogen production from corn straw</t>
        </is>
      </c>
      <c r="C196" s="2" t="inlineStr">
        <is>
          <t>附件唯一关联待核实</t>
        </is>
      </c>
      <c r="D196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96" s="2" t="inlineStr"/>
      <c r="F196" s="2" t="inlineStr">
        <is>
          <t>10.1016/j.ijhydene.2016.01.141</t>
        </is>
      </c>
      <c r="G196" s="2" t="inlineStr">
        <is>
          <t>附件的原始出版社文件名/下载关联页面；错配文献的目标原件。原件保留，不在本轮追下载。</t>
        </is>
      </c>
      <c r="H196" s="2" t="inlineStr">
        <is>
          <t>original_files/R02386/supplementary/supplementary__f7ab43f63a19c611.txt</t>
        </is>
      </c>
    </row>
    <row r="197" ht="48" customHeight="1">
      <c r="A197" s="3" t="inlineStr">
        <is>
          <t>R11843</t>
        </is>
      </c>
      <c r="B197" s="3" t="inlineStr">
        <is>
          <t>Micro-aeration for hydrogen sulfide reduction in full-scale anaerobic digesters with limited headspace: Performance and sulfide reduction kinetics</t>
        </is>
      </c>
      <c r="C197" s="3" t="inlineStr">
        <is>
          <t>附件唯一关联待核实</t>
        </is>
      </c>
      <c r="D197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197" s="3" t="inlineStr"/>
      <c r="F197" s="3" t="inlineStr">
        <is>
          <t>10.1016/j.psep.2025.106911</t>
        </is>
      </c>
      <c r="G197" s="3" t="inlineStr">
        <is>
          <t>附件的原始出版社文件名/下载关联页面；错配文献的目标原件。原件保留，不在本轮追下载。</t>
        </is>
      </c>
      <c r="H197" s="3" t="inlineStr">
        <is>
          <t>original_files/R11843/supplementary/supplementary__f83ab3567edc6726.docx</t>
        </is>
      </c>
    </row>
    <row r="198" ht="48" customHeight="1">
      <c r="A198" s="2" t="inlineStr">
        <is>
          <t>R13928</t>
        </is>
      </c>
      <c r="B198" s="2" t="inlineStr">
        <is>
          <t>The impact of aerobic pretreatment of agro and industrial wastes on their biomethanation potential in Nisargruna technology</t>
        </is>
      </c>
      <c r="C198" s="2" t="inlineStr">
        <is>
          <t>原件身份/角色异常</t>
        </is>
      </c>
      <c r="D198" s="2" t="inlineStr">
        <is>
          <t>历史候选抓取物：出版商目录/广告、期刊索引或检索页等，目标身份及正文不成立；原件保留，不计全文或科研补充材料。</t>
        </is>
      </c>
      <c r="E198" s="2" t="inlineStr"/>
      <c r="F198" s="2" t="inlineStr">
        <is>
          <t>10.38150/sajeb.11(5).p548-556</t>
        </is>
      </c>
      <c r="G198" s="2" t="inlineStr">
        <is>
          <t>附件的原始出版社文件名/下载关联页面；错配文献的目标原件。原件保留，不在本轮追下载。</t>
        </is>
      </c>
      <c r="H198" s="2" t="inlineStr">
        <is>
          <t>original_files/R13928/uncertain/uncertain__fb6452be0334d630.pdf</t>
        </is>
      </c>
    </row>
    <row r="199" ht="48" customHeight="1">
      <c r="A199" s="3" t="inlineStr">
        <is>
          <t>R13928</t>
        </is>
      </c>
      <c r="B199" s="3" t="inlineStr">
        <is>
          <t>The impact of aerobic pretreatment of agro and industrial wastes on their biomethanation potential in Nisargruna technology</t>
        </is>
      </c>
      <c r="C199" s="3" t="inlineStr">
        <is>
          <t>原件身份/角色异常</t>
        </is>
      </c>
      <c r="D199" s="3" t="inlineStr">
        <is>
          <t>历史候选抓取物：出版商目录/广告、期刊索引或检索页等，目标身份及正文不成立；原件保留，不计全文或科研补充材料。</t>
        </is>
      </c>
      <c r="E199" s="3" t="inlineStr"/>
      <c r="F199" s="3" t="inlineStr">
        <is>
          <t>10.38150/sajeb.11(5).p548-556</t>
        </is>
      </c>
      <c r="G199" s="3" t="inlineStr">
        <is>
          <t>附件的原始出版社文件名/下载关联页面；错配文献的目标原件。原件保留，不在本轮追下载。</t>
        </is>
      </c>
      <c r="H199" s="3" t="inlineStr">
        <is>
          <t>original_files/R13928/uncertain/uncertain__fc155477aa5670a5.pdf</t>
        </is>
      </c>
    </row>
    <row r="200" ht="48" customHeight="1">
      <c r="A200" s="2" t="inlineStr">
        <is>
          <t>R13857</t>
        </is>
      </c>
      <c r="B200" s="2" t="inlineStr">
        <is>
          <t>Effects of biological pretreatments of microalgae on hydrolysis, biomethane potential and microbial community</t>
        </is>
      </c>
      <c r="C200" s="2" t="inlineStr">
        <is>
          <t>附件唯一关联待核实</t>
        </is>
      </c>
      <c r="D200" s="2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200" s="2" t="inlineStr"/>
      <c r="F200" s="2" t="inlineStr">
        <is>
          <t>10.1016/j.biortech.2021.124905</t>
        </is>
      </c>
      <c r="G200" s="2" t="inlineStr">
        <is>
          <t>附件的原始出版社文件名/下载关联页面；错配文献的目标原件。原件保留，不在本轮追下载。</t>
        </is>
      </c>
      <c r="H200" s="2" t="inlineStr">
        <is>
          <t>original_files/R13857/supplementary/supplementary__fddf2286d3aa6622.xlsx</t>
        </is>
      </c>
    </row>
    <row r="201" ht="48" customHeight="1">
      <c r="A201" s="3" t="inlineStr">
        <is>
          <t>R11094</t>
        </is>
      </c>
      <c r="B201" s="3" t="inlineStr">
        <is>
          <t>Aeration promotes Proteobacteria over Firmicutes in macerated food waste, resulting in superior anaerobic digestion efficiency</t>
        </is>
      </c>
      <c r="C201" s="3" t="inlineStr">
        <is>
          <t>附件唯一关联待核实</t>
        </is>
      </c>
      <c r="D201" s="3" t="inlineStr">
        <is>
          <t xml:space="preserve"> 文件可打开且内容为表格/数据/图等补充材料；缺题名/DOI等唯一关联凭据，仅保留目录及内容关联，不能声称已核实附件身份或已收齐全部附件。</t>
        </is>
      </c>
      <c r="E201" s="3" t="inlineStr"/>
      <c r="F201" s="3" t="inlineStr">
        <is>
          <t>10.1093/femsle/fnaf001</t>
        </is>
      </c>
      <c r="G201" s="3" t="inlineStr">
        <is>
          <t>附件的原始出版社文件名/下载关联页面；错配文献的目标原件。原件保留，不在本轮追下载。</t>
        </is>
      </c>
      <c r="H201" s="3" t="inlineStr">
        <is>
          <t>original_files/R11094/supplementary/supplementary__feba3d05f4f0587d.jpg</t>
        </is>
      </c>
    </row>
  </sheetData>
  <autoFilter ref="A1:H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48" customWidth="1" min="6" max="6"/>
    <col width="48" customWidth="1" min="7" max="7"/>
    <col width="48" customWidth="1" min="8" max="8"/>
    <col width="15" customWidth="1" min="9" max="9"/>
  </cols>
  <sheetData>
    <row r="1" ht="34" customHeight="1">
      <c r="A1" s="1" t="inlineStr">
        <is>
          <t>期刊</t>
        </is>
      </c>
      <c r="B1" s="1" t="inlineStr">
        <is>
          <t>ISSN</t>
        </is>
      </c>
      <c r="C1" s="1" t="inlineStr">
        <is>
          <t>eISSN</t>
        </is>
      </c>
      <c r="D1" s="1" t="inlineStr">
        <is>
          <t>指标年份</t>
        </is>
      </c>
      <c r="E1" s="1" t="inlineStr">
        <is>
          <t>发布版本年份</t>
        </is>
      </c>
      <c r="F1" s="1" t="inlineStr">
        <is>
          <t>学科类别</t>
        </is>
      </c>
      <c r="G1" s="1" t="inlineStr">
        <is>
          <t>JIF分区</t>
        </is>
      </c>
      <c r="H1" s="1" t="inlineStr">
        <is>
          <t>查询来源</t>
        </is>
      </c>
      <c r="I1" s="1" t="inlineStr">
        <is>
          <t>核验方式</t>
        </is>
      </c>
    </row>
    <row r="2" ht="48" customHeight="1">
      <c r="A2" s="2" t="inlineStr">
        <is>
          <t>BIORESOURCE TECHNOLOGY</t>
        </is>
      </c>
      <c r="B2" s="2" t="inlineStr">
        <is>
          <t>0960-8524</t>
        </is>
      </c>
      <c r="C2" s="2" t="inlineStr"/>
      <c r="D2" s="2" t="n">
        <v>2024</v>
      </c>
      <c r="E2" s="2" t="n">
        <v>2025</v>
      </c>
      <c r="F2" s="2" t="inlineStr">
        <is>
          <t>AGRICULTURAL ENGINEERING</t>
        </is>
      </c>
      <c r="G2" s="2" t="inlineStr">
        <is>
          <t>Q1</t>
        </is>
      </c>
      <c r="H2" s="2" t="inlineStr">
        <is>
          <t>https://topj.lib.whu.edu.cn/show.asp?cat=zk&amp;id=3976</t>
        </is>
      </c>
      <c r="I2" s="2" t="inlineStr">
        <is>
          <t>机构JCR栏：搜索索引可核验；原页面直连未成功；非Clarivate账户导出</t>
        </is>
      </c>
    </row>
    <row r="3" ht="48" customHeight="1">
      <c r="A3" s="3" t="inlineStr">
        <is>
          <t>BIORESOURCE TECHNOLOGY</t>
        </is>
      </c>
      <c r="B3" s="3" t="inlineStr">
        <is>
          <t>0960-8524</t>
        </is>
      </c>
      <c r="C3" s="3" t="inlineStr"/>
      <c r="D3" s="3" t="n">
        <v>2024</v>
      </c>
      <c r="E3" s="3" t="n">
        <v>2025</v>
      </c>
      <c r="F3" s="3" t="inlineStr">
        <is>
          <t>BIOTECHNOLOGY &amp; APPLIED MICROBIOLOGY</t>
        </is>
      </c>
      <c r="G3" s="3" t="inlineStr">
        <is>
          <t>Q1</t>
        </is>
      </c>
      <c r="H3" s="3" t="inlineStr">
        <is>
          <t>https://topj.lib.whu.edu.cn/show.asp?cat=zk&amp;id=3976</t>
        </is>
      </c>
      <c r="I3" s="3" t="inlineStr">
        <is>
          <t>机构JCR栏：搜索索引可核验；原页面直连未成功；非Clarivate账户导出</t>
        </is>
      </c>
    </row>
    <row r="4" ht="48" customHeight="1">
      <c r="A4" s="2" t="inlineStr">
        <is>
          <t>BIORESOURCE TECHNOLOGY</t>
        </is>
      </c>
      <c r="B4" s="2" t="inlineStr">
        <is>
          <t>0960-8524</t>
        </is>
      </c>
      <c r="C4" s="2" t="inlineStr"/>
      <c r="D4" s="2" t="n">
        <v>2024</v>
      </c>
      <c r="E4" s="2" t="n">
        <v>2025</v>
      </c>
      <c r="F4" s="2" t="inlineStr">
        <is>
          <t>ENERGY &amp; FUELS</t>
        </is>
      </c>
      <c r="G4" s="2" t="inlineStr">
        <is>
          <t>Q1</t>
        </is>
      </c>
      <c r="H4" s="2" t="inlineStr">
        <is>
          <t>https://topj.lib.whu.edu.cn/show.asp?cat=zk&amp;id=3976</t>
        </is>
      </c>
      <c r="I4" s="2" t="inlineStr">
        <is>
          <t>机构JCR栏：搜索索引可核验；原页面直连未成功；非Clarivate账户导出</t>
        </is>
      </c>
    </row>
    <row r="5" ht="48" customHeight="1">
      <c r="A5" s="3" t="inlineStr">
        <is>
          <t>Chemical Engineering Journal</t>
        </is>
      </c>
      <c r="B5" s="3" t="inlineStr">
        <is>
          <t>1385-8947</t>
        </is>
      </c>
      <c r="C5" s="3" t="inlineStr"/>
      <c r="D5" s="3" t="n">
        <v>2024</v>
      </c>
      <c r="E5" s="3" t="n">
        <v>2025</v>
      </c>
      <c r="F5" s="3" t="inlineStr">
        <is>
          <t>ENGINEERING, CHEMICAL</t>
        </is>
      </c>
      <c r="G5" s="3" t="inlineStr">
        <is>
          <t>Q1</t>
        </is>
      </c>
      <c r="H5" s="3" t="inlineStr">
        <is>
          <t>https://topj.lib.whu.edu.cn/show.asp?cat=zk&amp;id=2740</t>
        </is>
      </c>
      <c r="I5" s="3" t="inlineStr">
        <is>
          <t>机构JCR栏：搜索索引可核验；原页面直连未成功；非Clarivate账户导出</t>
        </is>
      </c>
    </row>
    <row r="6" ht="48" customHeight="1">
      <c r="A6" s="2" t="inlineStr">
        <is>
          <t>Chemical Engineering Journal</t>
        </is>
      </c>
      <c r="B6" s="2" t="inlineStr">
        <is>
          <t>1385-8947</t>
        </is>
      </c>
      <c r="C6" s="2" t="inlineStr"/>
      <c r="D6" s="2" t="n">
        <v>2024</v>
      </c>
      <c r="E6" s="2" t="n">
        <v>2025</v>
      </c>
      <c r="F6" s="2" t="inlineStr">
        <is>
          <t>ENGINEERING, ENVIRONMENTAL</t>
        </is>
      </c>
      <c r="G6" s="2" t="inlineStr">
        <is>
          <t>Q1</t>
        </is>
      </c>
      <c r="H6" s="2" t="inlineStr">
        <is>
          <t>https://topj.lib.whu.edu.cn/show.asp?cat=zk&amp;id=2740</t>
        </is>
      </c>
      <c r="I6" s="2" t="inlineStr">
        <is>
          <t>机构JCR栏：搜索索引可核验；原页面直连未成功；非Clarivate账户导出</t>
        </is>
      </c>
    </row>
    <row r="7" ht="48" customHeight="1">
      <c r="A7" s="3" t="inlineStr">
        <is>
          <t>Waste Management</t>
        </is>
      </c>
      <c r="B7" s="3" t="inlineStr">
        <is>
          <t>0956-053X</t>
        </is>
      </c>
      <c r="C7" s="3" t="inlineStr"/>
      <c r="D7" s="3" t="n">
        <v>2024</v>
      </c>
      <c r="E7" s="3" t="n">
        <v>2025</v>
      </c>
      <c r="F7" s="3" t="inlineStr">
        <is>
          <t>ENGINEERING, ENVIRONMENTAL</t>
        </is>
      </c>
      <c r="G7" s="3" t="inlineStr">
        <is>
          <t>Q1</t>
        </is>
      </c>
      <c r="H7" s="3" t="inlineStr">
        <is>
          <t>https://topj.lib.whu.edu.cn/show.asp?cat=zk&amp;id=4000</t>
        </is>
      </c>
      <c r="I7" s="3" t="inlineStr">
        <is>
          <t>机构JCR栏：搜索索引可核验；原页面直连未成功；非Clarivate账户导出</t>
        </is>
      </c>
    </row>
    <row r="8" ht="48" customHeight="1">
      <c r="A8" s="2" t="inlineStr">
        <is>
          <t>Waste Management</t>
        </is>
      </c>
      <c r="B8" s="2" t="inlineStr">
        <is>
          <t>0956-053X</t>
        </is>
      </c>
      <c r="C8" s="2" t="inlineStr"/>
      <c r="D8" s="2" t="n">
        <v>2024</v>
      </c>
      <c r="E8" s="2" t="n">
        <v>2025</v>
      </c>
      <c r="F8" s="2" t="inlineStr">
        <is>
          <t>ENVIRONMENTAL SCIENCES</t>
        </is>
      </c>
      <c r="G8" s="2" t="inlineStr">
        <is>
          <t>Q1</t>
        </is>
      </c>
      <c r="H8" s="2" t="inlineStr">
        <is>
          <t>https://topj.lib.whu.edu.cn/show.asp?cat=zk&amp;id=4000</t>
        </is>
      </c>
      <c r="I8" s="2" t="inlineStr">
        <is>
          <t>机构JCR栏：搜索索引可核验；原页面直连未成功；非Clarivate账户导出</t>
        </is>
      </c>
    </row>
    <row r="9" ht="48" customHeight="1">
      <c r="A9" s="3" t="inlineStr">
        <is>
          <t>WATER RESEARCH</t>
        </is>
      </c>
      <c r="B9" s="3" t="inlineStr">
        <is>
          <t>0043-1354</t>
        </is>
      </c>
      <c r="C9" s="3" t="inlineStr"/>
      <c r="D9" s="3" t="n">
        <v>2024</v>
      </c>
      <c r="E9" s="3" t="n">
        <v>2025</v>
      </c>
      <c r="F9" s="3" t="inlineStr">
        <is>
          <t>WATER RESOURCES</t>
        </is>
      </c>
      <c r="G9" s="3" t="inlineStr">
        <is>
          <t>Q1</t>
        </is>
      </c>
      <c r="H9" s="3" t="inlineStr">
        <is>
          <t>https://topj.lib.whu.edu.cn/show.asp?cat=zk&amp;id=3962</t>
        </is>
      </c>
      <c r="I9" s="3" t="inlineStr">
        <is>
          <t>机构JCR栏：搜索索引可核验；原页面直连未成功；非Clarivate账户导出</t>
        </is>
      </c>
    </row>
    <row r="10" ht="48" customHeight="1">
      <c r="A10" s="2" t="inlineStr">
        <is>
          <t>WATER RESEARCH</t>
        </is>
      </c>
      <c r="B10" s="2" t="inlineStr">
        <is>
          <t>0043-1354</t>
        </is>
      </c>
      <c r="C10" s="2" t="inlineStr"/>
      <c r="D10" s="2" t="n">
        <v>2024</v>
      </c>
      <c r="E10" s="2" t="n">
        <v>2025</v>
      </c>
      <c r="F10" s="2" t="inlineStr">
        <is>
          <t>ENGINEERING, ENVIRONMENTAL</t>
        </is>
      </c>
      <c r="G10" s="2" t="inlineStr">
        <is>
          <t>Q1</t>
        </is>
      </c>
      <c r="H10" s="2" t="inlineStr">
        <is>
          <t>https://topj.lib.whu.edu.cn/show.asp?cat=zk&amp;id=3962</t>
        </is>
      </c>
      <c r="I10" s="2" t="inlineStr">
        <is>
          <t>机构JCR栏：搜索索引可核验；原页面直连未成功；非Clarivate账户导出</t>
        </is>
      </c>
    </row>
    <row r="11" ht="48" customHeight="1">
      <c r="A11" s="3" t="inlineStr">
        <is>
          <t>WATER RESEARCH</t>
        </is>
      </c>
      <c r="B11" s="3" t="inlineStr">
        <is>
          <t>0043-1354</t>
        </is>
      </c>
      <c r="C11" s="3" t="inlineStr"/>
      <c r="D11" s="3" t="n">
        <v>2024</v>
      </c>
      <c r="E11" s="3" t="n">
        <v>2025</v>
      </c>
      <c r="F11" s="3" t="inlineStr">
        <is>
          <t>ENVIRONMENTAL SCIENCES</t>
        </is>
      </c>
      <c r="G11" s="3" t="inlineStr">
        <is>
          <t>Q1</t>
        </is>
      </c>
      <c r="H11" s="3" t="inlineStr">
        <is>
          <t>https://topj.lib.whu.edu.cn/show.asp?cat=zk&amp;id=3962</t>
        </is>
      </c>
      <c r="I11" s="3" t="inlineStr">
        <is>
          <t>机构JCR栏：搜索索引可核验；原页面直连未成功；非Clarivate账户导出</t>
        </is>
      </c>
    </row>
    <row r="12" ht="48" customHeight="1">
      <c r="A12" s="2" t="inlineStr">
        <is>
          <t>ENVIRONMENTAL TECHNOLOGY</t>
        </is>
      </c>
      <c r="B12" s="2" t="inlineStr">
        <is>
          <t>0959-3330</t>
        </is>
      </c>
      <c r="C12" s="2" t="inlineStr">
        <is>
          <t>1479-487X</t>
        </is>
      </c>
      <c r="D12" s="2" t="n">
        <v>2024</v>
      </c>
      <c r="E12" s="2" t="n">
        <v>2025</v>
      </c>
      <c r="F12" s="2" t="inlineStr">
        <is>
          <t>ENVIRONMENTAL SCIENCES</t>
        </is>
      </c>
      <c r="G12" s="2" t="inlineStr">
        <is>
          <t>Q3</t>
        </is>
      </c>
      <c r="H12" s="2" t="inlineStr">
        <is>
          <t>https://topj.lib.whu.edu.cn/searchxk1.asp?ordertype=desc&amp;page=11&amp;q=&amp;xk=488</t>
        </is>
      </c>
      <c r="I12" s="2" t="inlineStr">
        <is>
          <t>机构2024年JCR列表栏：搜索索引可核验；原页直连未成功；仅统计已显示学科</t>
        </is>
      </c>
    </row>
    <row r="13" ht="48" customHeight="1">
      <c r="A13" s="3" t="inlineStr">
        <is>
          <t>Renewable Energy</t>
        </is>
      </c>
      <c r="B13" s="3" t="inlineStr">
        <is>
          <t>0960-1481</t>
        </is>
      </c>
      <c r="C13" s="3" t="inlineStr"/>
      <c r="D13" s="3" t="n">
        <v>2024</v>
      </c>
      <c r="E13" s="3" t="n">
        <v>2025</v>
      </c>
      <c r="F13" s="3" t="inlineStr">
        <is>
          <t>ENERGY &amp; FUELS</t>
        </is>
      </c>
      <c r="G13" s="3" t="inlineStr">
        <is>
          <t>Q1</t>
        </is>
      </c>
      <c r="H13" s="3" t="inlineStr">
        <is>
          <t>https://topj.lib.whu.edu.cn/show.asp?cat=sci&amp;id=8240</t>
        </is>
      </c>
      <c r="I13" s="3" t="inlineStr">
        <is>
          <t>机构JCR栏：搜索索引可核验；原页面直连未成功；非Clarivate账户导出</t>
        </is>
      </c>
    </row>
    <row r="14" ht="48" customHeight="1">
      <c r="A14" s="2" t="inlineStr">
        <is>
          <t>Renewable Energy</t>
        </is>
      </c>
      <c r="B14" s="2" t="inlineStr">
        <is>
          <t>0960-1481</t>
        </is>
      </c>
      <c r="C14" s="2" t="inlineStr"/>
      <c r="D14" s="2" t="n">
        <v>2024</v>
      </c>
      <c r="E14" s="2" t="n">
        <v>2025</v>
      </c>
      <c r="F14" s="2" t="inlineStr">
        <is>
          <t>GREEN &amp; SUSTAINABLE SCIENCE &amp; TECHNOLOGY</t>
        </is>
      </c>
      <c r="G14" s="2" t="inlineStr">
        <is>
          <t>Q1</t>
        </is>
      </c>
      <c r="H14" s="2" t="inlineStr">
        <is>
          <t>https://topj.lib.whu.edu.cn/show.asp?cat=sci&amp;id=8240</t>
        </is>
      </c>
      <c r="I14" s="2" t="inlineStr">
        <is>
          <t>机构JCR栏：搜索索引可核验；原页面直连未成功；非Clarivate账户导出</t>
        </is>
      </c>
    </row>
    <row r="15" ht="48" customHeight="1">
      <c r="A15" s="3" t="inlineStr">
        <is>
          <t>Science of The Total Environment</t>
        </is>
      </c>
      <c r="B15" s="3" t="inlineStr">
        <is>
          <t>0048-9697</t>
        </is>
      </c>
      <c r="C15" s="3" t="inlineStr"/>
      <c r="D15" s="3" t="n">
        <v>2024</v>
      </c>
      <c r="E15" s="3" t="n">
        <v>2025</v>
      </c>
      <c r="F15" s="3" t="inlineStr">
        <is>
          <t>ENVIRONMENTAL SCIENCES</t>
        </is>
      </c>
      <c r="G15" s="3" t="inlineStr">
        <is>
          <t>Q1</t>
        </is>
      </c>
      <c r="H15" s="3" t="inlineStr">
        <is>
          <t>https://topj.lib.whu.edu.cn/show.asp?cat=zk&amp;id=4001</t>
        </is>
      </c>
      <c r="I15" s="3" t="inlineStr">
        <is>
          <t>机构JCR栏：搜索索引可核验；原页面直连未成功；非Clarivate账户导出</t>
        </is>
      </c>
    </row>
    <row r="16" ht="48" customHeight="1">
      <c r="A16" s="2" t="inlineStr">
        <is>
          <t>Journal of Environmental Management</t>
        </is>
      </c>
      <c r="B16" s="2" t="inlineStr">
        <is>
          <t>0301-4797</t>
        </is>
      </c>
      <c r="C16" s="2" t="inlineStr"/>
      <c r="D16" s="2" t="n">
        <v>2024</v>
      </c>
      <c r="E16" s="2" t="n">
        <v>2025</v>
      </c>
      <c r="F16" s="2" t="inlineStr">
        <is>
          <t>ENVIRONMENTAL SCIENCES</t>
        </is>
      </c>
      <c r="G16" s="2" t="inlineStr">
        <is>
          <t>Q1</t>
        </is>
      </c>
      <c r="H16" s="2" t="inlineStr">
        <is>
          <t>https://topj.lib.whu.edu.cn/show.asp?cat=sci&amp;id=6965</t>
        </is>
      </c>
      <c r="I16" s="2" t="inlineStr">
        <is>
          <t>机构JCR栏：搜索索引可核验；原页面直连未成功；非Clarivate账户导出</t>
        </is>
      </c>
    </row>
    <row r="17" ht="48" customHeight="1">
      <c r="A17" s="3" t="inlineStr">
        <is>
          <t>WATER SCIENCE AND TECHNOLOGY</t>
        </is>
      </c>
      <c r="B17" s="3" t="inlineStr">
        <is>
          <t>0273-1223</t>
        </is>
      </c>
      <c r="C17" s="3" t="inlineStr">
        <is>
          <t>1996-9732</t>
        </is>
      </c>
      <c r="D17" s="3" t="n">
        <v>2024</v>
      </c>
      <c r="E17" s="3" t="n">
        <v>2025</v>
      </c>
      <c r="F17" s="3" t="inlineStr">
        <is>
          <t>WATER RESOURCES</t>
        </is>
      </c>
      <c r="G17" s="3" t="inlineStr">
        <is>
          <t>Q2</t>
        </is>
      </c>
      <c r="H17" s="3" t="inlineStr">
        <is>
          <t>https://topj.lib.whu.edu.cn/search2.asp?ordertype=&amp;page=2&amp;q=&amp;sea=w&amp;searchtype=esi</t>
        </is>
      </c>
      <c r="I17" s="3" t="inlineStr">
        <is>
          <t>机构2024年JCR列表栏：搜索索引可核验；原页直连未成功；仅统计已显示学科</t>
        </is>
      </c>
    </row>
    <row r="18" ht="48" customHeight="1">
      <c r="A18" s="2" t="inlineStr">
        <is>
          <t>WATER SCIENCE AND TECHNOLOGY</t>
        </is>
      </c>
      <c r="B18" s="2" t="inlineStr">
        <is>
          <t>0273-1223</t>
        </is>
      </c>
      <c r="C18" s="2" t="inlineStr">
        <is>
          <t>1996-9732</t>
        </is>
      </c>
      <c r="D18" s="2" t="n">
        <v>2024</v>
      </c>
      <c r="E18" s="2" t="n">
        <v>2025</v>
      </c>
      <c r="F18" s="2" t="inlineStr">
        <is>
          <t>ENGINEERING, ENVIRONMENTAL</t>
        </is>
      </c>
      <c r="G18" s="2" t="inlineStr">
        <is>
          <t>Q3</t>
        </is>
      </c>
      <c r="H18" s="2" t="inlineStr">
        <is>
          <t>https://topj.lib.whu.edu.cn/search2.asp?ordertype=&amp;page=2&amp;q=&amp;sea=w&amp;searchtype=esi</t>
        </is>
      </c>
      <c r="I18" s="2" t="inlineStr">
        <is>
          <t>机构2024年JCR列表栏：搜索索引可核验；原页直连未成功；仅统计已显示学科</t>
        </is>
      </c>
    </row>
    <row r="19" ht="48" customHeight="1">
      <c r="A19" s="3" t="inlineStr">
        <is>
          <t>WATER SCIENCE AND TECHNOLOGY</t>
        </is>
      </c>
      <c r="B19" s="3" t="inlineStr">
        <is>
          <t>0273-1223</t>
        </is>
      </c>
      <c r="C19" s="3" t="inlineStr">
        <is>
          <t>1996-9732</t>
        </is>
      </c>
      <c r="D19" s="3" t="n">
        <v>2024</v>
      </c>
      <c r="E19" s="3" t="n">
        <v>2025</v>
      </c>
      <c r="F19" s="3" t="inlineStr">
        <is>
          <t>ENVIRONMENTAL SCIENCES</t>
        </is>
      </c>
      <c r="G19" s="3" t="inlineStr">
        <is>
          <t>Q3</t>
        </is>
      </c>
      <c r="H19" s="3" t="inlineStr">
        <is>
          <t>https://topj.lib.whu.edu.cn/search2.asp?ordertype=&amp;page=2&amp;q=&amp;sea=w&amp;searchtype=esi</t>
        </is>
      </c>
      <c r="I19" s="3" t="inlineStr">
        <is>
          <t>机构2024年JCR列表栏：搜索索引可核验；原页直连未成功；仅统计已显示学科</t>
        </is>
      </c>
    </row>
    <row r="20" ht="48" customHeight="1">
      <c r="A20" s="2" t="inlineStr">
        <is>
          <t>Fuel</t>
        </is>
      </c>
      <c r="B20" s="2" t="inlineStr">
        <is>
          <t>0016-2361</t>
        </is>
      </c>
      <c r="C20" s="2" t="inlineStr"/>
      <c r="D20" s="2" t="n">
        <v>2024</v>
      </c>
      <c r="E20" s="2" t="n">
        <v>2025</v>
      </c>
      <c r="F20" s="2" t="inlineStr">
        <is>
          <t>ENERGY &amp; FUELS</t>
        </is>
      </c>
      <c r="G20" s="2" t="inlineStr">
        <is>
          <t>Q1</t>
        </is>
      </c>
      <c r="H20" s="2" t="inlineStr">
        <is>
          <t>https://topj.lib.whu.edu.cn/show.asp?cat=sci&amp;id=5597</t>
        </is>
      </c>
      <c r="I20" s="2" t="inlineStr">
        <is>
          <t>机构JCR栏：搜索索引可核验；原页面直连未成功；非Clarivate账户导出</t>
        </is>
      </c>
    </row>
    <row r="21" ht="48" customHeight="1">
      <c r="A21" s="3" t="inlineStr">
        <is>
          <t>Fuel</t>
        </is>
      </c>
      <c r="B21" s="3" t="inlineStr">
        <is>
          <t>0016-2361</t>
        </is>
      </c>
      <c r="C21" s="3" t="inlineStr"/>
      <c r="D21" s="3" t="n">
        <v>2024</v>
      </c>
      <c r="E21" s="3" t="n">
        <v>2025</v>
      </c>
      <c r="F21" s="3" t="inlineStr">
        <is>
          <t>ENGINEERING, CHEMICAL</t>
        </is>
      </c>
      <c r="G21" s="3" t="inlineStr">
        <is>
          <t>Q1</t>
        </is>
      </c>
      <c r="H21" s="3" t="inlineStr">
        <is>
          <t>https://topj.lib.whu.edu.cn/show.asp?cat=sci&amp;id=5597</t>
        </is>
      </c>
      <c r="I21" s="3" t="inlineStr">
        <is>
          <t>机构JCR栏：搜索索引可核验；原页面直连未成功；非Clarivate账户导出</t>
        </is>
      </c>
    </row>
    <row r="22" ht="48" customHeight="1">
      <c r="A22" s="2" t="inlineStr">
        <is>
          <t>JOURNAL OF CLEANER PRODUCTION</t>
        </is>
      </c>
      <c r="B22" s="2" t="inlineStr">
        <is>
          <t>0959-6526</t>
        </is>
      </c>
      <c r="C22" s="2" t="inlineStr"/>
      <c r="D22" s="2" t="n">
        <v>2024</v>
      </c>
      <c r="E22" s="2" t="n">
        <v>2025</v>
      </c>
      <c r="F22" s="2" t="inlineStr">
        <is>
          <t>ENGINEERING, ENVIRONMENTAL</t>
        </is>
      </c>
      <c r="G22" s="2" t="inlineStr">
        <is>
          <t>Q1</t>
        </is>
      </c>
      <c r="H22" s="2" t="inlineStr">
        <is>
          <t>https://topj.lib.whu.edu.cn/show.asp?cat=esi&amp;id=6394</t>
        </is>
      </c>
      <c r="I22" s="2" t="inlineStr">
        <is>
          <t>机构JCR栏：搜索索引可核验；原页面直连未成功；非Clarivate账户导出</t>
        </is>
      </c>
    </row>
    <row r="23" ht="48" customHeight="1">
      <c r="A23" s="3" t="inlineStr">
        <is>
          <t>JOURNAL OF CLEANER PRODUCTION</t>
        </is>
      </c>
      <c r="B23" s="3" t="inlineStr">
        <is>
          <t>0959-6526</t>
        </is>
      </c>
      <c r="C23" s="3" t="inlineStr"/>
      <c r="D23" s="3" t="n">
        <v>2024</v>
      </c>
      <c r="E23" s="3" t="n">
        <v>2025</v>
      </c>
      <c r="F23" s="3" t="inlineStr">
        <is>
          <t>ENVIRONMENTAL SCIENCES</t>
        </is>
      </c>
      <c r="G23" s="3" t="inlineStr">
        <is>
          <t>Q1</t>
        </is>
      </c>
      <c r="H23" s="3" t="inlineStr">
        <is>
          <t>https://topj.lib.whu.edu.cn/show.asp?cat=esi&amp;id=6394</t>
        </is>
      </c>
      <c r="I23" s="3" t="inlineStr">
        <is>
          <t>机构JCR栏：搜索索引可核验；原页面直连未成功；非Clarivate账户导出</t>
        </is>
      </c>
    </row>
    <row r="24" ht="48" customHeight="1">
      <c r="A24" s="2" t="inlineStr">
        <is>
          <t>JOURNAL OF CLEANER PRODUCTION</t>
        </is>
      </c>
      <c r="B24" s="2" t="inlineStr">
        <is>
          <t>0959-6526</t>
        </is>
      </c>
      <c r="C24" s="2" t="inlineStr"/>
      <c r="D24" s="2" t="n">
        <v>2024</v>
      </c>
      <c r="E24" s="2" t="n">
        <v>2025</v>
      </c>
      <c r="F24" s="2" t="inlineStr">
        <is>
          <t>GREEN &amp; SUSTAINABLE SCIENCE &amp; TECHNOLOGY</t>
        </is>
      </c>
      <c r="G24" s="2" t="inlineStr">
        <is>
          <t>Q1</t>
        </is>
      </c>
      <c r="H24" s="2" t="inlineStr">
        <is>
          <t>https://topj.lib.whu.edu.cn/show.asp?cat=esi&amp;id=6394</t>
        </is>
      </c>
      <c r="I24" s="2" t="inlineStr">
        <is>
          <t>机构JCR栏：搜索索引可核验；原页面直连未成功；非Clarivate账户导出</t>
        </is>
      </c>
    </row>
    <row r="25" ht="48" customHeight="1">
      <c r="A25" s="3" t="inlineStr">
        <is>
          <t>Journal of Environmental Chemical Engineering</t>
        </is>
      </c>
      <c r="B25" s="3" t="inlineStr">
        <is>
          <t>2213-3437</t>
        </is>
      </c>
      <c r="C25" s="3" t="inlineStr"/>
      <c r="D25" s="3" t="n">
        <v>2024</v>
      </c>
      <c r="E25" s="3" t="n">
        <v>2025</v>
      </c>
      <c r="F25" s="3" t="inlineStr">
        <is>
          <t>ENGINEERING, CHEMICAL</t>
        </is>
      </c>
      <c r="G25" s="3" t="inlineStr">
        <is>
          <t>Q1</t>
        </is>
      </c>
      <c r="H25" s="3" t="inlineStr">
        <is>
          <t>https://topj.lib.whu.edu.cn/show.asp?cat=zk&amp;id=5142</t>
        </is>
      </c>
      <c r="I25" s="3" t="inlineStr">
        <is>
          <t>机构JCR栏：搜索索引可核验；原页面直连未成功；非Clarivate账户导出</t>
        </is>
      </c>
    </row>
    <row r="26" ht="48" customHeight="1">
      <c r="A26" s="2" t="inlineStr">
        <is>
          <t>Journal of Environmental Chemical Engineering</t>
        </is>
      </c>
      <c r="B26" s="2" t="inlineStr">
        <is>
          <t>2213-3437</t>
        </is>
      </c>
      <c r="C26" s="2" t="inlineStr"/>
      <c r="D26" s="2" t="n">
        <v>2024</v>
      </c>
      <c r="E26" s="2" t="n">
        <v>2025</v>
      </c>
      <c r="F26" s="2" t="inlineStr">
        <is>
          <t>ENGINEERING, ENVIRONMENTAL</t>
        </is>
      </c>
      <c r="G26" s="2" t="inlineStr">
        <is>
          <t>Q1</t>
        </is>
      </c>
      <c r="H26" s="2" t="inlineStr">
        <is>
          <t>https://topj.lib.whu.edu.cn/show.asp?cat=zk&amp;id=5142</t>
        </is>
      </c>
      <c r="I26" s="2" t="inlineStr">
        <is>
          <t>机构JCR栏：搜索索引可核验；原页面直连未成功；非Clarivate账户导出</t>
        </is>
      </c>
    </row>
    <row r="27" ht="48" customHeight="1">
      <c r="A27" s="3" t="inlineStr">
        <is>
          <t>Journal of Water Process Engineering</t>
        </is>
      </c>
      <c r="B27" s="3" t="inlineStr">
        <is>
          <t>2214-7144</t>
        </is>
      </c>
      <c r="C27" s="3" t="inlineStr"/>
      <c r="D27" s="3" t="n">
        <v>2024</v>
      </c>
      <c r="E27" s="3" t="n">
        <v>2025</v>
      </c>
      <c r="F27" s="3" t="inlineStr">
        <is>
          <t>WATER RESOURCES</t>
        </is>
      </c>
      <c r="G27" s="3" t="inlineStr">
        <is>
          <t>Q1</t>
        </is>
      </c>
      <c r="H27" s="3" t="inlineStr">
        <is>
          <t>https://topj.lib.whu.edu.cn/show.asp?cat=sci&amp;id=6383</t>
        </is>
      </c>
      <c r="I27" s="3" t="inlineStr">
        <is>
          <t>机构JCR栏：搜索索引可核验；原页面直连未成功；非Clarivate账户导出</t>
        </is>
      </c>
    </row>
    <row r="28" ht="48" customHeight="1">
      <c r="A28" s="2" t="inlineStr">
        <is>
          <t>Journal of Water Process Engineering</t>
        </is>
      </c>
      <c r="B28" s="2" t="inlineStr">
        <is>
          <t>2214-7144</t>
        </is>
      </c>
      <c r="C28" s="2" t="inlineStr"/>
      <c r="D28" s="2" t="n">
        <v>2024</v>
      </c>
      <c r="E28" s="2" t="n">
        <v>2025</v>
      </c>
      <c r="F28" s="2" t="inlineStr">
        <is>
          <t>ENGINEERING, CHEMICAL</t>
        </is>
      </c>
      <c r="G28" s="2" t="inlineStr">
        <is>
          <t>Q1</t>
        </is>
      </c>
      <c r="H28" s="2" t="inlineStr">
        <is>
          <t>https://topj.lib.whu.edu.cn/show.asp?cat=sci&amp;id=6383</t>
        </is>
      </c>
      <c r="I28" s="2" t="inlineStr">
        <is>
          <t>机构JCR栏：搜索索引可核验；原页面直连未成功；非Clarivate账户导出</t>
        </is>
      </c>
    </row>
    <row r="29" ht="48" customHeight="1">
      <c r="A29" s="3" t="inlineStr">
        <is>
          <t>Journal of Water Process Engineering</t>
        </is>
      </c>
      <c r="B29" s="3" t="inlineStr">
        <is>
          <t>2214-7144</t>
        </is>
      </c>
      <c r="C29" s="3" t="inlineStr"/>
      <c r="D29" s="3" t="n">
        <v>2024</v>
      </c>
      <c r="E29" s="3" t="n">
        <v>2025</v>
      </c>
      <c r="F29" s="3" t="inlineStr">
        <is>
          <t>ENGINEERING, ENVIRONMENTAL</t>
        </is>
      </c>
      <c r="G29" s="3" t="inlineStr">
        <is>
          <t>Q2</t>
        </is>
      </c>
      <c r="H29" s="3" t="inlineStr">
        <is>
          <t>https://topj.lib.whu.edu.cn/show.asp?cat=sci&amp;id=6383</t>
        </is>
      </c>
      <c r="I29" s="3" t="inlineStr">
        <is>
          <t>机构JCR栏：搜索索引可核验；原页面直连未成功；非Clarivate账户导出</t>
        </is>
      </c>
    </row>
    <row r="30" ht="48" customHeight="1">
      <c r="A30" s="2" t="inlineStr">
        <is>
          <t>BIOMASS &amp; BIOENERGY</t>
        </is>
      </c>
      <c r="B30" s="2" t="inlineStr">
        <is>
          <t>0961-9534</t>
        </is>
      </c>
      <c r="C30" s="2" t="inlineStr"/>
      <c r="D30" s="2" t="n">
        <v>2024</v>
      </c>
      <c r="E30" s="2" t="n">
        <v>2025</v>
      </c>
      <c r="F30" s="2" t="inlineStr">
        <is>
          <t>AGRICULTURAL ENGINEERING</t>
        </is>
      </c>
      <c r="G30" s="2" t="inlineStr">
        <is>
          <t>Q1</t>
        </is>
      </c>
      <c r="H30" s="2" t="inlineStr">
        <is>
          <t>https://topj.lib.whu.edu.cn/show.asp?cat=sci&amp;id=5613</t>
        </is>
      </c>
      <c r="I30" s="2" t="inlineStr">
        <is>
          <t>机构JCR栏：搜索索引可核验；原页面直连未成功；非Clarivate账户导出</t>
        </is>
      </c>
    </row>
    <row r="31" ht="48" customHeight="1">
      <c r="A31" s="3" t="inlineStr">
        <is>
          <t>BIOMASS &amp; BIOENERGY</t>
        </is>
      </c>
      <c r="B31" s="3" t="inlineStr">
        <is>
          <t>0961-9534</t>
        </is>
      </c>
      <c r="C31" s="3" t="inlineStr"/>
      <c r="D31" s="3" t="n">
        <v>2024</v>
      </c>
      <c r="E31" s="3" t="n">
        <v>2025</v>
      </c>
      <c r="F31" s="3" t="inlineStr">
        <is>
          <t>BIOTECHNOLOGY &amp; APPLIED MICROBIOLOGY</t>
        </is>
      </c>
      <c r="G31" s="3" t="inlineStr">
        <is>
          <t>Q1</t>
        </is>
      </c>
      <c r="H31" s="3" t="inlineStr">
        <is>
          <t>https://topj.lib.whu.edu.cn/show.asp?cat=sci&amp;id=5613</t>
        </is>
      </c>
      <c r="I31" s="3" t="inlineStr">
        <is>
          <t>机构JCR栏：搜索索引可核验；原页面直连未成功；非Clarivate账户导出</t>
        </is>
      </c>
    </row>
    <row r="32" ht="48" customHeight="1">
      <c r="A32" s="2" t="inlineStr">
        <is>
          <t>BIOMASS &amp; BIOENERGY</t>
        </is>
      </c>
      <c r="B32" s="2" t="inlineStr">
        <is>
          <t>0961-9534</t>
        </is>
      </c>
      <c r="C32" s="2" t="inlineStr"/>
      <c r="D32" s="2" t="n">
        <v>2024</v>
      </c>
      <c r="E32" s="2" t="n">
        <v>2025</v>
      </c>
      <c r="F32" s="2" t="inlineStr">
        <is>
          <t>ENERGY &amp; FUELS</t>
        </is>
      </c>
      <c r="G32" s="2" t="inlineStr">
        <is>
          <t>Q2</t>
        </is>
      </c>
      <c r="H32" s="2" t="inlineStr">
        <is>
          <t>https://topj.lib.whu.edu.cn/show.asp?cat=sci&amp;id=5613</t>
        </is>
      </c>
      <c r="I32" s="2" t="inlineStr">
        <is>
          <t>机构JCR栏：搜索索引可核验；原页面直连未成功；非Clarivate账户导出</t>
        </is>
      </c>
    </row>
    <row r="33" ht="48" customHeight="1">
      <c r="A33" s="3" t="inlineStr">
        <is>
          <t>ENVIRONMENTAL RESEARCH</t>
        </is>
      </c>
      <c r="B33" s="3" t="inlineStr">
        <is>
          <t>0013-9351</t>
        </is>
      </c>
      <c r="C33" s="3" t="inlineStr"/>
      <c r="D33" s="3" t="n">
        <v>2024</v>
      </c>
      <c r="E33" s="3" t="n">
        <v>2025</v>
      </c>
      <c r="F33" s="3" t="inlineStr">
        <is>
          <t>ENVIRONMENTAL SCIENCES</t>
        </is>
      </c>
      <c r="G33" s="3" t="inlineStr">
        <is>
          <t>Q1</t>
        </is>
      </c>
      <c r="H33" s="3" t="inlineStr">
        <is>
          <t>https://topj.lib.whu.edu.cn/show.asp?cat=esi&amp;id=3602</t>
        </is>
      </c>
      <c r="I33" s="3" t="inlineStr">
        <is>
          <t>机构JCR栏：搜索索引可核验；原页面直连未成功；非Clarivate账户导出</t>
        </is>
      </c>
    </row>
    <row r="34" ht="48" customHeight="1">
      <c r="A34" s="2" t="inlineStr">
        <is>
          <t>ENVIRONMENTAL RESEARCH</t>
        </is>
      </c>
      <c r="B34" s="2" t="inlineStr">
        <is>
          <t>0013-9351</t>
        </is>
      </c>
      <c r="C34" s="2" t="inlineStr"/>
      <c r="D34" s="2" t="n">
        <v>2024</v>
      </c>
      <c r="E34" s="2" t="n">
        <v>2025</v>
      </c>
      <c r="F34" s="2" t="inlineStr">
        <is>
          <t>PUBLIC, ENVIRONMENTAL &amp; OCCUPATIONAL HEALTH</t>
        </is>
      </c>
      <c r="G34" s="2" t="inlineStr">
        <is>
          <t>Q1</t>
        </is>
      </c>
      <c r="H34" s="2" t="inlineStr">
        <is>
          <t>https://topj.lib.whu.edu.cn/show.asp?cat=esi&amp;id=3602</t>
        </is>
      </c>
      <c r="I34" s="2" t="inlineStr">
        <is>
          <t>机构JCR栏：搜索索引可核验；原页面直连未成功；非Clarivate账户导出</t>
        </is>
      </c>
    </row>
    <row r="35" ht="48" customHeight="1">
      <c r="A35" s="3" t="inlineStr">
        <is>
          <t>Waste and Biomass Valorization</t>
        </is>
      </c>
      <c r="B35" s="3" t="inlineStr">
        <is>
          <t>1877-2641</t>
        </is>
      </c>
      <c r="C35" s="3" t="inlineStr">
        <is>
          <t>1877-265X</t>
        </is>
      </c>
      <c r="D35" s="3" t="n">
        <v>2024</v>
      </c>
      <c r="E35" s="3" t="n">
        <v>2025</v>
      </c>
      <c r="F35" s="3" t="inlineStr">
        <is>
          <t>ENVIRONMENTAL SCIENCES</t>
        </is>
      </c>
      <c r="G35" s="3" t="inlineStr">
        <is>
          <t>Q3</t>
        </is>
      </c>
      <c r="H35" s="3" t="inlineStr">
        <is>
          <t>https://topj.lib.whu.edu.cn/show.asp?cat=zk&amp;id=4277</t>
        </is>
      </c>
      <c r="I35" s="3" t="inlineStr">
        <is>
          <t>机构JCR栏：搜索索引可核验；原页面直连未成功；非Clarivate账户导出</t>
        </is>
      </c>
    </row>
    <row r="36" ht="48" customHeight="1">
      <c r="A36" s="2" t="inlineStr">
        <is>
          <t>APPLIED MICROBIOLOGY AND BIOTECHNOLOGY</t>
        </is>
      </c>
      <c r="B36" s="2" t="inlineStr">
        <is>
          <t>0175-7598</t>
        </is>
      </c>
      <c r="C36" s="2" t="inlineStr">
        <is>
          <t>1432-0614</t>
        </is>
      </c>
      <c r="D36" s="2" t="n">
        <v>2024</v>
      </c>
      <c r="E36" s="2" t="n">
        <v>2025</v>
      </c>
      <c r="F36" s="2" t="inlineStr">
        <is>
          <t>BIOTECHNOLOGY &amp; APPLIED MICROBIOLOGY</t>
        </is>
      </c>
      <c r="G36" s="2" t="inlineStr">
        <is>
          <t>Q1</t>
        </is>
      </c>
      <c r="H36" s="2" t="inlineStr">
        <is>
          <t>https://topj.lib.whu.edu.cn/searchxk1.asp?ordertype=asc&amp;page=6&amp;q=&amp;xk=291</t>
        </is>
      </c>
      <c r="I36" s="2" t="inlineStr">
        <is>
          <t>机构2024年JCR列表栏：搜索索引可核验；原页直连未成功；仅统计已显示学科</t>
        </is>
      </c>
    </row>
    <row r="37" ht="48" customHeight="1">
      <c r="A37" s="3" t="inlineStr">
        <is>
          <t>ENERGY &amp; FUELS</t>
        </is>
      </c>
      <c r="B37" s="3" t="inlineStr">
        <is>
          <t>0887-0624</t>
        </is>
      </c>
      <c r="C37" s="3" t="inlineStr">
        <is>
          <t>1520-5029</t>
        </is>
      </c>
      <c r="D37" s="3" t="n">
        <v>2024</v>
      </c>
      <c r="E37" s="3" t="n">
        <v>2025</v>
      </c>
      <c r="F37" s="3" t="inlineStr">
        <is>
          <t>ENERGY &amp; FUELS</t>
        </is>
      </c>
      <c r="G37" s="3" t="inlineStr">
        <is>
          <t>Q2</t>
        </is>
      </c>
      <c r="H37" s="3" t="inlineStr">
        <is>
          <t>https://topj.lib.whu.edu.cn/show.asp?cat=zk&amp;id=5342</t>
        </is>
      </c>
      <c r="I37" s="3" t="inlineStr">
        <is>
          <t>机构JCR栏：搜索索引可核验；原页面直连未成功；非Clarivate账户导出</t>
        </is>
      </c>
    </row>
    <row r="38" ht="48" customHeight="1">
      <c r="A38" s="2" t="inlineStr">
        <is>
          <t>ENERGY &amp; FUELS</t>
        </is>
      </c>
      <c r="B38" s="2" t="inlineStr">
        <is>
          <t>0887-0624</t>
        </is>
      </c>
      <c r="C38" s="2" t="inlineStr">
        <is>
          <t>1520-5029</t>
        </is>
      </c>
      <c r="D38" s="2" t="n">
        <v>2024</v>
      </c>
      <c r="E38" s="2" t="n">
        <v>2025</v>
      </c>
      <c r="F38" s="2" t="inlineStr">
        <is>
          <t>ENGINEERING, CHEMICAL</t>
        </is>
      </c>
      <c r="G38" s="2" t="inlineStr">
        <is>
          <t>Q1</t>
        </is>
      </c>
      <c r="H38" s="2" t="inlineStr">
        <is>
          <t>https://topj.lib.whu.edu.cn/show.asp?cat=zk&amp;id=5342</t>
        </is>
      </c>
      <c r="I38" s="2" t="inlineStr">
        <is>
          <t>机构JCR栏：搜索索引可核验；原页面直连未成功；非Clarivate账户导出</t>
        </is>
      </c>
    </row>
    <row r="39" ht="48" customHeight="1">
      <c r="A39" s="3" t="inlineStr">
        <is>
          <t>ENERGY CONVERSION AND MANAGEMENT</t>
        </is>
      </c>
      <c r="B39" s="3" t="inlineStr">
        <is>
          <t>0196-8904</t>
        </is>
      </c>
      <c r="C39" s="3" t="inlineStr"/>
      <c r="D39" s="3" t="n">
        <v>2024</v>
      </c>
      <c r="E39" s="3" t="n">
        <v>2025</v>
      </c>
      <c r="F39" s="3" t="inlineStr">
        <is>
          <t>THERMODYNAMICS</t>
        </is>
      </c>
      <c r="G39" s="3" t="inlineStr">
        <is>
          <t>Q1</t>
        </is>
      </c>
      <c r="H39" s="3" t="inlineStr">
        <is>
          <t>https://topj.lib.whu.edu.cn/show.asp?cat=esi&amp;id=3481</t>
        </is>
      </c>
      <c r="I39" s="3" t="inlineStr">
        <is>
          <t>机构JCR栏：搜索索引可核验；原页面直连未成功；非Clarivate账户导出</t>
        </is>
      </c>
    </row>
    <row r="40" ht="48" customHeight="1">
      <c r="A40" s="2" t="inlineStr">
        <is>
          <t>ENERGY CONVERSION AND MANAGEMENT</t>
        </is>
      </c>
      <c r="B40" s="2" t="inlineStr">
        <is>
          <t>0196-8904</t>
        </is>
      </c>
      <c r="C40" s="2" t="inlineStr"/>
      <c r="D40" s="2" t="n">
        <v>2024</v>
      </c>
      <c r="E40" s="2" t="n">
        <v>2025</v>
      </c>
      <c r="F40" s="2" t="inlineStr">
        <is>
          <t>ENERGY &amp; FUELS</t>
        </is>
      </c>
      <c r="G40" s="2" t="inlineStr">
        <is>
          <t>Q1</t>
        </is>
      </c>
      <c r="H40" s="2" t="inlineStr">
        <is>
          <t>https://topj.lib.whu.edu.cn/show.asp?cat=esi&amp;id=3481</t>
        </is>
      </c>
      <c r="I40" s="2" t="inlineStr">
        <is>
          <t>机构JCR栏：搜索索引可核验；原页面直连未成功；非Clarivate账户导出</t>
        </is>
      </c>
    </row>
    <row r="41" ht="48" customHeight="1">
      <c r="A41" s="3" t="inlineStr">
        <is>
          <t>ENERGY CONVERSION AND MANAGEMENT</t>
        </is>
      </c>
      <c r="B41" s="3" t="inlineStr">
        <is>
          <t>0196-8904</t>
        </is>
      </c>
      <c r="C41" s="3" t="inlineStr"/>
      <c r="D41" s="3" t="n">
        <v>2024</v>
      </c>
      <c r="E41" s="3" t="n">
        <v>2025</v>
      </c>
      <c r="F41" s="3" t="inlineStr">
        <is>
          <t>MECHANICS</t>
        </is>
      </c>
      <c r="G41" s="3" t="inlineStr">
        <is>
          <t>Q1</t>
        </is>
      </c>
      <c r="H41" s="3" t="inlineStr">
        <is>
          <t>https://topj.lib.whu.edu.cn/show.asp?cat=esi&amp;id=3481</t>
        </is>
      </c>
      <c r="I41" s="3" t="inlineStr">
        <is>
          <t>机构JCR栏：搜索索引可核验；原页面直连未成功；非Clarivate账户导出</t>
        </is>
      </c>
    </row>
    <row r="42" ht="48" customHeight="1">
      <c r="A42" s="2" t="inlineStr">
        <is>
          <t>ENVIRONMENTAL SCIENCE &amp; TECHNOLOGY</t>
        </is>
      </c>
      <c r="B42" s="2" t="inlineStr">
        <is>
          <t>0013-936X</t>
        </is>
      </c>
      <c r="C42" s="2" t="inlineStr">
        <is>
          <t>1520-5851</t>
        </is>
      </c>
      <c r="D42" s="2" t="n">
        <v>2024</v>
      </c>
      <c r="E42" s="2" t="n">
        <v>2025</v>
      </c>
      <c r="F42" s="2" t="inlineStr">
        <is>
          <t>ENGINEERING, ENVIRONMENTAL</t>
        </is>
      </c>
      <c r="G42" s="2" t="inlineStr">
        <is>
          <t>Q1</t>
        </is>
      </c>
      <c r="H42" s="2" t="inlineStr">
        <is>
          <t>https://topj.lib.whu.edu.cn/show.asp?cat=zk&amp;id=3966</t>
        </is>
      </c>
      <c r="I42" s="2" t="inlineStr">
        <is>
          <t>机构JCR栏：搜索索引可核验；原页面直连未成功；非Clarivate账户导出</t>
        </is>
      </c>
    </row>
    <row r="43" ht="48" customHeight="1">
      <c r="A43" s="3" t="inlineStr">
        <is>
          <t>ENVIRONMENTAL SCIENCE &amp; TECHNOLOGY</t>
        </is>
      </c>
      <c r="B43" s="3" t="inlineStr">
        <is>
          <t>0013-936X</t>
        </is>
      </c>
      <c r="C43" s="3" t="inlineStr">
        <is>
          <t>1520-5851</t>
        </is>
      </c>
      <c r="D43" s="3" t="n">
        <v>2024</v>
      </c>
      <c r="E43" s="3" t="n">
        <v>2025</v>
      </c>
      <c r="F43" s="3" t="inlineStr">
        <is>
          <t>ENVIRONMENTAL SCIENCES</t>
        </is>
      </c>
      <c r="G43" s="3" t="inlineStr">
        <is>
          <t>Q1</t>
        </is>
      </c>
      <c r="H43" s="3" t="inlineStr">
        <is>
          <t>https://topj.lib.whu.edu.cn/show.asp?cat=zk&amp;id=3966</t>
        </is>
      </c>
      <c r="I43" s="3" t="inlineStr">
        <is>
          <t>机构JCR栏：搜索索引可核验；原页面直连未成功；非Clarivate账户导出</t>
        </is>
      </c>
    </row>
    <row r="44" ht="48" customHeight="1">
      <c r="A44" s="2" t="inlineStr">
        <is>
          <t>INTERNATIONAL BIODETERIORATION &amp; BIODEGRADATION</t>
        </is>
      </c>
      <c r="B44" s="2" t="inlineStr">
        <is>
          <t>0964-8305</t>
        </is>
      </c>
      <c r="C44" s="2" t="inlineStr"/>
      <c r="D44" s="2" t="n">
        <v>2024</v>
      </c>
      <c r="E44" s="2" t="n">
        <v>2025</v>
      </c>
      <c r="F44" s="2" t="inlineStr">
        <is>
          <t>BIOTECHNOLOGY &amp; APPLIED MICROBIOLOGY</t>
        </is>
      </c>
      <c r="G44" s="2" t="inlineStr">
        <is>
          <t>Q2</t>
        </is>
      </c>
      <c r="H44" s="2" t="inlineStr">
        <is>
          <t>https://topj.lib.whu.edu.cn/show.asp?cat=sci&amp;id=7031</t>
        </is>
      </c>
      <c r="I44" s="2" t="inlineStr">
        <is>
          <t>机构JCR栏：搜索索引可核验；原页面直连未成功；非Clarivate账户导出</t>
        </is>
      </c>
    </row>
    <row r="45" ht="48" customHeight="1">
      <c r="A45" s="3" t="inlineStr">
        <is>
          <t>INTERNATIONAL BIODETERIORATION &amp; BIODEGRADATION</t>
        </is>
      </c>
      <c r="B45" s="3" t="inlineStr">
        <is>
          <t>0964-8305</t>
        </is>
      </c>
      <c r="C45" s="3" t="inlineStr"/>
      <c r="D45" s="3" t="n">
        <v>2024</v>
      </c>
      <c r="E45" s="3" t="n">
        <v>2025</v>
      </c>
      <c r="F45" s="3" t="inlineStr">
        <is>
          <t>ENVIRONMENTAL SCIENCES</t>
        </is>
      </c>
      <c r="G45" s="3" t="inlineStr">
        <is>
          <t>Q2</t>
        </is>
      </c>
      <c r="H45" s="3" t="inlineStr">
        <is>
          <t>https://topj.lib.whu.edu.cn/show.asp?cat=sci&amp;id=7031</t>
        </is>
      </c>
      <c r="I45" s="3" t="inlineStr">
        <is>
          <t>机构JCR栏：搜索索引可核验；原页面直连未成功；非Clarivate账户导出</t>
        </is>
      </c>
    </row>
    <row r="46" ht="48" customHeight="1">
      <c r="A46" s="2" t="inlineStr">
        <is>
          <t>JOURNAL OF HAZARDOUS MATERIALS</t>
        </is>
      </c>
      <c r="B46" s="2" t="inlineStr">
        <is>
          <t>0304-3894</t>
        </is>
      </c>
      <c r="C46" s="2" t="inlineStr"/>
      <c r="D46" s="2" t="n">
        <v>2024</v>
      </c>
      <c r="E46" s="2" t="n">
        <v>2025</v>
      </c>
      <c r="F46" s="2" t="inlineStr">
        <is>
          <t>ENGINEERING, ENVIRONMENTAL</t>
        </is>
      </c>
      <c r="G46" s="2" t="inlineStr">
        <is>
          <t>Q1</t>
        </is>
      </c>
      <c r="H46" s="2" t="inlineStr">
        <is>
          <t>https://topj.lib.whu.edu.cn/show.asp?cat=sci&amp;id=6955</t>
        </is>
      </c>
      <c r="I46" s="2" t="inlineStr">
        <is>
          <t>机构JCR栏：搜索索引可核验；原页面直连未成功；非Clarivate账户导出</t>
        </is>
      </c>
    </row>
    <row r="47" ht="48" customHeight="1">
      <c r="A47" s="3" t="inlineStr">
        <is>
          <t>JOURNAL OF HAZARDOUS MATERIALS</t>
        </is>
      </c>
      <c r="B47" s="3" t="inlineStr">
        <is>
          <t>0304-3894</t>
        </is>
      </c>
      <c r="C47" s="3" t="inlineStr"/>
      <c r="D47" s="3" t="n">
        <v>2024</v>
      </c>
      <c r="E47" s="3" t="n">
        <v>2025</v>
      </c>
      <c r="F47" s="3" t="inlineStr">
        <is>
          <t>ENVIRONMENTAL SCIENCES</t>
        </is>
      </c>
      <c r="G47" s="3" t="inlineStr">
        <is>
          <t>Q1</t>
        </is>
      </c>
      <c r="H47" s="3" t="inlineStr">
        <is>
          <t>https://topj.lib.whu.edu.cn/show.asp?cat=sci&amp;id=6955</t>
        </is>
      </c>
      <c r="I47" s="3" t="inlineStr">
        <is>
          <t>机构JCR栏：搜索索引可核验；原页面直连未成功；非Clarivate账户导出</t>
        </is>
      </c>
    </row>
    <row r="48" ht="48" customHeight="1">
      <c r="A48" s="2" t="inlineStr">
        <is>
          <t>PROCESS SAFETY AND ENVIRONMENTAL PROTECTION</t>
        </is>
      </c>
      <c r="B48" s="2" t="inlineStr">
        <is>
          <t>0957-5820</t>
        </is>
      </c>
      <c r="C48" s="2" t="inlineStr"/>
      <c r="D48" s="2" t="n">
        <v>2024</v>
      </c>
      <c r="E48" s="2" t="n">
        <v>2025</v>
      </c>
      <c r="F48" s="2" t="inlineStr">
        <is>
          <t>ENGINEERING, CHEMICAL</t>
        </is>
      </c>
      <c r="G48" s="2" t="inlineStr">
        <is>
          <t>Q1</t>
        </is>
      </c>
      <c r="H48" s="2" t="inlineStr">
        <is>
          <t>https://topj.lib.whu.edu.cn/show.asp?cat=zk&amp;id=3996</t>
        </is>
      </c>
      <c r="I48" s="2" t="inlineStr">
        <is>
          <t>机构JCR栏：搜索索引可核验；原页面直连未成功；非Clarivate账户导出</t>
        </is>
      </c>
    </row>
    <row r="49" ht="48" customHeight="1">
      <c r="A49" s="3" t="inlineStr">
        <is>
          <t>PROCESS SAFETY AND ENVIRONMENTAL PROTECTION</t>
        </is>
      </c>
      <c r="B49" s="3" t="inlineStr">
        <is>
          <t>0957-5820</t>
        </is>
      </c>
      <c r="C49" s="3" t="inlineStr"/>
      <c r="D49" s="3" t="n">
        <v>2024</v>
      </c>
      <c r="E49" s="3" t="n">
        <v>2025</v>
      </c>
      <c r="F49" s="3" t="inlineStr">
        <is>
          <t>ENGINEERING, ENVIRONMENTAL</t>
        </is>
      </c>
      <c r="G49" s="3" t="inlineStr">
        <is>
          <t>Q1</t>
        </is>
      </c>
      <c r="H49" s="3" t="inlineStr">
        <is>
          <t>https://topj.lib.whu.edu.cn/show.asp?cat=zk&amp;id=3996</t>
        </is>
      </c>
      <c r="I49" s="3" t="inlineStr">
        <is>
          <t>机构JCR栏：搜索索引可核验；原页面直连未成功；非Clarivate账户导出</t>
        </is>
      </c>
    </row>
    <row r="50" ht="48" customHeight="1">
      <c r="A50" s="2" t="inlineStr">
        <is>
          <t>APPLIED BIOCHEMISTRY AND BIOTECHNOLOGY</t>
        </is>
      </c>
      <c r="B50" s="2" t="inlineStr">
        <is>
          <t>0273-2289</t>
        </is>
      </c>
      <c r="C50" s="2" t="inlineStr">
        <is>
          <t>1559-0291</t>
        </is>
      </c>
      <c r="D50" s="2" t="n">
        <v>2024</v>
      </c>
      <c r="E50" s="2" t="n">
        <v>2025</v>
      </c>
      <c r="F50" s="2" t="inlineStr">
        <is>
          <t>BIOCHEMISTRY &amp; MOLECULAR BIOLOGY</t>
        </is>
      </c>
      <c r="G50" s="2" t="inlineStr">
        <is>
          <t>Q2</t>
        </is>
      </c>
      <c r="H50" s="2" t="inlineStr">
        <is>
          <t>https://topj.lib.whu.edu.cn/show.asp?cat=sci&amp;id=2805</t>
        </is>
      </c>
      <c r="I50" s="2" t="inlineStr">
        <is>
          <t>机构JCR栏：搜索索引可核验；原页面直连未成功；非Clarivate账户导出</t>
        </is>
      </c>
    </row>
    <row r="51" ht="48" customHeight="1">
      <c r="A51" s="3" t="inlineStr">
        <is>
          <t>APPLIED BIOCHEMISTRY AND BIOTECHNOLOGY</t>
        </is>
      </c>
      <c r="B51" s="3" t="inlineStr">
        <is>
          <t>0273-2289</t>
        </is>
      </c>
      <c r="C51" s="3" t="inlineStr">
        <is>
          <t>1559-0291</t>
        </is>
      </c>
      <c r="D51" s="3" t="n">
        <v>2024</v>
      </c>
      <c r="E51" s="3" t="n">
        <v>2025</v>
      </c>
      <c r="F51" s="3" t="inlineStr">
        <is>
          <t>BIOTECHNOLOGY &amp; APPLIED MICROBIOLOGY</t>
        </is>
      </c>
      <c r="G51" s="3" t="inlineStr">
        <is>
          <t>Q2</t>
        </is>
      </c>
      <c r="H51" s="3" t="inlineStr">
        <is>
          <t>https://topj.lib.whu.edu.cn/show.asp?cat=sci&amp;id=2805</t>
        </is>
      </c>
      <c r="I51" s="3" t="inlineStr">
        <is>
          <t>机构JCR栏：搜索索引可核验；原页面直连未成功；非Clarivate账户导出</t>
        </is>
      </c>
    </row>
    <row r="52" ht="48" customHeight="1">
      <c r="A52" s="2" t="inlineStr">
        <is>
          <t>BIOENERGY RESEARCH</t>
        </is>
      </c>
      <c r="B52" s="2" t="inlineStr"/>
      <c r="C52" s="2" t="inlineStr">
        <is>
          <t>1939-1242</t>
        </is>
      </c>
      <c r="D52" s="2" t="n">
        <v>2024</v>
      </c>
      <c r="E52" s="2" t="n">
        <v>2025</v>
      </c>
      <c r="F52" s="2" t="inlineStr">
        <is>
          <t>ENERGY &amp; FUELS</t>
        </is>
      </c>
      <c r="G52" s="2" t="inlineStr">
        <is>
          <t>Q3</t>
        </is>
      </c>
      <c r="H52" s="2" t="inlineStr">
        <is>
          <t>https://topj.lib.whu.edu.cn/search.asp?cat=esi&amp;ordertype=desc&amp;page=7&amp;q=&amp;xk=19</t>
        </is>
      </c>
      <c r="I52" s="2" t="inlineStr">
        <is>
          <t>机构2024年JCR列表栏：搜索索引可核验；原页直连未成功；仅统计已显示学科</t>
        </is>
      </c>
    </row>
    <row r="53" ht="48" customHeight="1">
      <c r="A53" s="3" t="inlineStr">
        <is>
          <t>BIOENERGY RESEARCH</t>
        </is>
      </c>
      <c r="B53" s="3" t="inlineStr"/>
      <c r="C53" s="3" t="inlineStr">
        <is>
          <t>1939-1242</t>
        </is>
      </c>
      <c r="D53" s="3" t="n">
        <v>2024</v>
      </c>
      <c r="E53" s="3" t="n">
        <v>2025</v>
      </c>
      <c r="F53" s="3" t="inlineStr">
        <is>
          <t>ENVIRONMENTAL SCIENCES</t>
        </is>
      </c>
      <c r="G53" s="3" t="inlineStr">
        <is>
          <t>Q3</t>
        </is>
      </c>
      <c r="H53" s="3" t="inlineStr">
        <is>
          <t>https://topj.lib.whu.edu.cn/search.asp?cat=esi&amp;ordertype=desc&amp;page=7&amp;q=&amp;xk=19</t>
        </is>
      </c>
      <c r="I53" s="3" t="inlineStr">
        <is>
          <t>机构2024年JCR列表栏：搜索索引可核验；原页直连未成功；仅统计已显示学科</t>
        </is>
      </c>
    </row>
    <row r="54" ht="48" customHeight="1">
      <c r="A54" s="2" t="inlineStr">
        <is>
          <t>BIOPROCESS AND BIOSYSTEMS ENGINEERING</t>
        </is>
      </c>
      <c r="B54" s="2" t="inlineStr">
        <is>
          <t>1615-7591</t>
        </is>
      </c>
      <c r="C54" s="2" t="inlineStr">
        <is>
          <t>1615-7605</t>
        </is>
      </c>
      <c r="D54" s="2" t="n">
        <v>2024</v>
      </c>
      <c r="E54" s="2" t="n">
        <v>2025</v>
      </c>
      <c r="F54" s="2" t="inlineStr">
        <is>
          <t>BIOTECHNOLOGY &amp; APPLIED MICROBIOLOGY</t>
        </is>
      </c>
      <c r="G54" s="2" t="inlineStr">
        <is>
          <t>Q2</t>
        </is>
      </c>
      <c r="H54" s="2" t="inlineStr">
        <is>
          <t>https://topj.lib.whu.edu.cn/show.asp?cat=sci&amp;id=5879</t>
        </is>
      </c>
      <c r="I54" s="2" t="inlineStr">
        <is>
          <t>机构JCR栏：搜索索引可核验；原页面直连未成功；非Clarivate账户导出</t>
        </is>
      </c>
    </row>
    <row r="55" ht="48" customHeight="1">
      <c r="A55" s="3" t="inlineStr">
        <is>
          <t>BIOPROCESS AND BIOSYSTEMS ENGINEERING</t>
        </is>
      </c>
      <c r="B55" s="3" t="inlineStr">
        <is>
          <t>1615-7591</t>
        </is>
      </c>
      <c r="C55" s="3" t="inlineStr">
        <is>
          <t>1615-7605</t>
        </is>
      </c>
      <c r="D55" s="3" t="n">
        <v>2024</v>
      </c>
      <c r="E55" s="3" t="n">
        <v>2025</v>
      </c>
      <c r="F55" s="3" t="inlineStr">
        <is>
          <t>ENGINEERING, CHEMICAL</t>
        </is>
      </c>
      <c r="G55" s="3" t="inlineStr">
        <is>
          <t>Q2</t>
        </is>
      </c>
      <c r="H55" s="3" t="inlineStr">
        <is>
          <t>https://topj.lib.whu.edu.cn/show.asp?cat=sci&amp;id=5879</t>
        </is>
      </c>
      <c r="I55" s="3" t="inlineStr">
        <is>
          <t>机构JCR栏：搜索索引可核验；原页面直连未成功；非Clarivate账户导出</t>
        </is>
      </c>
    </row>
    <row r="56" ht="48" customHeight="1">
      <c r="A56" s="2" t="inlineStr">
        <is>
          <t>BIOTECHNOLOGY ADVANCES</t>
        </is>
      </c>
      <c r="B56" s="2" t="inlineStr">
        <is>
          <t>0734-9750</t>
        </is>
      </c>
      <c r="C56" s="2" t="inlineStr"/>
      <c r="D56" s="2" t="n">
        <v>2024</v>
      </c>
      <c r="E56" s="2" t="n">
        <v>2025</v>
      </c>
      <c r="F56" s="2" t="inlineStr">
        <is>
          <t>BIOTECHNOLOGY &amp; APPLIED MICROBIOLOGY</t>
        </is>
      </c>
      <c r="G56" s="2" t="inlineStr">
        <is>
          <t>Q1</t>
        </is>
      </c>
      <c r="H56" s="2" t="inlineStr">
        <is>
          <t>https://topj.lib.whu.edu.cn/show.asp?cat=sci&amp;id=2745</t>
        </is>
      </c>
      <c r="I56" s="2" t="inlineStr">
        <is>
          <t>机构JCR栏：搜索索引可核验；原页面直连未成功；非Clarivate账户导出</t>
        </is>
      </c>
    </row>
    <row r="57" ht="48" customHeight="1">
      <c r="A57" s="3" t="inlineStr">
        <is>
          <t>Biochemical Engineering Journal</t>
        </is>
      </c>
      <c r="B57" s="3" t="inlineStr">
        <is>
          <t>1369-703X</t>
        </is>
      </c>
      <c r="C57" s="3" t="inlineStr"/>
      <c r="D57" s="3" t="n">
        <v>2024</v>
      </c>
      <c r="E57" s="3" t="n">
        <v>2025</v>
      </c>
      <c r="F57" s="3" t="inlineStr">
        <is>
          <t>BIOTECHNOLOGY &amp; APPLIED MICROBIOLOGY</t>
        </is>
      </c>
      <c r="G57" s="3" t="inlineStr">
        <is>
          <t>Q2</t>
        </is>
      </c>
      <c r="H57" s="3" t="inlineStr">
        <is>
          <t>https://topj.lib.whu.edu.cn/show.asp?cat=sci&amp;id=5875</t>
        </is>
      </c>
      <c r="I57" s="3" t="inlineStr">
        <is>
          <t>机构JCR栏：搜索索引可核验；原页面直连未成功；非Clarivate账户导出</t>
        </is>
      </c>
    </row>
    <row r="58" ht="48" customHeight="1">
      <c r="A58" s="2" t="inlineStr">
        <is>
          <t>Biochemical Engineering Journal</t>
        </is>
      </c>
      <c r="B58" s="2" t="inlineStr">
        <is>
          <t>1369-703X</t>
        </is>
      </c>
      <c r="C58" s="2" t="inlineStr"/>
      <c r="D58" s="2" t="n">
        <v>2024</v>
      </c>
      <c r="E58" s="2" t="n">
        <v>2025</v>
      </c>
      <c r="F58" s="2" t="inlineStr">
        <is>
          <t>ENGINEERING, CHEMICAL</t>
        </is>
      </c>
      <c r="G58" s="2" t="inlineStr">
        <is>
          <t>Q2</t>
        </is>
      </c>
      <c r="H58" s="2" t="inlineStr">
        <is>
          <t>https://topj.lib.whu.edu.cn/show.asp?cat=sci&amp;id=5875</t>
        </is>
      </c>
      <c r="I58" s="2" t="inlineStr">
        <is>
          <t>机构JCR栏：搜索索引可核验；原页面直连未成功；非Clarivate账户导出</t>
        </is>
      </c>
    </row>
    <row r="59" ht="48" customHeight="1">
      <c r="A59" s="3" t="inlineStr">
        <is>
          <t>ChemBioEng Reviews</t>
        </is>
      </c>
      <c r="B59" s="3" t="inlineStr">
        <is>
          <t>2196-9744</t>
        </is>
      </c>
      <c r="C59" s="3" t="inlineStr">
        <is>
          <t>2196-9744</t>
        </is>
      </c>
      <c r="D59" s="3" t="n">
        <v>2024</v>
      </c>
      <c r="E59" s="3" t="n">
        <v>2025</v>
      </c>
      <c r="F59" s="3" t="inlineStr">
        <is>
          <t>ENGINEERING, CHEMICAL</t>
        </is>
      </c>
      <c r="G59" s="3" t="inlineStr">
        <is>
          <t>Q1</t>
        </is>
      </c>
      <c r="H59" s="3" t="inlineStr">
        <is>
          <t>https://topj.lib.whu.edu.cn/show.asp?cat=zk&amp;id=5139</t>
        </is>
      </c>
      <c r="I59" s="3" t="inlineStr">
        <is>
          <t>机构JCR栏：搜索索引可核验；原页面直连未成功；非Clarivate账户导出</t>
        </is>
      </c>
    </row>
    <row r="60" ht="48" customHeight="1">
      <c r="A60" s="2" t="inlineStr">
        <is>
          <t>Desalination and Water Treatment</t>
        </is>
      </c>
      <c r="B60" s="2" t="inlineStr">
        <is>
          <t>1944-3986</t>
        </is>
      </c>
      <c r="C60" s="2" t="inlineStr"/>
      <c r="D60" s="2" t="n">
        <v>2024</v>
      </c>
      <c r="E60" s="2" t="n">
        <v>2025</v>
      </c>
      <c r="F60" s="2" t="inlineStr">
        <is>
          <t>WATER RESOURCES</t>
        </is>
      </c>
      <c r="G60" s="2" t="inlineStr">
        <is>
          <t>Q4</t>
        </is>
      </c>
      <c r="H60" s="2" t="inlineStr">
        <is>
          <t>https://topj.lib.whu.edu.cn/show.asp?cat=sci&amp;id=5937</t>
        </is>
      </c>
      <c r="I60" s="2" t="inlineStr">
        <is>
          <t>机构JCR栏：搜索索引可核验；原页面直连未成功；非Clarivate账户导出</t>
        </is>
      </c>
    </row>
    <row r="61" ht="48" customHeight="1">
      <c r="A61" s="3" t="inlineStr">
        <is>
          <t>Desalination and Water Treatment</t>
        </is>
      </c>
      <c r="B61" s="3" t="inlineStr">
        <is>
          <t>1944-3986</t>
        </is>
      </c>
      <c r="C61" s="3" t="inlineStr"/>
      <c r="D61" s="3" t="n">
        <v>2024</v>
      </c>
      <c r="E61" s="3" t="n">
        <v>2025</v>
      </c>
      <c r="F61" s="3" t="inlineStr">
        <is>
          <t>ENGINEERING, CHEMICAL</t>
        </is>
      </c>
      <c r="G61" s="3" t="inlineStr">
        <is>
          <t>Q4</t>
        </is>
      </c>
      <c r="H61" s="3" t="inlineStr">
        <is>
          <t>https://topj.lib.whu.edu.cn/show.asp?cat=sci&amp;id=5937</t>
        </is>
      </c>
      <c r="I61" s="3" t="inlineStr">
        <is>
          <t>机构JCR栏：搜索索引可核验；原页面直连未成功；非Clarivate账户导出</t>
        </is>
      </c>
    </row>
    <row r="62" ht="48" customHeight="1">
      <c r="A62" s="2" t="inlineStr">
        <is>
          <t>ENVIRONMENTAL ENGINEERING RESEARCH</t>
        </is>
      </c>
      <c r="B62" s="2" t="inlineStr">
        <is>
          <t>1226-1025</t>
        </is>
      </c>
      <c r="C62" s="2" t="inlineStr">
        <is>
          <t>2005-968X</t>
        </is>
      </c>
      <c r="D62" s="2" t="n">
        <v>2024</v>
      </c>
      <c r="E62" s="2" t="n">
        <v>2025</v>
      </c>
      <c r="F62" s="2" t="inlineStr">
        <is>
          <t>ENGINEERING, ENVIRONMENTAL</t>
        </is>
      </c>
      <c r="G62" s="2" t="inlineStr">
        <is>
          <t>Q3</t>
        </is>
      </c>
      <c r="H62" s="2" t="inlineStr">
        <is>
          <t>https://topj.lib.whu.edu.cn/search2.asp?ordertype=&amp;page=18&amp;q=&amp;sea=e&amp;searchtype=esi</t>
        </is>
      </c>
      <c r="I62" s="2" t="inlineStr">
        <is>
          <t>机构2024年JCR列表栏：搜索索引可核验；原页直连未成功；仅统计已显示学科</t>
        </is>
      </c>
    </row>
    <row r="63" ht="48" customHeight="1">
      <c r="A63" s="3" t="inlineStr">
        <is>
          <t>ENVIRONMENTAL ENGINEERING RESEARCH</t>
        </is>
      </c>
      <c r="B63" s="3" t="inlineStr">
        <is>
          <t>1226-1025</t>
        </is>
      </c>
      <c r="C63" s="3" t="inlineStr">
        <is>
          <t>2005-968X</t>
        </is>
      </c>
      <c r="D63" s="3" t="n">
        <v>2024</v>
      </c>
      <c r="E63" s="3" t="n">
        <v>2025</v>
      </c>
      <c r="F63" s="3" t="inlineStr">
        <is>
          <t>ENVIRONMENTAL SCIENCES</t>
        </is>
      </c>
      <c r="G63" s="3" t="inlineStr">
        <is>
          <t>Q3</t>
        </is>
      </c>
      <c r="H63" s="3" t="inlineStr">
        <is>
          <t>https://topj.lib.whu.edu.cn/search2.asp?ordertype=&amp;page=18&amp;q=&amp;sea=e&amp;searchtype=esi</t>
        </is>
      </c>
      <c r="I63" s="3" t="inlineStr">
        <is>
          <t>机构2024年JCR列表栏：搜索索引可核验；原页直连未成功；仅统计已显示学科</t>
        </is>
      </c>
    </row>
    <row r="64" ht="48" customHeight="1">
      <c r="A64" s="2" t="inlineStr">
        <is>
          <t>JOURNAL OF CHEMICAL TECHNOLOGY AND BIOTECHNOLOGY</t>
        </is>
      </c>
      <c r="B64" s="2" t="inlineStr">
        <is>
          <t>0268-2575</t>
        </is>
      </c>
      <c r="C64" s="2" t="inlineStr">
        <is>
          <t>1097-4660</t>
        </is>
      </c>
      <c r="D64" s="2" t="n">
        <v>2024</v>
      </c>
      <c r="E64" s="2" t="n">
        <v>2025</v>
      </c>
      <c r="F64" s="2" t="inlineStr">
        <is>
          <t>BIOTECHNOLOGY &amp; APPLIED MICROBIOLOGY</t>
        </is>
      </c>
      <c r="G64" s="2" t="inlineStr">
        <is>
          <t>Q3</t>
        </is>
      </c>
      <c r="H64" s="2" t="inlineStr">
        <is>
          <t>https://topj.lib.whu.edu.cn/show.asp?cat=zk&amp;id=7182</t>
        </is>
      </c>
      <c r="I64" s="2" t="inlineStr">
        <is>
          <t>机构JCR栏：搜索索引可核验；原页面直连未成功；非Clarivate账户导出</t>
        </is>
      </c>
    </row>
    <row r="65" ht="48" customHeight="1">
      <c r="A65" s="3" t="inlineStr">
        <is>
          <t>JOURNAL OF CHEMICAL TECHNOLOGY AND BIOTECHNOLOGY</t>
        </is>
      </c>
      <c r="B65" s="3" t="inlineStr">
        <is>
          <t>0268-2575</t>
        </is>
      </c>
      <c r="C65" s="3" t="inlineStr">
        <is>
          <t>1097-4660</t>
        </is>
      </c>
      <c r="D65" s="3" t="n">
        <v>2024</v>
      </c>
      <c r="E65" s="3" t="n">
        <v>2025</v>
      </c>
      <c r="F65" s="3" t="inlineStr">
        <is>
          <t>CHEMISTRY, MULTIDISCIPLINARY</t>
        </is>
      </c>
      <c r="G65" s="3" t="inlineStr">
        <is>
          <t>Q3</t>
        </is>
      </c>
      <c r="H65" s="3" t="inlineStr">
        <is>
          <t>https://topj.lib.whu.edu.cn/show.asp?cat=zk&amp;id=7182</t>
        </is>
      </c>
      <c r="I65" s="3" t="inlineStr">
        <is>
          <t>机构JCR栏：搜索索引可核验；原页面直连未成功；非Clarivate账户导出</t>
        </is>
      </c>
    </row>
    <row r="66" ht="48" customHeight="1">
      <c r="A66" s="2" t="inlineStr">
        <is>
          <t>JOURNAL OF CHEMICAL TECHNOLOGY AND BIOTECHNOLOGY</t>
        </is>
      </c>
      <c r="B66" s="2" t="inlineStr">
        <is>
          <t>0268-2575</t>
        </is>
      </c>
      <c r="C66" s="2" t="inlineStr">
        <is>
          <t>1097-4660</t>
        </is>
      </c>
      <c r="D66" s="2" t="n">
        <v>2024</v>
      </c>
      <c r="E66" s="2" t="n">
        <v>2025</v>
      </c>
      <c r="F66" s="2" t="inlineStr">
        <is>
          <t>ENGINEERING, CHEMICAL</t>
        </is>
      </c>
      <c r="G66" s="2" t="inlineStr">
        <is>
          <t>Q3</t>
        </is>
      </c>
      <c r="H66" s="2" t="inlineStr">
        <is>
          <t>https://topj.lib.whu.edu.cn/show.asp?cat=zk&amp;id=7182</t>
        </is>
      </c>
      <c r="I66" s="2" t="inlineStr">
        <is>
          <t>机构JCR栏：搜索索引可核验；原页面直连未成功；非Clarivate账户导出</t>
        </is>
      </c>
    </row>
    <row r="67" ht="48" customHeight="1">
      <c r="A67" s="3" t="inlineStr">
        <is>
          <t>JOURNAL OF CHEMICAL TECHNOLOGY AND BIOTECHNOLOGY</t>
        </is>
      </c>
      <c r="B67" s="3" t="inlineStr">
        <is>
          <t>0268-2575</t>
        </is>
      </c>
      <c r="C67" s="3" t="inlineStr">
        <is>
          <t>1097-4660</t>
        </is>
      </c>
      <c r="D67" s="3" t="n">
        <v>2024</v>
      </c>
      <c r="E67" s="3" t="n">
        <v>2025</v>
      </c>
      <c r="F67" s="3" t="inlineStr">
        <is>
          <t>ENGINEERING, ENVIRONMENTAL</t>
        </is>
      </c>
      <c r="G67" s="3" t="inlineStr">
        <is>
          <t>Q3</t>
        </is>
      </c>
      <c r="H67" s="3" t="inlineStr">
        <is>
          <t>https://topj.lib.whu.edu.cn/show.asp?cat=zk&amp;id=7182</t>
        </is>
      </c>
      <c r="I67" s="3" t="inlineStr">
        <is>
          <t>机构JCR栏：搜索索引可核验；原页面直连未成功；非Clarivate账户导出</t>
        </is>
      </c>
    </row>
    <row r="68" ht="48" customHeight="1">
      <c r="A68" s="2" t="inlineStr">
        <is>
          <t>JOURNAL OF ENVIRONMENTAL SCIENCE AND HEALTH PART A-TOXIC/HAZARDOUS SUBSTANCES &amp; ENVIRONMENTAL ENGINEERING</t>
        </is>
      </c>
      <c r="B68" s="2" t="inlineStr">
        <is>
          <t>1093-4529</t>
        </is>
      </c>
      <c r="C68" s="2" t="inlineStr">
        <is>
          <t>1532-4117</t>
        </is>
      </c>
      <c r="D68" s="2" t="n">
        <v>2024</v>
      </c>
      <c r="E68" s="2" t="n">
        <v>2025</v>
      </c>
      <c r="F68" s="2" t="inlineStr">
        <is>
          <t>ENGINEERING, ENVIRONMENTAL</t>
        </is>
      </c>
      <c r="G68" s="2" t="inlineStr">
        <is>
          <t>Q4</t>
        </is>
      </c>
      <c r="H68" s="2" t="inlineStr">
        <is>
          <t>https://topj.lib.whu.edu.cn/show.asp?cat=zk&amp;id=4361</t>
        </is>
      </c>
      <c r="I68" s="2" t="inlineStr">
        <is>
          <t>机构JCR栏：搜索索引可核验；原页面直连未成功；非Clarivate账户导出</t>
        </is>
      </c>
    </row>
    <row r="69" ht="48" customHeight="1">
      <c r="A69" s="3" t="inlineStr">
        <is>
          <t>JOURNAL OF ENVIRONMENTAL SCIENCE AND HEALTH PART A-TOXIC/HAZARDOUS SUBSTANCES &amp; ENVIRONMENTAL ENGINEERING</t>
        </is>
      </c>
      <c r="B69" s="3" t="inlineStr">
        <is>
          <t>1093-4529</t>
        </is>
      </c>
      <c r="C69" s="3" t="inlineStr">
        <is>
          <t>1532-4117</t>
        </is>
      </c>
      <c r="D69" s="3" t="n">
        <v>2024</v>
      </c>
      <c r="E69" s="3" t="n">
        <v>2025</v>
      </c>
      <c r="F69" s="3" t="inlineStr">
        <is>
          <t>ENVIRONMENTAL SCIENCES</t>
        </is>
      </c>
      <c r="G69" s="3" t="inlineStr">
        <is>
          <t>Q3</t>
        </is>
      </c>
      <c r="H69" s="3" t="inlineStr">
        <is>
          <t>https://topj.lib.whu.edu.cn/show.asp?cat=zk&amp;id=4361</t>
        </is>
      </c>
      <c r="I69" s="3" t="inlineStr">
        <is>
          <t>机构JCR栏：搜索索引可核验；原页面直连未成功；非Clarivate账户导出</t>
        </is>
      </c>
    </row>
    <row r="70" ht="48" customHeight="1">
      <c r="A70" s="2" t="inlineStr">
        <is>
          <t>Journal of Material Cycles and Waste Management</t>
        </is>
      </c>
      <c r="B70" s="2" t="inlineStr">
        <is>
          <t>1438-4957</t>
        </is>
      </c>
      <c r="C70" s="2" t="inlineStr">
        <is>
          <t>1611-8227</t>
        </is>
      </c>
      <c r="D70" s="2" t="n">
        <v>2024</v>
      </c>
      <c r="E70" s="2" t="n">
        <v>2025</v>
      </c>
      <c r="F70" s="2" t="inlineStr">
        <is>
          <t>ENVIRONMENTAL SCIENCES</t>
        </is>
      </c>
      <c r="G70" s="2" t="inlineStr">
        <is>
          <t>Q3</t>
        </is>
      </c>
      <c r="H70" s="2" t="inlineStr">
        <is>
          <t>https://topj.lib.whu.edu.cn/show.asp?cat=zk&amp;id=4243</t>
        </is>
      </c>
      <c r="I70" s="2" t="inlineStr">
        <is>
          <t>机构JCR栏：搜索索引可核验；原页面直连未成功；非Clarivate账户导出</t>
        </is>
      </c>
    </row>
    <row r="71" ht="48" customHeight="1">
      <c r="A71" s="3" t="inlineStr">
        <is>
          <t>PROCESS BIOCHEMISTRY</t>
        </is>
      </c>
      <c r="B71" s="3" t="inlineStr">
        <is>
          <t>1359-5113</t>
        </is>
      </c>
      <c r="C71" s="3" t="inlineStr"/>
      <c r="D71" s="3" t="n">
        <v>2024</v>
      </c>
      <c r="E71" s="3" t="n">
        <v>2025</v>
      </c>
      <c r="F71" s="3" t="inlineStr">
        <is>
          <t>BIOCHEMISTRY &amp; MOLECULAR BIOLOGY</t>
        </is>
      </c>
      <c r="G71" s="3" t="inlineStr">
        <is>
          <t>Q2</t>
        </is>
      </c>
      <c r="H71" s="3" t="inlineStr">
        <is>
          <t>https://topj.lib.whu.edu.cn/show.asp?cat=sci&amp;id=5869</t>
        </is>
      </c>
      <c r="I71" s="3" t="inlineStr">
        <is>
          <t>机构JCR栏：搜索索引可核验；原页面直连未成功；非Clarivate账户导出</t>
        </is>
      </c>
    </row>
    <row r="72" ht="48" customHeight="1">
      <c r="A72" s="2" t="inlineStr">
        <is>
          <t>PROCESS BIOCHEMISTRY</t>
        </is>
      </c>
      <c r="B72" s="2" t="inlineStr">
        <is>
          <t>1359-5113</t>
        </is>
      </c>
      <c r="C72" s="2" t="inlineStr"/>
      <c r="D72" s="2" t="n">
        <v>2024</v>
      </c>
      <c r="E72" s="2" t="n">
        <v>2025</v>
      </c>
      <c r="F72" s="2" t="inlineStr">
        <is>
          <t>BIOTECHNOLOGY &amp; APPLIED MICROBIOLOGY</t>
        </is>
      </c>
      <c r="G72" s="2" t="inlineStr">
        <is>
          <t>Q2</t>
        </is>
      </c>
      <c r="H72" s="2" t="inlineStr">
        <is>
          <t>https://topj.lib.whu.edu.cn/show.asp?cat=sci&amp;id=5869</t>
        </is>
      </c>
      <c r="I72" s="2" t="inlineStr">
        <is>
          <t>机构JCR栏：搜索索引可核验；原页面直连未成功；非Clarivate账户导出</t>
        </is>
      </c>
    </row>
    <row r="73" ht="48" customHeight="1">
      <c r="A73" s="3" t="inlineStr">
        <is>
          <t>PROCESS BIOCHEMISTRY</t>
        </is>
      </c>
      <c r="B73" s="3" t="inlineStr">
        <is>
          <t>1359-5113</t>
        </is>
      </c>
      <c r="C73" s="3" t="inlineStr"/>
      <c r="D73" s="3" t="n">
        <v>2024</v>
      </c>
      <c r="E73" s="3" t="n">
        <v>2025</v>
      </c>
      <c r="F73" s="3" t="inlineStr">
        <is>
          <t>ENGINEERING, CHEMICAL</t>
        </is>
      </c>
      <c r="G73" s="3" t="inlineStr">
        <is>
          <t>Q2</t>
        </is>
      </c>
      <c r="H73" s="3" t="inlineStr">
        <is>
          <t>https://topj.lib.whu.edu.cn/show.asp?cat=sci&amp;id=5869</t>
        </is>
      </c>
      <c r="I73" s="3" t="inlineStr">
        <is>
          <t>机构JCR栏：搜索索引可核验；原页面直连未成功；非Clarivate账户导出</t>
        </is>
      </c>
    </row>
    <row r="74" ht="48" customHeight="1">
      <c r="A74" s="2" t="inlineStr">
        <is>
          <t>3 Biotech</t>
        </is>
      </c>
      <c r="B74" s="2" t="inlineStr">
        <is>
          <t>2190-572X</t>
        </is>
      </c>
      <c r="C74" s="2" t="inlineStr">
        <is>
          <t>2190-5738</t>
        </is>
      </c>
      <c r="D74" s="2" t="n">
        <v>2024</v>
      </c>
      <c r="E74" s="2" t="n">
        <v>2025</v>
      </c>
      <c r="F74" s="2" t="inlineStr">
        <is>
          <t>BIOTECHNOLOGY &amp; APPLIED MICROBIOLOGY</t>
        </is>
      </c>
      <c r="G74" s="2" t="inlineStr">
        <is>
          <t>Q2</t>
        </is>
      </c>
      <c r="H74" s="2" t="inlineStr">
        <is>
          <t>https://topj.lib.whu.edu.cn/show.asp?cat=sci&amp;id=2819</t>
        </is>
      </c>
      <c r="I74" s="2" t="inlineStr">
        <is>
          <t>机构JCR栏：搜索索引可核验；原页面直连未成功；非Clarivate账户导出</t>
        </is>
      </c>
    </row>
    <row r="75" ht="48" customHeight="1">
      <c r="A75" s="3" t="inlineStr">
        <is>
          <t>ACS Omega</t>
        </is>
      </c>
      <c r="B75" s="3" t="inlineStr"/>
      <c r="C75" s="3" t="inlineStr">
        <is>
          <t>2470-1343</t>
        </is>
      </c>
      <c r="D75" s="3" t="n">
        <v>2024</v>
      </c>
      <c r="E75" s="3" t="n">
        <v>2025</v>
      </c>
      <c r="F75" s="3" t="inlineStr">
        <is>
          <t>CHEMISTRY, MULTIDISCIPLINARY</t>
        </is>
      </c>
      <c r="G75" s="3" t="inlineStr">
        <is>
          <t>Q2</t>
        </is>
      </c>
      <c r="H75" s="3" t="inlineStr">
        <is>
          <t>https://topj.lib.whu.edu.cn/show.asp?cat=sci&amp;id=3581</t>
        </is>
      </c>
      <c r="I75" s="3" t="inlineStr">
        <is>
          <t>机构JCR栏：搜索索引可核验；原页面直连未成功；非Clarivate账户导出</t>
        </is>
      </c>
    </row>
    <row r="76" ht="48" customHeight="1">
      <c r="A76" s="2" t="inlineStr">
        <is>
          <t>AMB Express</t>
        </is>
      </c>
      <c r="B76" s="2" t="inlineStr"/>
      <c r="C76" s="2" t="inlineStr">
        <is>
          <t>2191-0855</t>
        </is>
      </c>
      <c r="D76" s="2" t="n">
        <v>2024</v>
      </c>
      <c r="E76" s="2" t="n">
        <v>2025</v>
      </c>
      <c r="F76" s="2" t="inlineStr">
        <is>
          <t>BIOTECHNOLOGY &amp; APPLIED MICROBIOLOGY</t>
        </is>
      </c>
      <c r="G76" s="2" t="inlineStr">
        <is>
          <t>Q2</t>
        </is>
      </c>
      <c r="H76" s="2" t="inlineStr">
        <is>
          <t>https://topj.lib.whu.edu.cn/show.asp?cat=zk&amp;id=6651</t>
        </is>
      </c>
      <c r="I76" s="2" t="inlineStr">
        <is>
          <t>机构JCR栏：搜索索引可核验；原页面直连未成功；非Clarivate账户导出</t>
        </is>
      </c>
    </row>
    <row r="77" ht="48" customHeight="1">
      <c r="A77" s="3" t="inlineStr">
        <is>
          <t>APPLIED ECOLOGY AND ENVIRONMENTAL RESEARCH</t>
        </is>
      </c>
      <c r="B77" s="3" t="inlineStr">
        <is>
          <t>1589-1623</t>
        </is>
      </c>
      <c r="C77" s="3" t="inlineStr">
        <is>
          <t>1785-0037</t>
        </is>
      </c>
      <c r="D77" s="3" t="n">
        <v>2024</v>
      </c>
      <c r="E77" s="3" t="n">
        <v>2025</v>
      </c>
      <c r="F77" s="3" t="inlineStr">
        <is>
          <t>ECOLOGY</t>
        </is>
      </c>
      <c r="G77" s="3" t="inlineStr">
        <is>
          <t>Q4</t>
        </is>
      </c>
      <c r="H77" s="3" t="inlineStr">
        <is>
          <t>https://topj.lib.whu.edu.cn/show.asp?cat=sci&amp;id=7203</t>
        </is>
      </c>
      <c r="I77" s="3" t="inlineStr">
        <is>
          <t>机构JCR栏：搜索索引可核验；原页面直连未成功；非Clarivate账户导出</t>
        </is>
      </c>
    </row>
    <row r="78" ht="48" customHeight="1">
      <c r="A78" s="2" t="inlineStr">
        <is>
          <t>APPLIED ECOLOGY AND ENVIRONMENTAL RESEARCH</t>
        </is>
      </c>
      <c r="B78" s="2" t="inlineStr">
        <is>
          <t>1589-1623</t>
        </is>
      </c>
      <c r="C78" s="2" t="inlineStr">
        <is>
          <t>1785-0037</t>
        </is>
      </c>
      <c r="D78" s="2" t="n">
        <v>2024</v>
      </c>
      <c r="E78" s="2" t="n">
        <v>2025</v>
      </c>
      <c r="F78" s="2" t="inlineStr">
        <is>
          <t>ENVIRONMENTAL SCIENCES</t>
        </is>
      </c>
      <c r="G78" s="2" t="inlineStr">
        <is>
          <t>Q4</t>
        </is>
      </c>
      <c r="H78" s="2" t="inlineStr">
        <is>
          <t>https://topj.lib.whu.edu.cn/show.asp?cat=sci&amp;id=7203</t>
        </is>
      </c>
      <c r="I78" s="2" t="inlineStr">
        <is>
          <t>机构JCR栏：搜索索引可核验；原页面直连未成功；非Clarivate账户导出</t>
        </is>
      </c>
    </row>
    <row r="79" ht="48" customHeight="1">
      <c r="A79" s="3" t="inlineStr">
        <is>
          <t>BRAZILIAN JOURNAL OF CHEMICAL ENGINEERING</t>
        </is>
      </c>
      <c r="B79" s="3" t="inlineStr"/>
      <c r="C79" s="3" t="inlineStr">
        <is>
          <t>0104-6632</t>
        </is>
      </c>
      <c r="D79" s="3" t="n">
        <v>2024</v>
      </c>
      <c r="E79" s="3" t="n">
        <v>2025</v>
      </c>
      <c r="F79" s="3" t="inlineStr">
        <is>
          <t>ENGINEERING, CHEMICAL</t>
        </is>
      </c>
      <c r="G79" s="3" t="inlineStr">
        <is>
          <t>Q3</t>
        </is>
      </c>
      <c r="H79" s="3" t="inlineStr">
        <is>
          <t>https://topj.lib.whu.edu.cn/show.asp?cat=sci&amp;id=5923</t>
        </is>
      </c>
      <c r="I79" s="3" t="inlineStr">
        <is>
          <t>机构JCR栏：搜索索引可核验；原页面直连未成功；非Clarivate账户导出</t>
        </is>
      </c>
    </row>
    <row r="80" ht="48" customHeight="1">
      <c r="A80" s="2" t="inlineStr">
        <is>
          <t>ENVIRONMENTAL MICROBIOLOGY</t>
        </is>
      </c>
      <c r="B80" s="2" t="inlineStr">
        <is>
          <t>1462-2912</t>
        </is>
      </c>
      <c r="C80" s="2" t="inlineStr">
        <is>
          <t>1462-2920</t>
        </is>
      </c>
      <c r="D80" s="2" t="n">
        <v>2024</v>
      </c>
      <c r="E80" s="2" t="n">
        <v>2025</v>
      </c>
      <c r="F80" s="2" t="inlineStr">
        <is>
          <t>MICROBIOLOGY</t>
        </is>
      </c>
      <c r="G80" s="2" t="inlineStr">
        <is>
          <t>Q2</t>
        </is>
      </c>
      <c r="H80" s="2" t="inlineStr">
        <is>
          <t>https://topj.lib.whu.edu.cn/show.asp?cat=zk&amp;id=6580</t>
        </is>
      </c>
      <c r="I80" s="2" t="inlineStr">
        <is>
          <t>机构JCR栏：搜索索引可核验；原页面直连未成功；非Clarivate账户导出</t>
        </is>
      </c>
    </row>
    <row r="81" ht="48" customHeight="1">
      <c r="A81" s="3" t="inlineStr">
        <is>
          <t>ENVIRONMENTAL MICROBIOLOGY REPORTS</t>
        </is>
      </c>
      <c r="B81" s="3" t="inlineStr">
        <is>
          <t>1758-2229</t>
        </is>
      </c>
      <c r="C81" s="3" t="inlineStr">
        <is>
          <t>1758-2229</t>
        </is>
      </c>
      <c r="D81" s="3" t="n">
        <v>2024</v>
      </c>
      <c r="E81" s="3" t="n">
        <v>2025</v>
      </c>
      <c r="F81" s="3" t="inlineStr">
        <is>
          <t>ENVIRONMENTAL SCIENCES</t>
        </is>
      </c>
      <c r="G81" s="3" t="inlineStr">
        <is>
          <t>Q3</t>
        </is>
      </c>
      <c r="H81" s="3" t="inlineStr">
        <is>
          <t>https://topj.lib.whu.edu.cn/search.asp?cat=esi&amp;ordertype=&amp;page=7&amp;q=&amp;xk=19</t>
        </is>
      </c>
      <c r="I81" s="3" t="inlineStr">
        <is>
          <t>机构2024年JCR列表栏：搜索索引可核验；原页直连未成功；仅统计已显示学科</t>
        </is>
      </c>
    </row>
    <row r="82" ht="48" customHeight="1">
      <c r="A82" s="2" t="inlineStr">
        <is>
          <t>ENVIRONMENTAL MICROBIOLOGY REPORTS</t>
        </is>
      </c>
      <c r="B82" s="2" t="inlineStr">
        <is>
          <t>1758-2229</t>
        </is>
      </c>
      <c r="C82" s="2" t="inlineStr">
        <is>
          <t>1758-2229</t>
        </is>
      </c>
      <c r="D82" s="2" t="n">
        <v>2024</v>
      </c>
      <c r="E82" s="2" t="n">
        <v>2025</v>
      </c>
      <c r="F82" s="2" t="inlineStr">
        <is>
          <t>MICROBIOLOGY</t>
        </is>
      </c>
      <c r="G82" s="2" t="inlineStr">
        <is>
          <t>Q3</t>
        </is>
      </c>
      <c r="H82" s="2" t="inlineStr">
        <is>
          <t>https://topj.lib.whu.edu.cn/search.asp?cat=esi&amp;ordertype=&amp;page=7&amp;q=&amp;xk=19</t>
        </is>
      </c>
      <c r="I82" s="2" t="inlineStr">
        <is>
          <t>机构2024年JCR列表栏：搜索索引可核验；原页直连未成功；仅统计已显示学科</t>
        </is>
      </c>
    </row>
    <row r="83" ht="48" customHeight="1">
      <c r="A83" s="3" t="inlineStr">
        <is>
          <t>ENVIRONMENTAL REVIEWS</t>
        </is>
      </c>
      <c r="B83" s="3" t="inlineStr">
        <is>
          <t>1181-8700</t>
        </is>
      </c>
      <c r="C83" s="3" t="inlineStr">
        <is>
          <t>1208-6053</t>
        </is>
      </c>
      <c r="D83" s="3" t="n">
        <v>2024</v>
      </c>
      <c r="E83" s="3" t="n">
        <v>2025</v>
      </c>
      <c r="F83" s="3" t="inlineStr">
        <is>
          <t>ENVIRONMENTAL SCIENCES</t>
        </is>
      </c>
      <c r="G83" s="3" t="inlineStr">
        <is>
          <t>Q1</t>
        </is>
      </c>
      <c r="H83" s="3" t="inlineStr">
        <is>
          <t>https://topj.lib.whu.edu.cn/searchxk1.asp?ordertype=&amp;page=6&amp;q=&amp;xk=488</t>
        </is>
      </c>
      <c r="I83" s="3" t="inlineStr">
        <is>
          <t>机构2024年JCR列表栏：搜索索引可核验；原页直连未成功；仅统计已显示学科</t>
        </is>
      </c>
    </row>
    <row r="84" ht="48" customHeight="1">
      <c r="A84" s="2" t="inlineStr">
        <is>
          <t>Energy</t>
        </is>
      </c>
      <c r="B84" s="2" t="inlineStr">
        <is>
          <t>0360-5442</t>
        </is>
      </c>
      <c r="C84" s="2" t="inlineStr"/>
      <c r="D84" s="2" t="n">
        <v>2024</v>
      </c>
      <c r="E84" s="2" t="n">
        <v>2025</v>
      </c>
      <c r="F84" s="2" t="inlineStr">
        <is>
          <t>THERMODYNAMICS</t>
        </is>
      </c>
      <c r="G84" s="2" t="inlineStr">
        <is>
          <t>Q1</t>
        </is>
      </c>
      <c r="H84" s="2" t="inlineStr">
        <is>
          <t>https://topj.lib.whu.edu.cn/show.asp?cat=sci&amp;id=218</t>
        </is>
      </c>
      <c r="I84" s="2" t="inlineStr">
        <is>
          <t>机构JCR栏：搜索索引可核验；原页面直连未成功；非Clarivate账户导出</t>
        </is>
      </c>
    </row>
    <row r="85" ht="48" customHeight="1">
      <c r="A85" s="3" t="inlineStr">
        <is>
          <t>Energy</t>
        </is>
      </c>
      <c r="B85" s="3" t="inlineStr">
        <is>
          <t>0360-5442</t>
        </is>
      </c>
      <c r="C85" s="3" t="inlineStr"/>
      <c r="D85" s="3" t="n">
        <v>2024</v>
      </c>
      <c r="E85" s="3" t="n">
        <v>2025</v>
      </c>
      <c r="F85" s="3" t="inlineStr">
        <is>
          <t>ENERGY &amp; FUELS</t>
        </is>
      </c>
      <c r="G85" s="3" t="inlineStr">
        <is>
          <t>Q1</t>
        </is>
      </c>
      <c r="H85" s="3" t="inlineStr">
        <is>
          <t>https://topj.lib.whu.edu.cn/show.asp?cat=sci&amp;id=218</t>
        </is>
      </c>
      <c r="I85" s="3" t="inlineStr">
        <is>
          <t>机构JCR栏：搜索索引可核验；原页面直连未成功；非Clarivate账户导出</t>
        </is>
      </c>
    </row>
    <row r="86" ht="48" customHeight="1">
      <c r="A86" s="2" t="inlineStr">
        <is>
          <t>Energy Sources Part A-Recovery Utilization and Environmental Effects</t>
        </is>
      </c>
      <c r="B86" s="2" t="inlineStr">
        <is>
          <t>1556-7036</t>
        </is>
      </c>
      <c r="C86" s="2" t="inlineStr">
        <is>
          <t>1556-7230</t>
        </is>
      </c>
      <c r="D86" s="2" t="n">
        <v>2024</v>
      </c>
      <c r="E86" s="2" t="n">
        <v>2025</v>
      </c>
      <c r="F86" s="2" t="inlineStr">
        <is>
          <t>ENERGY &amp; FUELS</t>
        </is>
      </c>
      <c r="G86" s="2" t="inlineStr">
        <is>
          <t>Q4</t>
        </is>
      </c>
      <c r="H86" s="2" t="inlineStr">
        <is>
          <t>https://topj.lib.whu.edu.cn/show.asp?cat=zk&amp;id=5778</t>
        </is>
      </c>
      <c r="I86" s="2" t="inlineStr">
        <is>
          <t>机构JCR栏：搜索索引可核验；原页面直连未成功；非Clarivate账户导出</t>
        </is>
      </c>
    </row>
    <row r="87" ht="48" customHeight="1">
      <c r="A87" s="3" t="inlineStr">
        <is>
          <t>Energy Sources Part A-Recovery Utilization and Environmental Effects</t>
        </is>
      </c>
      <c r="B87" s="3" t="inlineStr">
        <is>
          <t>1556-7036</t>
        </is>
      </c>
      <c r="C87" s="3" t="inlineStr">
        <is>
          <t>1556-7230</t>
        </is>
      </c>
      <c r="D87" s="3" t="n">
        <v>2024</v>
      </c>
      <c r="E87" s="3" t="n">
        <v>2025</v>
      </c>
      <c r="F87" s="3" t="inlineStr">
        <is>
          <t>ENGINEERING, CHEMICAL</t>
        </is>
      </c>
      <c r="G87" s="3" t="inlineStr">
        <is>
          <t>Q3</t>
        </is>
      </c>
      <c r="H87" s="3" t="inlineStr">
        <is>
          <t>https://topj.lib.whu.edu.cn/show.asp?cat=zk&amp;id=5778</t>
        </is>
      </c>
      <c r="I87" s="3" t="inlineStr">
        <is>
          <t>机构JCR栏：搜索索引可核验；原页面直连未成功；非Clarivate账户导出</t>
        </is>
      </c>
    </row>
    <row r="88" ht="48" customHeight="1">
      <c r="A88" s="2" t="inlineStr">
        <is>
          <t>Environmental Science-Processes &amp; Impacts</t>
        </is>
      </c>
      <c r="B88" s="2" t="inlineStr">
        <is>
          <t>2050-7887</t>
        </is>
      </c>
      <c r="C88" s="2" t="inlineStr">
        <is>
          <t>2050-7895</t>
        </is>
      </c>
      <c r="D88" s="2" t="n">
        <v>2024</v>
      </c>
      <c r="E88" s="2" t="n">
        <v>2025</v>
      </c>
      <c r="F88" s="2" t="inlineStr">
        <is>
          <t>CHEMISTRY, ANALYTICAL</t>
        </is>
      </c>
      <c r="G88" s="2" t="inlineStr">
        <is>
          <t>Q2</t>
        </is>
      </c>
      <c r="H88" s="2" t="inlineStr">
        <is>
          <t>https://topj.lib.whu.edu.cn/searchxk1.asp?ordertype=&amp;page=6&amp;q=&amp;xk=488</t>
        </is>
      </c>
      <c r="I88" s="2" t="inlineStr">
        <is>
          <t>机构2024年JCR列表栏：搜索索引可核验；原页直连未成功；仅统计已显示学科</t>
        </is>
      </c>
    </row>
    <row r="89" ht="48" customHeight="1">
      <c r="A89" s="3" t="inlineStr">
        <is>
          <t>Environmental Science-Processes &amp; Impacts</t>
        </is>
      </c>
      <c r="B89" s="3" t="inlineStr">
        <is>
          <t>2050-7887</t>
        </is>
      </c>
      <c r="C89" s="3" t="inlineStr">
        <is>
          <t>2050-7895</t>
        </is>
      </c>
      <c r="D89" s="3" t="n">
        <v>2024</v>
      </c>
      <c r="E89" s="3" t="n">
        <v>2025</v>
      </c>
      <c r="F89" s="3" t="inlineStr">
        <is>
          <t>ENVIRONMENTAL SCIENCES</t>
        </is>
      </c>
      <c r="G89" s="3" t="inlineStr">
        <is>
          <t>Q2</t>
        </is>
      </c>
      <c r="H89" s="3" t="inlineStr">
        <is>
          <t>https://topj.lib.whu.edu.cn/searchxk1.asp?ordertype=&amp;page=6&amp;q=&amp;xk=488</t>
        </is>
      </c>
      <c r="I89" s="3" t="inlineStr">
        <is>
          <t>机构2024年JCR列表栏：搜索索引可核验；原页直连未成功；仅统计已显示学科</t>
        </is>
      </c>
    </row>
    <row r="90" ht="48" customHeight="1">
      <c r="A90" s="2" t="inlineStr">
        <is>
          <t>Environmental Science-Water Research &amp; Technology</t>
        </is>
      </c>
      <c r="B90" s="2" t="inlineStr">
        <is>
          <t>2053-1400</t>
        </is>
      </c>
      <c r="C90" s="2" t="inlineStr">
        <is>
          <t>2053-1419</t>
        </is>
      </c>
      <c r="D90" s="2" t="n">
        <v>2024</v>
      </c>
      <c r="E90" s="2" t="n">
        <v>2025</v>
      </c>
      <c r="F90" s="2" t="inlineStr">
        <is>
          <t>WATER RESOURCES</t>
        </is>
      </c>
      <c r="G90" s="2" t="inlineStr">
        <is>
          <t>Q2</t>
        </is>
      </c>
      <c r="H90" s="2" t="inlineStr">
        <is>
          <t>https://topj.lib.whu.edu.cn/show.asp?cat=sci&amp;id=6402</t>
        </is>
      </c>
      <c r="I90" s="2" t="inlineStr">
        <is>
          <t>机构JCR栏：搜索索引可核验；原页面直连未成功；非Clarivate账户导出</t>
        </is>
      </c>
    </row>
    <row r="91" ht="48" customHeight="1">
      <c r="A91" s="3" t="inlineStr">
        <is>
          <t>Environmental Science-Water Research &amp; Technology</t>
        </is>
      </c>
      <c r="B91" s="3" t="inlineStr">
        <is>
          <t>2053-1400</t>
        </is>
      </c>
      <c r="C91" s="3" t="inlineStr">
        <is>
          <t>2053-1419</t>
        </is>
      </c>
      <c r="D91" s="3" t="n">
        <v>2024</v>
      </c>
      <c r="E91" s="3" t="n">
        <v>2025</v>
      </c>
      <c r="F91" s="3" t="inlineStr">
        <is>
          <t>ENGINEERING, ENVIRONMENTAL</t>
        </is>
      </c>
      <c r="G91" s="3" t="inlineStr">
        <is>
          <t>Q3</t>
        </is>
      </c>
      <c r="H91" s="3" t="inlineStr">
        <is>
          <t>https://topj.lib.whu.edu.cn/show.asp?cat=sci&amp;id=6402</t>
        </is>
      </c>
      <c r="I91" s="3" t="inlineStr">
        <is>
          <t>机构JCR栏：搜索索引可核验；原页面直连未成功；非Clarivate账户导出</t>
        </is>
      </c>
    </row>
    <row r="92" ht="48" customHeight="1">
      <c r="A92" s="2" t="inlineStr">
        <is>
          <t>Environmental Science-Water Research &amp; Technology</t>
        </is>
      </c>
      <c r="B92" s="2" t="inlineStr">
        <is>
          <t>2053-1400</t>
        </is>
      </c>
      <c r="C92" s="2" t="inlineStr">
        <is>
          <t>2053-1419</t>
        </is>
      </c>
      <c r="D92" s="2" t="n">
        <v>2024</v>
      </c>
      <c r="E92" s="2" t="n">
        <v>2025</v>
      </c>
      <c r="F92" s="2" t="inlineStr">
        <is>
          <t>ENVIRONMENTAL SCIENCES</t>
        </is>
      </c>
      <c r="G92" s="2" t="inlineStr">
        <is>
          <t>Q2</t>
        </is>
      </c>
      <c r="H92" s="2" t="inlineStr">
        <is>
          <t>https://topj.lib.whu.edu.cn/show.asp?cat=sci&amp;id=6402</t>
        </is>
      </c>
      <c r="I92" s="2" t="inlineStr">
        <is>
          <t>机构JCR栏：搜索索引可核验；原页面直连未成功；非Clarivate账户导出</t>
        </is>
      </c>
    </row>
    <row r="93" ht="48" customHeight="1">
      <c r="A93" s="3" t="inlineStr">
        <is>
          <t>Environmental Technology &amp; Innovation</t>
        </is>
      </c>
      <c r="B93" s="3" t="inlineStr">
        <is>
          <t>2352-1864</t>
        </is>
      </c>
      <c r="C93" s="3" t="inlineStr"/>
      <c r="D93" s="3" t="n">
        <v>2024</v>
      </c>
      <c r="E93" s="3" t="n">
        <v>2025</v>
      </c>
      <c r="F93" s="3" t="inlineStr">
        <is>
          <t>BIOTECHNOLOGY &amp; APPLIED MICROBIOLOGY</t>
        </is>
      </c>
      <c r="G93" s="3" t="inlineStr">
        <is>
          <t>Q1</t>
        </is>
      </c>
      <c r="H93" s="3" t="inlineStr">
        <is>
          <t>https://topj.lib.whu.edu.cn/show.asp?cat=zk&amp;id=4040</t>
        </is>
      </c>
      <c r="I93" s="3" t="inlineStr">
        <is>
          <t>机构JCR栏：搜索索引可核验；原页面直连未成功；非Clarivate账户导出</t>
        </is>
      </c>
    </row>
    <row r="94" ht="48" customHeight="1">
      <c r="A94" s="2" t="inlineStr">
        <is>
          <t>Environmental Technology &amp; Innovation</t>
        </is>
      </c>
      <c r="B94" s="2" t="inlineStr">
        <is>
          <t>2352-1864</t>
        </is>
      </c>
      <c r="C94" s="2" t="inlineStr"/>
      <c r="D94" s="2" t="n">
        <v>2024</v>
      </c>
      <c r="E94" s="2" t="n">
        <v>2025</v>
      </c>
      <c r="F94" s="2" t="inlineStr">
        <is>
          <t>ENGINEERING, ENVIRONMENTAL</t>
        </is>
      </c>
      <c r="G94" s="2" t="inlineStr">
        <is>
          <t>Q1</t>
        </is>
      </c>
      <c r="H94" s="2" t="inlineStr">
        <is>
          <t>https://topj.lib.whu.edu.cn/show.asp?cat=zk&amp;id=4040</t>
        </is>
      </c>
      <c r="I94" s="2" t="inlineStr">
        <is>
          <t>机构JCR栏：搜索索引可核验；原页面直连未成功；非Clarivate账户导出</t>
        </is>
      </c>
    </row>
    <row r="95" ht="48" customHeight="1">
      <c r="A95" s="3" t="inlineStr">
        <is>
          <t>Environmental Technology &amp; Innovation</t>
        </is>
      </c>
      <c r="B95" s="3" t="inlineStr">
        <is>
          <t>2352-1864</t>
        </is>
      </c>
      <c r="C95" s="3" t="inlineStr"/>
      <c r="D95" s="3" t="n">
        <v>2024</v>
      </c>
      <c r="E95" s="3" t="n">
        <v>2025</v>
      </c>
      <c r="F95" s="3" t="inlineStr">
        <is>
          <t>ENVIRONMENTAL SCIENCES</t>
        </is>
      </c>
      <c r="G95" s="3" t="inlineStr">
        <is>
          <t>Q1</t>
        </is>
      </c>
      <c r="H95" s="3" t="inlineStr">
        <is>
          <t>https://topj.lib.whu.edu.cn/show.asp?cat=zk&amp;id=4040</t>
        </is>
      </c>
      <c r="I95" s="3" t="inlineStr">
        <is>
          <t>机构JCR栏：搜索索引可核验；原页面直连未成功；非Clarivate账户导出</t>
        </is>
      </c>
    </row>
    <row r="96" ht="48" customHeight="1">
      <c r="A96" s="2" t="inlineStr">
        <is>
          <t>FEMS MICROBIOLOGY LETTERS</t>
        </is>
      </c>
      <c r="B96" s="2" t="inlineStr"/>
      <c r="C96" s="2" t="inlineStr">
        <is>
          <t>1574-6968</t>
        </is>
      </c>
      <c r="D96" s="2" t="n">
        <v>2024</v>
      </c>
      <c r="E96" s="2" t="n">
        <v>2025</v>
      </c>
      <c r="F96" s="2" t="inlineStr">
        <is>
          <t>MICROBIOLOGY</t>
        </is>
      </c>
      <c r="G96" s="2" t="inlineStr">
        <is>
          <t>Q3</t>
        </is>
      </c>
      <c r="H96" s="2" t="inlineStr">
        <is>
          <t>https://topj.lib.whu.edu.cn/show.asp?cat=sci&amp;id=11185</t>
        </is>
      </c>
      <c r="I96" s="2" t="inlineStr">
        <is>
          <t>机构JCR栏：搜索索引可核验；原页面直连未成功；非Clarivate账户导出</t>
        </is>
      </c>
    </row>
    <row r="97" ht="48" customHeight="1">
      <c r="A97" s="3" t="inlineStr">
        <is>
          <t>FOOD AND BIOPRODUCTS PROCESSING</t>
        </is>
      </c>
      <c r="B97" s="3" t="inlineStr">
        <is>
          <t>0960-3085</t>
        </is>
      </c>
      <c r="C97" s="3" t="inlineStr"/>
      <c r="D97" s="3" t="n">
        <v>2024</v>
      </c>
      <c r="E97" s="3" t="n">
        <v>2025</v>
      </c>
      <c r="F97" s="3" t="inlineStr">
        <is>
          <t>BIOTECHNOLOGY &amp; APPLIED MICROBIOLOGY</t>
        </is>
      </c>
      <c r="G97" s="3" t="inlineStr">
        <is>
          <t>Q2</t>
        </is>
      </c>
      <c r="H97" s="3" t="inlineStr">
        <is>
          <t>https://topj.lib.whu.edu.cn/show.asp?cat=esi&amp;id=4119</t>
        </is>
      </c>
      <c r="I97" s="3" t="inlineStr">
        <is>
          <t>机构JCR栏：搜索索引可核验；原页面直连未成功；非Clarivate账户导出</t>
        </is>
      </c>
    </row>
    <row r="98" ht="48" customHeight="1">
      <c r="A98" s="2" t="inlineStr">
        <is>
          <t>FOOD AND BIOPRODUCTS PROCESSING</t>
        </is>
      </c>
      <c r="B98" s="2" t="inlineStr">
        <is>
          <t>0960-3085</t>
        </is>
      </c>
      <c r="C98" s="2" t="inlineStr"/>
      <c r="D98" s="2" t="n">
        <v>2024</v>
      </c>
      <c r="E98" s="2" t="n">
        <v>2025</v>
      </c>
      <c r="F98" s="2" t="inlineStr">
        <is>
          <t>ENGINEERING, CHEMICAL</t>
        </is>
      </c>
      <c r="G98" s="2" t="inlineStr">
        <is>
          <t>Q2</t>
        </is>
      </c>
      <c r="H98" s="2" t="inlineStr">
        <is>
          <t>https://topj.lib.whu.edu.cn/show.asp?cat=esi&amp;id=4119</t>
        </is>
      </c>
      <c r="I98" s="2" t="inlineStr">
        <is>
          <t>机构JCR栏：搜索索引可核验；原页面直连未成功；非Clarivate账户导出</t>
        </is>
      </c>
    </row>
    <row r="99" ht="48" customHeight="1">
      <c r="A99" s="3" t="inlineStr">
        <is>
          <t>FOOD AND BIOPRODUCTS PROCESSING</t>
        </is>
      </c>
      <c r="B99" s="3" t="inlineStr">
        <is>
          <t>0960-3085</t>
        </is>
      </c>
      <c r="C99" s="3" t="inlineStr"/>
      <c r="D99" s="3" t="n">
        <v>2024</v>
      </c>
      <c r="E99" s="3" t="n">
        <v>2025</v>
      </c>
      <c r="F99" s="3" t="inlineStr">
        <is>
          <t>FOOD SCIENCE &amp; TECHNOLOGY</t>
        </is>
      </c>
      <c r="G99" s="3" t="inlineStr">
        <is>
          <t>Q2</t>
        </is>
      </c>
      <c r="H99" s="3" t="inlineStr">
        <is>
          <t>https://topj.lib.whu.edu.cn/show.asp?cat=esi&amp;id=4119</t>
        </is>
      </c>
      <c r="I99" s="3" t="inlineStr">
        <is>
          <t>机构JCR栏：搜索索引可核验；原页面直连未成功；非Clarivate账户导出</t>
        </is>
      </c>
    </row>
    <row r="100" ht="48" customHeight="1">
      <c r="A100" s="2" t="inlineStr">
        <is>
          <t>INDUSTRIAL CROPS AND PRODUCTS</t>
        </is>
      </c>
      <c r="B100" s="2" t="inlineStr">
        <is>
          <t>0926-6690</t>
        </is>
      </c>
      <c r="C100" s="2" t="inlineStr"/>
      <c r="D100" s="2" t="n">
        <v>2024</v>
      </c>
      <c r="E100" s="2" t="n">
        <v>2025</v>
      </c>
      <c r="F100" s="2" t="inlineStr">
        <is>
          <t>AGRICULTURAL ENGINEERING</t>
        </is>
      </c>
      <c r="G100" s="2" t="inlineStr">
        <is>
          <t>Q1</t>
        </is>
      </c>
      <c r="H100" s="2" t="inlineStr">
        <is>
          <t>https://topj.lib.whu.edu.cn/show.asp?cat=sci&amp;id=1314</t>
        </is>
      </c>
      <c r="I100" s="2" t="inlineStr">
        <is>
          <t>机构JCR栏：搜索索引可核验；原页面直连未成功；非Clarivate账户导出</t>
        </is>
      </c>
    </row>
    <row r="101" ht="48" customHeight="1">
      <c r="A101" s="3" t="inlineStr">
        <is>
          <t>INDUSTRIAL CROPS AND PRODUCTS</t>
        </is>
      </c>
      <c r="B101" s="3" t="inlineStr">
        <is>
          <t>0926-6690</t>
        </is>
      </c>
      <c r="C101" s="3" t="inlineStr"/>
      <c r="D101" s="3" t="n">
        <v>2024</v>
      </c>
      <c r="E101" s="3" t="n">
        <v>2025</v>
      </c>
      <c r="F101" s="3" t="inlineStr">
        <is>
          <t>AGRONOMY</t>
        </is>
      </c>
      <c r="G101" s="3" t="inlineStr">
        <is>
          <t>Q1</t>
        </is>
      </c>
      <c r="H101" s="3" t="inlineStr">
        <is>
          <t>https://topj.lib.whu.edu.cn/show.asp?cat=sci&amp;id=1314</t>
        </is>
      </c>
      <c r="I101" s="3" t="inlineStr">
        <is>
          <t>机构JCR栏：搜索索引可核验；原页面直连未成功；非Clarivate账户导出</t>
        </is>
      </c>
    </row>
    <row r="102" ht="48" customHeight="1">
      <c r="A102" s="2" t="inlineStr">
        <is>
          <t>INTERNATIONAL JOURNAL OF HYDROGEN ENERGY</t>
        </is>
      </c>
      <c r="B102" s="2" t="inlineStr">
        <is>
          <t>0360-3199</t>
        </is>
      </c>
      <c r="C102" s="2" t="inlineStr"/>
      <c r="D102" s="2" t="n">
        <v>2024</v>
      </c>
      <c r="E102" s="2" t="n">
        <v>2025</v>
      </c>
      <c r="F102" s="2" t="inlineStr">
        <is>
          <t>CHEMISTRY, PHYSICAL</t>
        </is>
      </c>
      <c r="G102" s="2" t="inlineStr">
        <is>
          <t>Q1</t>
        </is>
      </c>
      <c r="H102" s="2" t="inlineStr">
        <is>
          <t>https://topj.lib.whu.edu.cn/show.asp?cat=zk&amp;id=2795</t>
        </is>
      </c>
      <c r="I102" s="2" t="inlineStr">
        <is>
          <t>机构JCR栏：搜索索引可核验；原页面直连未成功；非Clarivate账户导出</t>
        </is>
      </c>
    </row>
    <row r="103" ht="48" customHeight="1">
      <c r="A103" s="3" t="inlineStr">
        <is>
          <t>INTERNATIONAL JOURNAL OF HYDROGEN ENERGY</t>
        </is>
      </c>
      <c r="B103" s="3" t="inlineStr">
        <is>
          <t>0360-3199</t>
        </is>
      </c>
      <c r="C103" s="3" t="inlineStr"/>
      <c r="D103" s="3" t="n">
        <v>2024</v>
      </c>
      <c r="E103" s="3" t="n">
        <v>2025</v>
      </c>
      <c r="F103" s="3" t="inlineStr">
        <is>
          <t>ELECTROCHEMISTRY</t>
        </is>
      </c>
      <c r="G103" s="3" t="inlineStr">
        <is>
          <t>Q1</t>
        </is>
      </c>
      <c r="H103" s="3" t="inlineStr">
        <is>
          <t>https://topj.lib.whu.edu.cn/show.asp?cat=zk&amp;id=2795</t>
        </is>
      </c>
      <c r="I103" s="3" t="inlineStr">
        <is>
          <t>机构JCR栏：搜索索引可核验；原页面直连未成功；非Clarivate账户导出</t>
        </is>
      </c>
    </row>
    <row r="104" ht="48" customHeight="1">
      <c r="A104" s="2" t="inlineStr">
        <is>
          <t>INTERNATIONAL JOURNAL OF HYDROGEN ENERGY</t>
        </is>
      </c>
      <c r="B104" s="2" t="inlineStr">
        <is>
          <t>0360-3199</t>
        </is>
      </c>
      <c r="C104" s="2" t="inlineStr"/>
      <c r="D104" s="2" t="n">
        <v>2024</v>
      </c>
      <c r="E104" s="2" t="n">
        <v>2025</v>
      </c>
      <c r="F104" s="2" t="inlineStr">
        <is>
          <t>ENERGY &amp; FUELS</t>
        </is>
      </c>
      <c r="G104" s="2" t="inlineStr">
        <is>
          <t>Q1</t>
        </is>
      </c>
      <c r="H104" s="2" t="inlineStr">
        <is>
          <t>https://topj.lib.whu.edu.cn/show.asp?cat=zk&amp;id=2795</t>
        </is>
      </c>
      <c r="I104" s="2" t="inlineStr">
        <is>
          <t>机构JCR栏：搜索索引可核验；原页面直连未成功；非Clarivate账户导出</t>
        </is>
      </c>
    </row>
    <row r="105" ht="48" customHeight="1">
      <c r="A105" s="3" t="inlineStr">
        <is>
          <t>JOURNAL OF ENVIRONMENTAL SCIENCE AND HEALTH PART B-PESTICIDES FOOD CONTAMINANTS AND AGRICULTURAL WASTES</t>
        </is>
      </c>
      <c r="B105" s="3" t="inlineStr">
        <is>
          <t>0360-1234</t>
        </is>
      </c>
      <c r="C105" s="3" t="inlineStr">
        <is>
          <t>1532-4109</t>
        </is>
      </c>
      <c r="D105" s="3" t="n">
        <v>2024</v>
      </c>
      <c r="E105" s="3" t="n">
        <v>2025</v>
      </c>
      <c r="F105" s="3" t="inlineStr">
        <is>
          <t>ENVIRONMENTAL SCIENCES</t>
        </is>
      </c>
      <c r="G105" s="3" t="inlineStr">
        <is>
          <t>Q4</t>
        </is>
      </c>
      <c r="H105" s="3" t="inlineStr">
        <is>
          <t>https://topj.lib.whu.edu.cn/show.asp?cat=esi&amp;id=6727</t>
        </is>
      </c>
      <c r="I105" s="3" t="inlineStr">
        <is>
          <t>机构JCR栏：搜索索引可核验；原页面直连未成功；非Clarivate账户导出</t>
        </is>
      </c>
    </row>
    <row r="106" ht="48" customHeight="1">
      <c r="A106" s="2" t="inlineStr">
        <is>
          <t>JOURNAL OF ENVIRONMENTAL SCIENCE AND HEALTH PART B-PESTICIDES FOOD CONTAMINANTS AND AGRICULTURAL WASTES</t>
        </is>
      </c>
      <c r="B106" s="2" t="inlineStr">
        <is>
          <t>0360-1234</t>
        </is>
      </c>
      <c r="C106" s="2" t="inlineStr">
        <is>
          <t>1532-4109</t>
        </is>
      </c>
      <c r="D106" s="2" t="n">
        <v>2024</v>
      </c>
      <c r="E106" s="2" t="n">
        <v>2025</v>
      </c>
      <c r="F106" s="2" t="inlineStr">
        <is>
          <t>PUBLIC, ENVIRONMENTAL &amp; OCCUPATIONAL HEALTH</t>
        </is>
      </c>
      <c r="G106" s="2" t="inlineStr">
        <is>
          <t>Q3</t>
        </is>
      </c>
      <c r="H106" s="2" t="inlineStr">
        <is>
          <t>https://topj.lib.whu.edu.cn/show.asp?cat=esi&amp;id=6727</t>
        </is>
      </c>
      <c r="I106" s="2" t="inlineStr">
        <is>
          <t>机构JCR栏：搜索索引可核验；原页面直连未成功；非Clarivate账户导出</t>
        </is>
      </c>
    </row>
    <row r="107" ht="48" customHeight="1">
      <c r="A107" s="3" t="inlineStr">
        <is>
          <t>TRENDS IN BIOTECHNOLOGY</t>
        </is>
      </c>
      <c r="B107" s="3" t="inlineStr">
        <is>
          <t>0167-7799</t>
        </is>
      </c>
      <c r="C107" s="3" t="inlineStr"/>
      <c r="D107" s="3" t="n">
        <v>2024</v>
      </c>
      <c r="E107" s="3" t="n">
        <v>2025</v>
      </c>
      <c r="F107" s="3" t="inlineStr">
        <is>
          <t>BIOTECHNOLOGY &amp; APPLIED MICROBIOLOGY</t>
        </is>
      </c>
      <c r="G107" s="3" t="inlineStr">
        <is>
          <t>Q1</t>
        </is>
      </c>
      <c r="H107" s="3" t="inlineStr">
        <is>
          <t>https://topj.lib.whu.edu.cn/show.asp?cat=zk&amp;id=6421</t>
        </is>
      </c>
      <c r="I107" s="3" t="inlineStr">
        <is>
          <t>机构JCR栏：搜索索引可核验；原页面直连未成功；非Clarivate账户导出</t>
        </is>
      </c>
    </row>
    <row r="108" ht="48" customHeight="1">
      <c r="A108" s="2" t="inlineStr">
        <is>
          <t>ULTRASONICS SONOCHEMISTRY</t>
        </is>
      </c>
      <c r="B108" s="2" t="inlineStr">
        <is>
          <t>1350-4177</t>
        </is>
      </c>
      <c r="C108" s="2" t="inlineStr"/>
      <c r="D108" s="2" t="n">
        <v>2024</v>
      </c>
      <c r="E108" s="2" t="n">
        <v>2025</v>
      </c>
      <c r="F108" s="2" t="inlineStr">
        <is>
          <t>ACOUSTICS</t>
        </is>
      </c>
      <c r="G108" s="2" t="inlineStr">
        <is>
          <t>Q1</t>
        </is>
      </c>
      <c r="H108" s="2" t="inlineStr">
        <is>
          <t>https://topj.lib.whu.edu.cn/show.asp?cat=sci&amp;id=3541</t>
        </is>
      </c>
      <c r="I108" s="2" t="inlineStr">
        <is>
          <t>机构JCR栏：搜索索引可核验；原页面直连未成功；非Clarivate账户导出</t>
        </is>
      </c>
    </row>
    <row r="109" ht="48" customHeight="1">
      <c r="A109" s="3" t="inlineStr">
        <is>
          <t>ULTRASONICS SONOCHEMISTRY</t>
        </is>
      </c>
      <c r="B109" s="3" t="inlineStr">
        <is>
          <t>1350-4177</t>
        </is>
      </c>
      <c r="C109" s="3" t="inlineStr"/>
      <c r="D109" s="3" t="n">
        <v>2024</v>
      </c>
      <c r="E109" s="3" t="n">
        <v>2025</v>
      </c>
      <c r="F109" s="3" t="inlineStr">
        <is>
          <t>CHEMISTRY, MULTIDISCIPLINARY</t>
        </is>
      </c>
      <c r="G109" s="3" t="inlineStr">
        <is>
          <t>Q1</t>
        </is>
      </c>
      <c r="H109" s="3" t="inlineStr">
        <is>
          <t>https://topj.lib.whu.edu.cn/show.asp?cat=sci&amp;id=3541</t>
        </is>
      </c>
      <c r="I109" s="3" t="inlineStr">
        <is>
          <t>机构JCR栏：搜索索引可核验；原页面直连未成功；非Clarivate账户导出</t>
        </is>
      </c>
    </row>
    <row r="110" ht="48" customHeight="1">
      <c r="A110" s="2" t="inlineStr">
        <is>
          <t>WASTE MANAGEMENT &amp; RESEARCH</t>
        </is>
      </c>
      <c r="B110" s="2" t="inlineStr">
        <is>
          <t>0734-242X</t>
        </is>
      </c>
      <c r="C110" s="2" t="inlineStr">
        <is>
          <t>1096-3669</t>
        </is>
      </c>
      <c r="D110" s="2" t="n">
        <v>2024</v>
      </c>
      <c r="E110" s="2" t="n">
        <v>2025</v>
      </c>
      <c r="F110" s="2" t="inlineStr">
        <is>
          <t>ENGINEERING, ENVIRONMENTAL</t>
        </is>
      </c>
      <c r="G110" s="2" t="inlineStr">
        <is>
          <t>Q2</t>
        </is>
      </c>
      <c r="H110" s="2" t="inlineStr">
        <is>
          <t>https://topj.lib.whu.edu.cn/show.asp?cat=zk&amp;id=4229</t>
        </is>
      </c>
      <c r="I110" s="2" t="inlineStr">
        <is>
          <t>机构JCR栏：搜索索引可核验；原页面直连未成功；非Clarivate账户导出</t>
        </is>
      </c>
    </row>
    <row r="111" ht="48" customHeight="1">
      <c r="A111" s="3" t="inlineStr">
        <is>
          <t>WASTE MANAGEMENT &amp; RESEARCH</t>
        </is>
      </c>
      <c r="B111" s="3" t="inlineStr">
        <is>
          <t>0734-242X</t>
        </is>
      </c>
      <c r="C111" s="3" t="inlineStr">
        <is>
          <t>1096-3669</t>
        </is>
      </c>
      <c r="D111" s="3" t="n">
        <v>2024</v>
      </c>
      <c r="E111" s="3" t="n">
        <v>2025</v>
      </c>
      <c r="F111" s="3" t="inlineStr">
        <is>
          <t>ENVIRONMENTAL SCIENCES</t>
        </is>
      </c>
      <c r="G111" s="3" t="inlineStr">
        <is>
          <t>Q2</t>
        </is>
      </c>
      <c r="H111" s="3" t="inlineStr">
        <is>
          <t>https://topj.lib.whu.edu.cn/show.asp?cat=zk&amp;id=4229</t>
        </is>
      </c>
      <c r="I111" s="3" t="inlineStr">
        <is>
          <t>机构JCR栏：搜索索引可核验；原页面直连未成功；非Clarivate账户导出</t>
        </is>
      </c>
    </row>
    <row r="112" ht="48" customHeight="1">
      <c r="A112" s="2" t="inlineStr">
        <is>
          <t>WATER</t>
        </is>
      </c>
      <c r="B112" s="2" t="inlineStr"/>
      <c r="C112" s="2" t="inlineStr">
        <is>
          <t>2073-4441</t>
        </is>
      </c>
      <c r="D112" s="2" t="n">
        <v>2024</v>
      </c>
      <c r="E112" s="2" t="n">
        <v>2025</v>
      </c>
      <c r="F112" s="2" t="inlineStr">
        <is>
          <t>WATER RESOURCES</t>
        </is>
      </c>
      <c r="G112" s="2" t="inlineStr">
        <is>
          <t>Q2</t>
        </is>
      </c>
      <c r="H112" s="2" t="inlineStr">
        <is>
          <t>https://topj.lib.whu.edu.cn/show.asp?cat=esi&amp;id=12057</t>
        </is>
      </c>
      <c r="I112" s="2" t="inlineStr">
        <is>
          <t>机构JCR栏：搜索索引可核验；原页面直连未成功；非Clarivate账户导出</t>
        </is>
      </c>
    </row>
    <row r="113" ht="48" customHeight="1">
      <c r="A113" s="3" t="inlineStr">
        <is>
          <t>WATER</t>
        </is>
      </c>
      <c r="B113" s="3" t="inlineStr"/>
      <c r="C113" s="3" t="inlineStr">
        <is>
          <t>2073-4441</t>
        </is>
      </c>
      <c r="D113" s="3" t="n">
        <v>2024</v>
      </c>
      <c r="E113" s="3" t="n">
        <v>2025</v>
      </c>
      <c r="F113" s="3" t="inlineStr">
        <is>
          <t>ENVIRONMENTAL SCIENCES</t>
        </is>
      </c>
      <c r="G113" s="3" t="inlineStr">
        <is>
          <t>Q3</t>
        </is>
      </c>
      <c r="H113" s="3" t="inlineStr">
        <is>
          <t>https://topj.lib.whu.edu.cn/show.asp?cat=esi&amp;id=12057</t>
        </is>
      </c>
      <c r="I113" s="3" t="inlineStr">
        <is>
          <t>机构JCR栏：搜索索引可核验；原页面直连未成功；非Clarivate账户导出</t>
        </is>
      </c>
    </row>
    <row r="114" ht="48" customHeight="1">
      <c r="A114" s="2" t="inlineStr">
        <is>
          <t>WATER ENVIRONMENT RESEARCH</t>
        </is>
      </c>
      <c r="B114" s="2" t="inlineStr">
        <is>
          <t>1061-4303</t>
        </is>
      </c>
      <c r="C114" s="2" t="inlineStr">
        <is>
          <t>1554-7531</t>
        </is>
      </c>
      <c r="D114" s="2" t="n">
        <v>2024</v>
      </c>
      <c r="E114" s="2" t="n">
        <v>2025</v>
      </c>
      <c r="F114" s="2" t="inlineStr">
        <is>
          <t>WATER RESOURCES</t>
        </is>
      </c>
      <c r="G114" s="2" t="inlineStr">
        <is>
          <t>Q3</t>
        </is>
      </c>
      <c r="H114" s="2" t="inlineStr">
        <is>
          <t>https://topj.lib.whu.edu.cn/show.asp?cat=zk&amp;id=4326</t>
        </is>
      </c>
      <c r="I114" s="2" t="inlineStr">
        <is>
          <t>机构JCR栏：搜索索引可核验；原页面直连未成功；非Clarivate账户导出</t>
        </is>
      </c>
    </row>
    <row r="115" ht="48" customHeight="1">
      <c r="A115" s="3" t="inlineStr">
        <is>
          <t>WATER ENVIRONMENT RESEARCH</t>
        </is>
      </c>
      <c r="B115" s="3" t="inlineStr">
        <is>
          <t>1061-4303</t>
        </is>
      </c>
      <c r="C115" s="3" t="inlineStr">
        <is>
          <t>1554-7531</t>
        </is>
      </c>
      <c r="D115" s="3" t="n">
        <v>2024</v>
      </c>
      <c r="E115" s="3" t="n">
        <v>2025</v>
      </c>
      <c r="F115" s="3" t="inlineStr">
        <is>
          <t>ENGINEERING, ENVIRONMENTAL</t>
        </is>
      </c>
      <c r="G115" s="3" t="inlineStr">
        <is>
          <t>Q4</t>
        </is>
      </c>
      <c r="H115" s="3" t="inlineStr">
        <is>
          <t>https://topj.lib.whu.edu.cn/show.asp?cat=zk&amp;id=4326</t>
        </is>
      </c>
      <c r="I115" s="3" t="inlineStr">
        <is>
          <t>机构JCR栏：搜索索引可核验；原页面直连未成功；非Clarivate账户导出</t>
        </is>
      </c>
    </row>
    <row r="116" ht="48" customHeight="1">
      <c r="A116" s="2" t="inlineStr">
        <is>
          <t>WATER ENVIRONMENT RESEARCH</t>
        </is>
      </c>
      <c r="B116" s="2" t="inlineStr">
        <is>
          <t>1061-4303</t>
        </is>
      </c>
      <c r="C116" s="2" t="inlineStr">
        <is>
          <t>1554-7531</t>
        </is>
      </c>
      <c r="D116" s="2" t="n">
        <v>2024</v>
      </c>
      <c r="E116" s="2" t="n">
        <v>2025</v>
      </c>
      <c r="F116" s="2" t="inlineStr">
        <is>
          <t>ENVIRONMENTAL SCIENCES</t>
        </is>
      </c>
      <c r="G116" s="2" t="inlineStr">
        <is>
          <t>Q3</t>
        </is>
      </c>
      <c r="H116" s="2" t="inlineStr">
        <is>
          <t>https://topj.lib.whu.edu.cn/show.asp?cat=zk&amp;id=4326</t>
        </is>
      </c>
      <c r="I116" s="2" t="inlineStr">
        <is>
          <t>机构JCR栏：搜索索引可核验；原页面直连未成功；非Clarivate账户导出</t>
        </is>
      </c>
    </row>
    <row r="117" ht="48" customHeight="1">
      <c r="A117" s="3" t="inlineStr">
        <is>
          <t>WATER ENVIRONMENT RESEARCH</t>
        </is>
      </c>
      <c r="B117" s="3" t="inlineStr">
        <is>
          <t>1061-4303</t>
        </is>
      </c>
      <c r="C117" s="3" t="inlineStr">
        <is>
          <t>1554-7531</t>
        </is>
      </c>
      <c r="D117" s="3" t="n">
        <v>2024</v>
      </c>
      <c r="E117" s="3" t="n">
        <v>2025</v>
      </c>
      <c r="F117" s="3" t="inlineStr">
        <is>
          <t>LIMNOLOGY</t>
        </is>
      </c>
      <c r="G117" s="3" t="inlineStr">
        <is>
          <t>Q2</t>
        </is>
      </c>
      <c r="H117" s="3" t="inlineStr">
        <is>
          <t>https://topj.lib.whu.edu.cn/show.asp?cat=zk&amp;id=4326</t>
        </is>
      </c>
      <c r="I117" s="3" t="inlineStr">
        <is>
          <t>机构JCR栏：搜索索引可核验；原页面直连未成功；非Clarivate账户导出</t>
        </is>
      </c>
    </row>
  </sheetData>
  <autoFilter ref="A1:I117"/>
  <pageMargins left="0.75" right="0.75" top="1" bottom="1" header="0.5" footer="0.5"/>
</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O666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5" customWidth="1" min="1" max="1"/>
    <ns0:col width="48" customWidth="1" min="2" max="2"/>
    <ns0:col width="15" customWidth="1" min="3" max="3"/>
    <ns0:col width="48" customWidth="1" min="4" max="4"/>
    <ns0:col width="15" customWidth="1" min="5" max="5"/>
    <ns0:col width="15" customWidth="1" min="6" max="6"/>
    <ns0:col width="48" customWidth="1" min="7" max="7"/>
    <ns0:col width="48" customWidth="1" min="8" max="8"/>
    <ns0:col width="48" customWidth="1" min="9" max="9"/>
    <ns0:col width="15" customWidth="1" min="10" max="10"/>
    <ns0:col width="15" customWidth="1" min="11" max="11"/>
    <ns0:col width="30" customWidth="1" min="12" max="12"/>
    <ns0:col width="30" customWidth="1" min="13" max="13"/>
    <ns0:col width="48" customWidth="1" min="14" max="14"/>
    <ns0:col width="48" customWidth="1" min="15" max="15"/>
  </ns0:cols>
  <ns0:sheetData>
    <ns0:row r="1" ht="34" customHeight="1">
      <ns0:c r="A1" s="1" t="inlineStr">
        <ns0:is>
          <ns0:t>文献ID</ns0:t>
        </ns0:is>
      </ns0:c>
      <ns0:c r="B1" s="1" t="inlineStr">
        <ns0:is>
          <ns0:t>题名</ns0:t>
        </ns0:is>
      </ns0:c>
      <ns0:c r="C1" s="1" t="inlineStr">
        <ns0:is>
          <ns0:t>DOI</ns0:t>
        </ns0:is>
      </ns0:c>
      <ns0:c r="D1" s="1" t="inlineStr">
        <ns0:is>
          <ns0:t>文件角色</ns0:t>
        </ns0:is>
      </ns0:c>
      <ns0:c r="E1" s="1" t="inlineStr">
        <ns0:is>
          <ns0:t>版本</ns0:t>
        </ns0:is>
      </ns0:c>
      <ns0:c r="F1" s="1" t="inlineStr">
        <ns0:is>
          <ns0:t>原文件名</ns0:t>
        </ns0:is>
      </ns0:c>
      <ns0:c r="G1" s="1" t="inlineStr">
        <ns0:is>
          <ns0:t>规范路径</ns0:t>
        </ns0:is>
      </ns0:c>
      <ns0:c r="H1" s="1" t="inlineStr">
        <ns0:is>
          <ns0:t>来源</ns0:t>
        </ns0:is>
      </ns0:c>
      <ns0:c r="I1" s="1" t="inlineStr">
        <ns0:is>
          <ns0:t>旧路径</ns0:t>
        </ns0:is>
      </ns0:c>
      <ns0:c r="J1" s="1" t="inlineStr">
        <ns0:is>
          <ns0:t>大小字节</ns0:t>
        </ns0:is>
      </ns0:c>
      <ns0:c r="K1" s="1" t="inlineStr">
        <ns0:is>
          <ns0:t>SHA256</ns0:t>
        </ns0:is>
      </ns0:c>
      <ns0:c r="L1" s="1" t="inlineStr">
        <ns0:is>
          <ns0:t>核验状态</ns0:t>
        </ns0:is>
      </ns0:c>
      <ns0:c r="M1" s="1" t="inlineStr">
        <ns0:is>
          <ns0:t>附件关联状态</ns0:t>
        </ns0:is>
      </ns0:c>
      <ns0:c r="N1" s="1" t="inlineStr">
        <ns0:is>
          <ns0:t>核验备注</ns0:t>
        </ns0:is>
      </ns0:c>
      <ns0:c r="O1" s="1" t="inlineStr">
        <ns0:is>
          <ns0:t>GitHub保存位置</ns0:t>
        </ns0:is>
      </ns0:c>
    </ns0:row>
    <ns0:row r="2" ht="48" customHeight="1">
      <ns0:c r="A2" s="2" t="inlineStr">
        <ns0:is>
          <ns0:t>R13558</ns0:t>
        </ns0:is>
      </ns0:c>
      <ns0:c r="B2" s="2" t="inlineStr">
        <ns0:is>
          <ns0:t>Redox mediators and microaeration: overcoming linear alkylbenzene sulfonate recalcitrance in anaerobic reactors</ns0:t>
        </ns0:is>
      </ns0:c>
      <ns0:c r="C2" s="2" t="inlineStr">
        <ns0:is>
          <ns0:t>10.1590/s1413-4152031s110</ns0:t>
        </ns0:is>
      </ns0:c>
      <ns0:c r="D2" s="2" t="inlineStr">
        <ns0:is>
          <ns0:t>fulltext</ns0:t>
        </ns0:is>
      </ns0:c>
      <ns0:c r="E2" s="2" t="inlineStr">
        <ns0:is>
          <ns0:t>出版版本（原页出版信息）</ns0:t>
        </ns0:is>
      </ns0:c>
      <ns0:c r="F2" s="2" t="inlineStr">
        <ns0:is>
          <ns0:t>R13558_2026_Redox_mediators_and_microaeration_overcoming_linear_alkylbenzene_sulfonate_recalcitrance.pdf</ns0:t>
        </ns0:is>
      </ns0:c>
      <ns0:c r="G2" s="2" t="inlineStr">
        <ns0:is>
          <ns0:t>original_files/R13558/fulltext/fulltext__published__0006612a5b75c131.pdf</ns0:t>
        </ns0:is>
      </ns0:c>
      <ns0:c r="H2" s="2" t="inlineStr">
        <ns0:is>
          <ns0:t>cloud_existing</ns0:t>
        </ns0:is>
      </ns0:c>
      <ns0:c r="I2" s="2" t="inlineStr">
        <ns0:is>
          <ns0:t>original_files/fulltext/R13558_2026_Redox_mediators_and_microaeration_overcoming_linear_alkylbenzene_sulfonate_recalcitrance.pdf</ns0:t>
        </ns0:is>
      </ns0:c>
      <ns0:c r="J2" s="2" t="n">
        <ns0:v>974385</ns0:v>
      </ns0:c>
      <ns0:c r="K2" s="2" t="inlineStr">
        <ns0:is>
          <ns0:t>0006612a5b75c131170aa335c1e8d9810b41dca937beefac6ea258e1920944ec</ns0:t>
        </ns0:is>
      </ns0:c>
      <ns0:c r="L2" s="2" t="inlineStr">
        <ns0:is>
          <ns0:t>identity_and_body_structure_verified</ns0:t>
        </ns0:is>
      </ns0:c>
      <ns0:c r="M2" s="2" t="inlineStr"/>
      <ns0:c r="N2" s="2" t="inlineStr">
        <ns0:is>
          <ns0:t>首页/前两页题名作者或目标DOI核对，全部页面解析及正文结构检查；不据文件名判全文。</ns0:t>
        </ns0:is>
      </ns0:c>
      <ns0:c r="O2" s="2" t="inlineStr">
        <ns0:is>
          <ns0:t>https://github.com/Colliam-Vermilion/FirstCodex/blob/results/ad-oxygen-literature-20261006/results/ad-oxygen-literature-20261006/original_files/R13558/fulltext/fulltext__published__0006612a5b75c131.pdf</ns0:t>
        </ns0:is>
      </ns0:c>
    </ns0:row>
    <ns0:row r="3" ht="48" customHeight="1">
      <ns0:c r="A3" s="3" t="inlineStr">
        <ns0:is>
          <ns0:t>R06623</ns0:t>
        </ns0:is>
      </ns0:c>
      <ns0:c r="B3" s="3" t="inlineStr">
        <ns0:is>
          <ns0:t>Effects of different microbial pretreatments on the anaerobic digestion of giant grass under anaerobic and microaerobic conditions</ns0:t>
        </ns0:is>
      </ns0:c>
      <ns0:c r="C3" s="3" t="inlineStr">
        <ns0:is>
          <ns0:t>10.1016/j.biortech.2021.125456</ns0:t>
        </ns0:is>
      </ns0:c>
      <ns0:c r="D3" s="3" t="inlineStr">
        <ns0:is>
          <ns0:t>supplementary</ns0:t>
        </ns0:is>
      </ns0:c>
      <ns0:c r="E3" s="3" t="inlineStr"/>
      <ns0:c r="F3" s="3" t="inlineStr">
        <ns0:is>
          <ns0:t>supplementary.docx</ns0:t>
        </ns0:is>
      </ns0:c>
      <ns0:c r="G3" s="3" t="inlineStr">
        <ns0:is>
          <ns0:t>original_files/R06623/supplementary/supplementary__0026b62bc0e14fd9.docx</ns0:t>
        </ns0:is>
      </ns0:c>
      <ns0:c r="H3" s="3" t="inlineStr">
        <ns0:is>
          <ns0:t>local_upload</ns0:t>
        </ns0:is>
      </ns0:c>
      <ns0:c r="I3" s="3" t="inlineStr">
        <ns0:is>
          <ns0:t>localdownload/R06623/supplementary.docx</ns0:t>
        </ns0:is>
      </ns0:c>
      <ns0:c r="J3" s="3" t="n">
        <ns0:v>937041</ns0:v>
      </ns0:c>
      <ns0:c r="K3" s="3" t="inlineStr">
        <ns0:is>
          <ns0:t>0026b62bc0e14fd9336b8a19fa3c8167249d4febddfc362cd10ffa2ae4350380</ns0:t>
        </ns0:is>
      </ns0:c>
      <ns0:c r="L3" s="3" t="inlineStr">
        <ns0:is>
          <ns0:t>container_crc_verified</ns0:t>
        </ns0:is>
      </ns0:c>
      <ns0:c r="M3" s="3" t="inlineStr">
        <ns0:is>
          <ns0:t>directory_and_content_consistent_identity_pending</ns0:t>
        </ns0:is>
      </ns0:c>
      <ns0:c r="N3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" s="3" t="inlineStr">
        <ns0:is>
          <ns0:t>https://github.com/Colliam-Vermilion/FirstCodex/blob/results/ad-oxygen-literature-20261006/results/ad-oxygen-literature-20261006/original_files/R06623/supplementary/supplementary__0026b62bc0e14fd9.docx</ns0:t>
        </ns0:is>
      </ns0:c>
    </ns0:row>
    <ns0:row r="4" ht="48" customHeight="1">
      <ns0:c r="A4" s="2" t="inlineStr">
        <ns0:is>
          <ns0:t>R13908</ns0:t>
        </ns0:is>
      </ns0:c>
      <ns0:c r="B4" s="2" t="inlineStr">
        <ns0:is>
          <ns0:t>Release of non-methane organic compounds during simulated landfilling of aerobically pretreated municipal solid waste</ns0:t>
        </ns0:is>
      </ns0:c>
      <ns0:c r="C4" s="2" t="inlineStr">
        <ns0:is>
          <ns0:t>10.1016/j.jenvman.2011.10.018</ns0:t>
        </ns0:is>
      </ns0:c>
      <ns0:c r="D4" s="2" t="inlineStr">
        <ns0:is>
          <ns0:t>fulltext</ns0:t>
        </ns0:is>
      </ns0:c>
      <ns0:c r="E4" s="2" t="inlineStr">
        <ns0:is>
          <ns0:t>出版版（版式及版权文字）</ns0:t>
        </ns0:is>
      </ns0:c>
      <ns0:c r="F4" s="2" t="inlineStr">
        <ns0:is>
          <ns0:t>fulltext.pdf</ns0:t>
        </ns0:is>
      </ns0:c>
      <ns0:c r="G4" s="2" t="inlineStr">
        <ns0:is>
          <ns0:t>original_files/R13908/fulltext/fulltext__published__0103a7ae6472da6d.pdf</ns0:t>
        </ns0:is>
      </ns0:c>
      <ns0:c r="H4" s="2" t="inlineStr">
        <ns0:is>
          <ns0:t>local_upload</ns0:t>
        </ns0:is>
      </ns0:c>
      <ns0:c r="I4" s="2" t="inlineStr">
        <ns0:is>
          <ns0:t>localdownload/R13908/fulltext.pdf</ns0:t>
        </ns0:is>
      </ns0:c>
      <ns0:c r="J4" s="2" t="n">
        <ns0:v>277111</ns0:v>
      </ns0:c>
      <ns0:c r="K4" s="2" t="inlineStr">
        <ns0:is>
          <ns0:t>0103a7ae6472da6da3c07bb0d126d3876e569fbd99fbf044b28aa813a08ab10f</ns0:t>
        </ns0:is>
      </ns0:c>
      <ns0:c r="L4" s="2" t="inlineStr">
        <ns0:is>
          <ns0:t>identity_and_body_structure_verified</ns0:t>
        </ns0:is>
      </ns0:c>
      <ns0:c r="M4" s="2" t="inlineStr"/>
      <ns0:c r="N4" s="2" t="inlineStr">
        <ns0:is>
          <ns0:t>首页/前两页题名作者或目标DOI核对，全部页面解析及正文结构检查；不据文件名判全文。</ns0:t>
        </ns0:is>
      </ns0:c>
      <ns0:c r="O4" s="2" t="inlineStr">
        <ns0:is>
          <ns0:t>https://github.com/Colliam-Vermilion/FirstCodex/blob/results/ad-oxygen-literature-20261006/results/ad-oxygen-literature-20261006/original_files/R13908/fulltext/fulltext__published__0103a7ae6472da6d.pdf</ns0:t>
        </ns0:is>
      </ns0:c>
    </ns0:row>
    <ns0:row r="5" ht="48" customHeight="1">
      <ns0:c r="A5" s="3" t="inlineStr">
        <ns0:is>
          <ns0:t>R13947</ns0:t>
        </ns0:is>
      </ns0:c>
      <ns0:c r="B5" s="3" t="inlineStr">
        <ns0:is>
          <ns0:t>Microaerobic removal of hydrogen sulphide from biogas</ns0:t>
        </ns0:is>
      </ns0:c>
      <ns0:c r="C5" s="3" t="inlineStr">
        <ns0:is>
          <ns0:t>10.35376/10324/4850</ns0:t>
        </ns0:is>
      </ns0:c>
      <ns0:c r="D5" s="3" t="inlineStr">
        <ns0:is>
          <ns0:t>uncertain</ns0:t>
        </ns0:is>
      </ns0:c>
      <ns0:c r="E5" s="3" t="inlineStr">
        <ns0:is>
          <ns0:t>版本待核实</ns0:t>
        </ns0:is>
      </ns0:c>
      <ns0:c r="F5" s="3" t="inlineStr">
        <ns0:is>
          <ns0:t>fulltext.pdf</ns0:t>
        </ns0:is>
      </ns0:c>
      <ns0:c r="G5" s="3" t="inlineStr">
        <ns0:is>
          <ns0:t>original_files/R13947/uncertain/uncertain__0106b055c0ada5d1.pdf</ns0:t>
        </ns0:is>
      </ns0:c>
      <ns0:c r="H5" s="3" t="inlineStr">
        <ns0:is>
          <ns0:t>local_upload</ns0:t>
        </ns0:is>
      </ns0:c>
      <ns0:c r="I5" s="3" t="inlineStr">
        <ns0:is>
          <ns0:t>localdownload/R13947/fulltext.pdf</ns0:t>
        </ns0:is>
      </ns0:c>
      <ns0:c r="J5" s="3" t="n">
        <ns0:v>484624</ns0:v>
      </ns0:c>
      <ns0:c r="K5" s="3" t="inlineStr">
        <ns0:is>
          <ns0:t>0106b055c0ada5d14368d3b1509e5e707c508a22f644dcb0c8195ef02b3eba8b</ns0:t>
        </ns0:is>
      </ns0:c>
      <ns0:c r="L5" s="3" t="inlineStr">
        <ns0:is>
          <ns0:t>identity_conflict_not_target_fulltext</ns0:t>
        </ns0:is>
      </ns0:c>
      <ns0:c r="M5" s="3" t="inlineStr"/>
      <ns0:c r="N5" s="3" t="inlineStr">
        <ns0:is>
          <ns0:t>上传3页University of Maryland Extension推广资料草稿，不是Iris Ramos Castaño目标学位论文</ns0:t>
        </ns0:is>
      </ns0:c>
      <ns0:c r="O5" s="3" t="inlineStr">
        <ns0:is>
          <ns0:t>https://github.com/Colliam-Vermilion/FirstCodex/blob/results/ad-oxygen-literature-20261006/results/ad-oxygen-literature-20261006/original_files/R13947/uncertain/uncertain__0106b055c0ada5d1.pdf</ns0:t>
        </ns0:is>
      </ns0:c>
    </ns0:row>
    <ns0:row r="6" ht="48" customHeight="1">
      <ns0:c r="A6" s="2" t="inlineStr">
        <ns0:is>
          <ns0:t>R13840</ns0:t>
        </ns0:is>
      </ns0:c>
      <ns0:c r="B6" s="2" t="inlineStr">
        <ns0:is>
          <ns0:t>Coupling of membrane-based bubbleless micro-aeration for 2,4-dinitrophenol degradation in a hydrolysis acidification reactor.</ns0:t>
        </ns0:is>
      </ns0:c>
      <ns0:c r="C6" s="2" t="inlineStr">
        <ns0:is>
          <ns0:t>10.1016/j.watres.2022.118119</ns0:t>
        </ns0:is>
      </ns0:c>
      <ns0:c r="D6" s="2" t="inlineStr">
        <ns0:is>
          <ns0:t>fulltext</ns0:t>
        </ns0:is>
      </ns0:c>
      <ns0:c r="E6" s="2" t="inlineStr">
        <ns0:is>
          <ns0:t>出版版（版式及版权文字）</ns0:t>
        </ns0:is>
      </ns0:c>
      <ns0:c r="F6" s="2" t="inlineStr">
        <ns0:is>
          <ns0:t>fulltext.pdf</ns0:t>
        </ns0:is>
      </ns0:c>
      <ns0:c r="G6" s="2" t="inlineStr">
        <ns0:is>
          <ns0:t>original_files/R13840/fulltext/fulltext__published__0111eb19c653b66d.pdf</ns0:t>
        </ns0:is>
      </ns0:c>
      <ns0:c r="H6" s="2" t="inlineStr">
        <ns0:is>
          <ns0:t>local_upload</ns0:t>
        </ns0:is>
      </ns0:c>
      <ns0:c r="I6" s="2" t="inlineStr">
        <ns0:is>
          <ns0:t>localdownload/R13840/fulltext.pdf</ns0:t>
        </ns0:is>
      </ns0:c>
      <ns0:c r="J6" s="2" t="n">
        <ns0:v>7993790</ns0:v>
      </ns0:c>
      <ns0:c r="K6" s="2" t="inlineStr">
        <ns0:is>
          <ns0:t>0111eb19c653b66d24b7a22911d7267b61ea0ca70535e4eec074b55d4d1f0ffd</ns0:t>
        </ns0:is>
      </ns0:c>
      <ns0:c r="L6" s="2" t="inlineStr">
        <ns0:is>
          <ns0:t>identity_and_body_structure_verified</ns0:t>
        </ns0:is>
      </ns0:c>
      <ns0:c r="M6" s="2" t="inlineStr"/>
      <ns0:c r="N6" s="2" t="inlineStr">
        <ns0:is>
          <ns0:t>首页/前两页题名作者或目标DOI核对，全部页面解析及正文结构检查；不据文件名判全文。</ns0:t>
        </ns0:is>
      </ns0:c>
      <ns0:c r="O6" s="2" t="inlineStr">
        <ns0:is>
          <ns0:t>https://github.com/Colliam-Vermilion/FirstCodex/blob/results/ad-oxygen-literature-20261006/results/ad-oxygen-literature-20261006/original_files/R13840/fulltext/fulltext__published__0111eb19c653b66d.pdf</ns0:t>
        </ns0:is>
      </ns0:c>
    </ns0:row>
    <ns0:row r="7" ht="48" customHeight="1">
      <ns0:c r="A7" s="3" t="inlineStr">
        <ns0:is>
          <ns0:t>R13891</ns0:t>
        </ns0:is>
      </ns0:c>
      <ns0:c r="B7" s="3" t="inlineStr">
        <ns0:is>
          <ns0:t>Enhancement of high-solid chicken manure anaerobic digestion: Insights into ammonia air stripping pretreatment for microbial resilience and hydraulic retention stabilization</ns0:t>
        </ns0:is>
      </ns0:c>
      <ns0:c r="C7" s="3" t="inlineStr">
        <ns0:is>
          <ns0:t>10.1016/j.biombioe.2025.108098</ns0:t>
        </ns0:is>
      </ns0:c>
      <ns0:c r="D7" s="3" t="inlineStr">
        <ns0:is>
          <ns0:t>fulltext</ns0:t>
        </ns0:is>
      </ns0:c>
      <ns0:c r="E7" s="3" t="inlineStr">
        <ns0:is>
          <ns0:t>出版版（版式及版权文字）</ns0:t>
        </ns0:is>
      </ns0:c>
      <ns0:c r="F7" s="3" t="inlineStr">
        <ns0:is>
          <ns0:t>fulltext.pdf</ns0:t>
        </ns0:is>
      </ns0:c>
      <ns0:c r="G7" s="3" t="inlineStr">
        <ns0:is>
          <ns0:t>original_files/R13891/fulltext/fulltext__published__013fa70d540059aa.pdf</ns0:t>
        </ns0:is>
      </ns0:c>
      <ns0:c r="H7" s="3" t="inlineStr">
        <ns0:is>
          <ns0:t>local_upload</ns0:t>
        </ns0:is>
      </ns0:c>
      <ns0:c r="I7" s="3" t="inlineStr">
        <ns0:is>
          <ns0:t>localdownload/R13891/fulltext.pdf</ns0:t>
        </ns0:is>
      </ns0:c>
      <ns0:c r="J7" s="3" t="n">
        <ns0:v>4830721</ns0:v>
      </ns0:c>
      <ns0:c r="K7" s="3" t="inlineStr">
        <ns0:is>
          <ns0:t>013fa70d540059aa459167bed61299ccddc25e0d65a872ee707f3945dcb97f84</ns0:t>
        </ns0:is>
      </ns0:c>
      <ns0:c r="L7" s="3" t="inlineStr">
        <ns0:is>
          <ns0:t>identity_and_body_structure_verified</ns0:t>
        </ns0:is>
      </ns0:c>
      <ns0:c r="M7" s="3" t="inlineStr"/>
      <ns0:c r="N7" s="3" t="inlineStr">
        <ns0:is>
          <ns0:t>首页/前两页题名作者或目标DOI核对，全部页面解析及正文结构检查；不据文件名判全文。</ns0:t>
        </ns0:is>
      </ns0:c>
      <ns0:c r="O7" s="3" t="inlineStr">
        <ns0:is>
          <ns0:t>https://github.com/Colliam-Vermilion/FirstCodex/blob/results/ad-oxygen-literature-20261006/results/ad-oxygen-literature-20261006/original_files/R13891/fulltext/fulltext__published__013fa70d540059aa.pdf</ns0:t>
        </ns0:is>
      </ns0:c>
    </ns0:row>
    <ns0:row r="8" ht="48" customHeight="1">
      <ns0:c r="A8" s="2" t="inlineStr">
        <ns0:is>
          <ns0:t>R13283</ns0:t>
        </ns0:is>
      </ns0:c>
      <ns0:c r="B8" s="2" t="inlineStr">
        <ns0:is>
          <ns0:t>Microaeration of Upflow Anaerobic Sludge Blanket reactor using desorption chamber gas: methane recovery and H2S removal</ns0:t>
        </ns0:is>
      </ns0:c>
      <ns0:c r="C8" s="2" t="inlineStr">
        <ns0:is>
          <ns0:t>10.1590/s1413-4152031s104</ns0:t>
        </ns0:is>
      </ns0:c>
      <ns0:c r="D8" s="2" t="inlineStr">
        <ns0:is>
          <ns0:t>source_evidence</ns0:t>
        </ns0:is>
      </ns0:c>
      <ns0:c r="E8" s="2" t="inlineStr"/>
      <ns0:c r="F8" s="2" t="inlineStr">
        <ns0:is>
          <ns0:t>publisher_article_page_20261017.html</ns0:t>
        </ns0:is>
      </ns0:c>
      <ns0:c r="G8" s="2" t="inlineStr">
        <ns0:is>
          <ns0:t>original_files/R13283/evidence/source_evidence__016e8ba1f98d4baa.html</ns0:t>
        </ns0:is>
      </ns0:c>
      <ns0:c r="H8" s="2" t="inlineStr">
        <ns0:is>
          <ns0:t>cloud_existing</ns0:t>
        </ns0:is>
      </ns0:c>
      <ns0:c r="I8" s="2" t="inlineStr">
        <ns0:is>
          <ns0:t>original_files/source_evidence/R13283/publisher_article_page_20261017.html</ns0:t>
        </ns0:is>
      </ns0:c>
      <ns0:c r="J8" s="2" t="n">
        <ns0:v>179265</ns0:v>
      </ns0:c>
      <ns0:c r="K8" s="2" t="inlineStr">
        <ns0:is>
          <ns0:t>016e8ba1f98d4baa101bf29939c6d3124bc9922ee20407010225548d6528b0b5</ns0:t>
        </ns0:is>
      </ns0:c>
      <ns0:c r="L8" s="2" t="inlineStr">
        <ns0:is>
          <ns0:t>text_readable</ns0:t>
        </ns0:is>
      </ns0:c>
      <ns0:c r="M8" s="2" t="inlineStr"/>
      <ns0:c r="N8" s="2" t="inlineStr"/>
      <ns0:c r="O8" s="2" t="inlineStr">
        <ns0:is>
          <ns0:t>https://github.com/Colliam-Vermilion/FirstCodex/blob/results/ad-oxygen-literature-20261006/results/ad-oxygen-literature-20261006/original_files/R13283/evidence/source_evidence__016e8ba1f98d4baa.html</ns0:t>
        </ns0:is>
      </ns0:c>
    </ns0:row>
    <ns0:row r="9" ht="48" customHeight="1">
      <ns0:c r="A9" s="3" t="inlineStr">
        <ns0:is>
          <ns0:t>R11104</ns0:t>
        </ns0:is>
      </ns0:c>
      <ns0:c r="B9" s="3" t="inlineStr">
        <ns0:is>
          <ns0:t>Alleviation of propionic acid inhibition and enhancement of methane production in anaerobic digestion by micronano-bubble water supplementation</ns0:t>
        </ns0:is>
      </ns0:c>
      <ns0:c r="C9" s="3" t="inlineStr">
        <ns0:is>
          <ns0:t>10.1016/j.biortech.2025.132425</ns0:t>
        </ns0:is>
      </ns0:c>
      <ns0:c r="D9" s="3" t="inlineStr">
        <ns0:is>
          <ns0:t>fulltext</ns0:t>
        </ns0:is>
      </ns0:c>
      <ns0:c r="E9" s="3" t="inlineStr">
        <ns0:is>
          <ns0:t>出版版（版式及版权文字）</ns0:t>
        </ns0:is>
      </ns0:c>
      <ns0:c r="F9" s="3" t="inlineStr">
        <ns0:is>
          <ns0:t>fulltext.pdf</ns0:t>
        </ns0:is>
      </ns0:c>
      <ns0:c r="G9" s="3" t="inlineStr">
        <ns0:is>
          <ns0:t>original_files/R11104/fulltext/fulltext__published__017fd6b517b69e35.pdf</ns0:t>
        </ns0:is>
      </ns0:c>
      <ns0:c r="H9" s="3" t="inlineStr">
        <ns0:is>
          <ns0:t>local_upload</ns0:t>
        </ns0:is>
      </ns0:c>
      <ns0:c r="I9" s="3" t="inlineStr">
        <ns0:is>
          <ns0:t>localdownload/R11104/fulltext.pdf</ns0:t>
        </ns0:is>
      </ns0:c>
      <ns0:c r="J9" s="3" t="n">
        <ns0:v>1492839</ns0:v>
      </ns0:c>
      <ns0:c r="K9" s="3" t="inlineStr">
        <ns0:is>
          <ns0:t>017fd6b517b69e35f85a1c8c12cb0c8f66857e21d71e96b92bb398ee8d6e319e</ns0:t>
        </ns0:is>
      </ns0:c>
      <ns0:c r="L9" s="3" t="inlineStr">
        <ns0:is>
          <ns0:t>identity_and_body_structure_verified</ns0:t>
        </ns0:is>
      </ns0:c>
      <ns0:c r="M9" s="3" t="inlineStr"/>
      <ns0:c r="N9" s="3" t="inlineStr">
        <ns0:is>
          <ns0:t>首页/前两页题名作者或目标DOI核对，全部页面解析及正文结构检查；不据文件名判全文。</ns0:t>
        </ns0:is>
      </ns0:c>
      <ns0:c r="O9" s="3" t="inlineStr">
        <ns0:is>
          <ns0:t>https://github.com/Colliam-Vermilion/FirstCodex/blob/results/ad-oxygen-literature-20261006/results/ad-oxygen-literature-20261006/original_files/R11104/fulltext/fulltext__published__017fd6b517b69e35.pdf</ns0:t>
        </ns0:is>
      </ns0:c>
    </ns0:row>
    <ns0:row r="10" ht="48" customHeight="1">
      <ns0:c r="A10" s="2" t="inlineStr">
        <ns0:is>
          <ns0:t>R01362</ns0:t>
        </ns0:is>
      </ns0:c>
      <ns0:c r="B10" s="2" t="inlineStr">
        <ns0:is>
          <ns0:t>Microbial community structure reveals how microaeration improves fermentation during anaerobic co-digestion of brown water and food waste</ns0:t>
        </ns0:is>
      </ns0:c>
      <ns0:c r="C10" s="2" t="inlineStr">
        <ns0:is>
          <ns0:t>10.1016/j.biortech.2014.08.050</ns0:t>
        </ns0:is>
      </ns0:c>
      <ns0:c r="D10" s="2" t="inlineStr">
        <ns0:is>
          <ns0:t>fulltext</ns0:t>
        </ns0:is>
      </ns0:c>
      <ns0:c r="E10" s="2" t="inlineStr">
        <ns0:is>
          <ns0:t>出版版（版式及版权文字）</ns0:t>
        </ns0:is>
      </ns0:c>
      <ns0:c r="F10" s="2" t="inlineStr">
        <ns0:is>
          <ns0:t>fulltext.pdf</ns0:t>
        </ns0:is>
      </ns0:c>
      <ns0:c r="G10" s="2" t="inlineStr">
        <ns0:is>
          <ns0:t>original_files/R01362/fulltext/fulltext__published__01950ce99dba212c.pdf</ns0:t>
        </ns0:is>
      </ns0:c>
      <ns0:c r="H10" s="2" t="inlineStr">
        <ns0:is>
          <ns0:t>local_upload</ns0:t>
        </ns0:is>
      </ns0:c>
      <ns0:c r="I10" s="2" t="inlineStr">
        <ns0:is>
          <ns0:t>localdownload/R01362/fulltext.pdf</ns0:t>
        </ns0:is>
      </ns0:c>
      <ns0:c r="J10" s="2" t="n">
        <ns0:v>731857</ns0:v>
      </ns0:c>
      <ns0:c r="K10" s="2" t="inlineStr">
        <ns0:is>
          <ns0:t>01950ce99dba212c6924e9f4f31ef6db8082a5154717386014a40821ef0e1b6b</ns0:t>
        </ns0:is>
      </ns0:c>
      <ns0:c r="L10" s="2" t="inlineStr">
        <ns0:is>
          <ns0:t>identity_and_body_structure_verified</ns0:t>
        </ns0:is>
      </ns0:c>
      <ns0:c r="M10" s="2" t="inlineStr"/>
      <ns0:c r="N10" s="2" t="inlineStr">
        <ns0:is>
          <ns0:t>首页/前两页题名作者或目标DOI核对，全部页面解析及正文结构检查；不据文件名判全文。</ns0:t>
        </ns0:is>
      </ns0:c>
      <ns0:c r="O10" s="2" t="inlineStr">
        <ns0:is>
          <ns0:t>https://github.com/Colliam-Vermilion/FirstCodex/blob/results/ad-oxygen-literature-20261006/results/ad-oxygen-literature-20261006/original_files/R01362/fulltext/fulltext__published__01950ce99dba212c.pdf</ns0:t>
        </ns0:is>
      </ns0:c>
    </ns0:row>
    <ns0:row r="11" ht="48" customHeight="1">
      <ns0:c r="A11" s="3" t="inlineStr">
        <ns0:is>
          <ns0:t>R03400</ns0:t>
        </ns0:is>
      </ns0:c>
      <ns0:c r="B11" s="3" t="inlineStr">
        <ns0:is>
          <ns0:t>Model-based optimization of microaeration for biogas desulfurization in UASB reactors</ns0:t>
        </ns0:is>
      </ns0:c>
      <ns0:c r="C11" s="3" t="inlineStr">
        <ns0:is>
          <ns0:t>10.1016/j.bej.2017.06.009</ns0:t>
        </ns0:is>
      </ns0:c>
      <ns0:c r="D11" s="3" t="inlineStr">
        <ns0:is>
          <ns0:t>supplementary</ns0:t>
        </ns0:is>
      </ns0:c>
      <ns0:c r="E11" s="3" t="inlineStr"/>
      <ns0:c r="F11" s="3" t="inlineStr">
        <ns0:is>
          <ns0:t>supplementary.docx</ns0:t>
        </ns0:is>
      </ns0:c>
      <ns0:c r="G11" s="3" t="inlineStr">
        <ns0:is>
          <ns0:t>original_files/R03400/supplementary/supplementary__01a0c3f189551435.docx</ns0:t>
        </ns0:is>
      </ns0:c>
      <ns0:c r="H11" t="inlineStr">
        <ns0:is>
          <ns0:t>local_upload; main@ab8353c误传副本</ns0:t>
        </ns0:is>
      </ns0:c>
      <ns0:c r="I11" t="inlineStr">
        <ns0:is>
          <ns0:t>localdownload/R03400/supplementary.docx; main@ab8353c:R03400/supplementary.docx</ns0:t>
        </ns0:is>
      </ns0:c>
      <ns0:c r="J11" s="3" t="n">
        <ns0:v>1280114</ns0:v>
      </ns0:c>
      <ns0:c r="K11" s="3" t="inlineStr">
        <ns0:is>
          <ns0:t>01a0c3f1895514354073ac76fd5eba93eb36e465a996317f8fb16b0f985f2639</ns0:t>
        </ns0:is>
      </ns0:c>
      <ns0:c r="L11" s="3" t="inlineStr">
        <ns0:is>
          <ns0:t>container_crc_verified</ns0:t>
        </ns0:is>
      </ns0:c>
      <ns0:c r="M11" s="3" t="inlineStr">
        <ns0:is>
          <ns0:t>directory_and_content_consistent_identity_pending</ns0:t>
        </ns0:is>
      </ns0:c>
      <ns0:c r="N11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11" s="3" t="inlineStr">
        <ns0:is>
          <ns0:t>https://github.com/Colliam-Vermilion/FirstCodex/blob/results/ad-oxygen-literature-20261006/results/ad-oxygen-literature-20261006/original_files/R03400/supplementary/supplementary__01a0c3f189551435.docx</ns0:t>
        </ns0:is>
      </ns0:c>
    </ns0:row>
    <ns0:row r="12" ht="48" customHeight="1">
      <ns0:c r="A12" s="2" t="inlineStr">
        <ns0:is>
          <ns0:t>R10525</ns0:t>
        </ns0:is>
      </ns0:c>
      <ns0:c r="B12" s="2" t="inlineStr">
        <ns0:is>
          <ns0:t>Microbial community dynamics and volatile fatty acid production during anaerobic digestion of microaerated food waste under different organic loadings</ns0:t>
        </ns0:is>
      </ns0:c>
      <ns0:c r="C12" s="2" t="inlineStr">
        <ns0:is>
          <ns0:t>10.1016/j.biteb.2024.101949</ns0:t>
        </ns0:is>
      </ns0:c>
      <ns0:c r="D12" s="2" t="inlineStr">
        <ns0:is>
          <ns0:t>fulltext</ns0:t>
        </ns0:is>
      </ns0:c>
      <ns0:c r="E12" s="2" t="inlineStr">
        <ns0:is>
          <ns0:t>出版版（版式及版权文字）</ns0:t>
        </ns0:is>
      </ns0:c>
      <ns0:c r="F12" s="2" t="inlineStr">
        <ns0:is>
          <ns0:t>fulltext.pdf</ns0:t>
        </ns0:is>
      </ns0:c>
      <ns0:c r="G12" s="2" t="inlineStr">
        <ns0:is>
          <ns0:t>original_files/R10525/fulltext/fulltext__published__0249dd7b9749f3ef.pdf</ns0:t>
        </ns0:is>
      </ns0:c>
      <ns0:c r="H12" s="2" t="inlineStr">
        <ns0:is>
          <ns0:t>local_upload</ns0:t>
        </ns0:is>
      </ns0:c>
      <ns0:c r="I12" s="2" t="inlineStr">
        <ns0:is>
          <ns0:t>localdownload/R10525/fulltext.pdf</ns0:t>
        </ns0:is>
      </ns0:c>
      <ns0:c r="J12" s="2" t="n">
        <ns0:v>7420599</ns0:v>
      </ns0:c>
      <ns0:c r="K12" s="2" t="inlineStr">
        <ns0:is>
          <ns0:t>0249dd7b9749f3ef9e84095c330874f9e01da42cf4efe343942c73b10629476e</ns0:t>
        </ns0:is>
      </ns0:c>
      <ns0:c r="L12" s="2" t="inlineStr">
        <ns0:is>
          <ns0:t>identity_and_body_structure_verified</ns0:t>
        </ns0:is>
      </ns0:c>
      <ns0:c r="M12" s="2" t="inlineStr"/>
      <ns0:c r="N12" s="2" t="inlineStr">
        <ns0:is>
          <ns0:t>首页/前两页题名作者或目标DOI核对，全部页面解析及正文结构检查；不据文件名判全文。</ns0:t>
        </ns0:is>
      </ns0:c>
      <ns0:c r="O12" s="2" t="inlineStr">
        <ns0:is>
          <ns0:t>https://github.com/Colliam-Vermilion/FirstCodex/blob/results/ad-oxygen-literature-20261006/results/ad-oxygen-literature-20261006/original_files/R10525/fulltext/fulltext__published__0249dd7b9749f3ef.pdf</ns0:t>
        </ns0:is>
      </ns0:c>
    </ns0:row>
    <ns0:row r="13" ht="48" customHeight="1">
      <ns0:c r="A13" s="3" t="inlineStr">
        <ns0:is>
          <ns0:t>R13915</ns0:t>
        </ns0:is>
      </ns0:c>
      <ns0:c r="B13" s="3" t="inlineStr">
        <ns0:is>
          <ns0:t>Upflow anaerobic-microaerobic fixed biofilm reactor integrating methanogenesis with partial nitrification</ns0:t>
        </ns0:is>
      </ns0:c>
      <ns0:c r="C13" s="3" t="inlineStr">
        <ns0:is>
          <ns0:t>10.1016/j.cej.2018.05.013</ns0:t>
        </ns0:is>
      </ns0:c>
      <ns0:c r="D13" s="3" t="inlineStr">
        <ns0:is>
          <ns0:t>fulltext</ns0:t>
        </ns0:is>
      </ns0:c>
      <ns0:c r="E13" s="3" t="inlineStr">
        <ns0:is>
          <ns0:t>出版版（版式及版权文字）</ns0:t>
        </ns0:is>
      </ns0:c>
      <ns0:c r="F13" s="3" t="inlineStr">
        <ns0:is>
          <ns0:t>fulltext.pdf</ns0:t>
        </ns0:is>
      </ns0:c>
      <ns0:c r="G13" s="3" t="inlineStr">
        <ns0:is>
          <ns0:t>original_files/R13915/fulltext/fulltext__published__025b7c8c4e6c5480.pdf</ns0:t>
        </ns0:is>
      </ns0:c>
      <ns0:c r="H13" s="3" t="inlineStr">
        <ns0:is>
          <ns0:t>local_upload</ns0:t>
        </ns0:is>
      </ns0:c>
      <ns0:c r="I13" s="3" t="inlineStr">
        <ns0:is>
          <ns0:t>localdownload/R13915/fulltext.pdf</ns0:t>
        </ns0:is>
      </ns0:c>
      <ns0:c r="J13" s="3" t="n">
        <ns0:v>2121281</ns0:v>
      </ns0:c>
      <ns0:c r="K13" s="3" t="inlineStr">
        <ns0:is>
          <ns0:t>025b7c8c4e6c54802090fc4501070d0b3c333096504fc4d96e96e267b6455fd6</ns0:t>
        </ns0:is>
      </ns0:c>
      <ns0:c r="L13" s="3" t="inlineStr">
        <ns0:is>
          <ns0:t>identity_and_body_structure_verified</ns0:t>
        </ns0:is>
      </ns0:c>
      <ns0:c r="M13" s="3" t="inlineStr"/>
      <ns0:c r="N13" s="3" t="inlineStr">
        <ns0:is>
          <ns0:t>首页/前两页题名作者或目标DOI核对，全部页面解析及正文结构检查；不据文件名判全文。</ns0:t>
        </ns0:is>
      </ns0:c>
      <ns0:c r="O13" s="3" t="inlineStr">
        <ns0:is>
          <ns0:t>https://github.com/Colliam-Vermilion/FirstCodex/blob/results/ad-oxygen-literature-20261006/results/ad-oxygen-literature-20261006/original_files/R13915/fulltext/fulltext__published__025b7c8c4e6c5480.pdf</ns0:t>
        </ns0:is>
      </ns0:c>
    </ns0:row>
    <ns0:row r="14" ht="48" customHeight="1">
      <ns0:c r="A14" s="2" t="inlineStr">
        <ns0:is>
          <ns0:t>R10191</ns0:t>
        </ns0:is>
      </ns0:c>
      <ns0:c r="B14" s="2" t="inlineStr">
        <ns0:is>
          <ns0:t>Enhancing Anaerobic Digestion of Food Waste by Combining Carriers and Microaeration: Performance and Potential Mechanisms</ns0:t>
        </ns0:is>
      </ns0:c>
      <ns0:c r="C14" s="2" t="inlineStr">
        <ns0:is>
          <ns0:t>10.1021/acsestengg.4c00298</ns0:t>
        </ns0:is>
      </ns0:c>
      <ns0:c r="D14" s="2" t="inlineStr">
        <ns0:is>
          <ns0:t>fulltext</ns0:t>
        </ns0:is>
      </ns0:c>
      <ns0:c r="E14" s="2" t="inlineStr">
        <ns0:is>
          <ns0:t>出版版（版式及版权文字）</ns0:t>
        </ns0:is>
      </ns0:c>
      <ns0:c r="F14" s="2" t="inlineStr">
        <ns0:is>
          <ns0:t>fulltext.pdf</ns0:t>
        </ns0:is>
      </ns0:c>
      <ns0:c r="G14" s="2" t="inlineStr">
        <ns0:is>
          <ns0:t>original_files/R10191/fulltext/fulltext__published__02ba064b090497b8.pdf</ns0:t>
        </ns0:is>
      </ns0:c>
      <ns0:c r="H14" s="2" t="inlineStr">
        <ns0:is>
          <ns0:t>local_upload</ns0:t>
        </ns0:is>
      </ns0:c>
      <ns0:c r="I14" s="2" t="inlineStr">
        <ns0:is>
          <ns0:t>localdownload/R10191/fulltext.pdf</ns0:t>
        </ns0:is>
      </ns0:c>
      <ns0:c r="J14" s="2" t="n">
        <ns0:v>10236354</ns0:v>
      </ns0:c>
      <ns0:c r="K14" s="2" t="inlineStr">
        <ns0:is>
          <ns0:t>02ba064b090497b821b8dd3abd5429749756e5b1d901eb901562d2435dd7b981</ns0:t>
        </ns0:is>
      </ns0:c>
      <ns0:c r="L14" s="2" t="inlineStr">
        <ns0:is>
          <ns0:t>identity_and_body_structure_verified</ns0:t>
        </ns0:is>
      </ns0:c>
      <ns0:c r="M14" s="2" t="inlineStr"/>
      <ns0:c r="N14" s="2" t="inlineStr">
        <ns0:is>
          <ns0:t>首页/前两页题名作者或目标DOI核对，全部页面解析及正文结构检查；不据文件名判全文。</ns0:t>
        </ns0:is>
      </ns0:c>
      <ns0:c r="O14" s="2" t="inlineStr">
        <ns0:is>
          <ns0:t>https://github.com/Colliam-Vermilion/FirstCodex/blob/results/ad-oxygen-literature-20261006/results/ad-oxygen-literature-20261006/original_files/R10191/fulltext/fulltext__published__02ba064b090497b8.pdf</ns0:t>
        </ns0:is>
      </ns0:c>
    </ns0:row>
    <ns0:row r="15" ht="48" customHeight="1">
      <ns0:c r="A15" s="3" t="inlineStr">
        <ns0:is>
          <ns0:t>R13955</ns0:t>
        </ns0:is>
      </ns0:c>
      <ns0:c r="B15" s="3" t="inlineStr">
        <ns0:is>
          <ns0:t>Biogas Production from Lignocellulosic Biomass : Impact of pre-treatment, co-digestion, harvest time and inoculation</ns0:t>
        </ns0:is>
      </ns0:c>
      <ns0:c r="C15" s="3" t="inlineStr"/>
      <ns0:c r="D15" s="3" t="inlineStr">
        <ns0:is>
          <ns0:t>source_evidence</ns0:t>
        </ns0:is>
      </ns0:c>
      <ns0:c r="E15" s="3" t="inlineStr"/>
      <ns0:c r="F15" s="3" t="inlineStr">
        <ns0:is>
          <ns0:t>publisher_article_page_20261017.html</ns0:t>
        </ns0:is>
      </ns0:c>
      <ns0:c r="G15" s="3" t="inlineStr">
        <ns0:is>
          <ns0:t>original_files/R13955/evidence/source_evidence__02f67b3708d983fa.html</ns0:t>
        </ns0:is>
      </ns0:c>
      <ns0:c r="H15" s="3" t="inlineStr">
        <ns0:is>
          <ns0:t>cloud_existing</ns0:t>
        </ns0:is>
      </ns0:c>
      <ns0:c r="I15" s="3" t="inlineStr">
        <ns0:is>
          <ns0:t>original_files/source_evidence/R13955/publisher_article_page_20261017.html</ns0:t>
        </ns0:is>
      </ns0:c>
      <ns0:c r="J15" s="3" t="n">
        <ns0:v>51456</ns0:v>
      </ns0:c>
      <ns0:c r="K15" s="3" t="inlineStr">
        <ns0:is>
          <ns0:t>02f67b3708d983fad59ffa976c5364259168bedd3b55dc91f3fe65c640c2607d</ns0:t>
        </ns0:is>
      </ns0:c>
      <ns0:c r="L15" s="3" t="inlineStr">
        <ns0:is>
          <ns0:t>text_readable</ns0:t>
        </ns0:is>
      </ns0:c>
      <ns0:c r="M15" s="3" t="inlineStr"/>
      <ns0:c r="N15" s="3" t="inlineStr"/>
      <ns0:c r="O15" s="3" t="inlineStr">
        <ns0:is>
          <ns0:t>https://github.com/Colliam-Vermilion/FirstCodex/blob/results/ad-oxygen-literature-20261006/results/ad-oxygen-literature-20261006/original_files/R13955/evidence/source_evidence__02f67b3708d983fa.html</ns0:t>
        </ns0:is>
      </ns0:c>
    </ns0:row>
    <ns0:row r="16" ht="48" customHeight="1">
      <ns0:c r="A16" s="2" t="inlineStr">
        <ns0:is>
          <ns0:t>R13935</ns0:t>
        </ns0:is>
      </ns0:c>
      <ns0:c r="B16" s="2" t="inlineStr">
        <ns0:is>
          <ns0:t>Enhancement of Fermentation Performance in the Anaerobic Co-Digestion of Chicken Manure and Corn Straw under Biogas Slurry Reflux via Air Stripping of the Digestate</ns0:t>
        </ns0:is>
      </ns0:c>
      <ns0:c r="C16" s="2" t="inlineStr">
        <ns0:is>
          <ns0:t>10.3390/agronomy14081794</ns0:t>
        </ns0:is>
      </ns0:c>
      <ns0:c r="D16" s="2" t="inlineStr">
        <ns0:is>
          <ns0:t>fulltext</ns0:t>
        </ns0:is>
      </ns0:c>
      <ns0:c r="E16" s="2" t="inlineStr">
        <ns0:is>
          <ns0:t>出版版本（原页出版信息）</ns0:t>
        </ns0:is>
      </ns0:c>
      <ns0:c r="F16" s="2" t="inlineStr">
        <ns0:is>
          <ns0:t>R13935_2024_Enhancement_of_Fermentation_Performance_in_the_Anaerobic_Co-Digestion_of.pdf</ns0:t>
        </ns0:is>
      </ns0:c>
      <ns0:c r="G16" s="2" t="inlineStr">
        <ns0:is>
          <ns0:t>original_files/R13935/fulltext/fulltext__published__036bc6df1562131d.pdf</ns0:t>
        </ns0:is>
      </ns0:c>
      <ns0:c r="H16" s="2" t="inlineStr">
        <ns0:is>
          <ns0:t>cloud_existing</ns0:t>
        </ns0:is>
      </ns0:c>
      <ns0:c r="I16" s="2" t="inlineStr">
        <ns0:is>
          <ns0:t>original_files/fulltext/R13935_2024_Enhancement_of_Fermentation_Performance_in_the_Anaerobic_Co-Digestion_of.pdf</ns0:t>
        </ns0:is>
      </ns0:c>
      <ns0:c r="J16" s="2" t="n">
        <ns0:v>2725887</ns0:v>
      </ns0:c>
      <ns0:c r="K16" s="2" t="inlineStr">
        <ns0:is>
          <ns0:t>036bc6df1562131d9ce1ece13e143a47f116d76d7520c915fa4c5ad9db28b42d</ns0:t>
        </ns0:is>
      </ns0:c>
      <ns0:c r="L16" s="2" t="inlineStr">
        <ns0:is>
          <ns0:t>identity_and_body_structure_verified</ns0:t>
        </ns0:is>
      </ns0:c>
      <ns0:c r="M16" s="2" t="inlineStr"/>
      <ns0:c r="N16" s="2" t="inlineStr">
        <ns0:is>
          <ns0:t>首页/前两页题名作者或目标DOI核对，全部页面解析及正文结构检查；不据文件名判全文。</ns0:t>
        </ns0:is>
      </ns0:c>
      <ns0:c r="O16" s="2" t="inlineStr">
        <ns0:is>
          <ns0:t>https://github.com/Colliam-Vermilion/FirstCodex/blob/results/ad-oxygen-literature-20261006/results/ad-oxygen-literature-20261006/original_files/R13935/fulltext/fulltext__published__036bc6df1562131d.pdf</ns0:t>
        </ns0:is>
      </ns0:c>
    </ns0:row>
    <ns0:row r="17" ht="48" customHeight="1">
      <ns0:c r="A17" s="3" t="inlineStr">
        <ns0:is>
          <ns0:t>R13887</ns0:t>
        </ns0:is>
      </ns0:c>
      <ns0:c r="B17" s="3" t="inlineStr">
        <ns0:is>
          <ns0:t>Enhanced solubilization of solid organics and methane production by anaerobic digestion of swine manure under nano-bubble water addition</ns0:t>
        </ns0:is>
      </ns0:c>
      <ns0:c r="C17" s="3" t="inlineStr">
        <ns0:is>
          <ns0:t>10.1016/j.biortech.2019.122512</ns0:t>
        </ns0:is>
      </ns0:c>
      <ns0:c r="D17" s="3" t="inlineStr">
        <ns0:is>
          <ns0:t>fulltext</ns0:t>
        </ns0:is>
      </ns0:c>
      <ns0:c r="E17" s="3" t="inlineStr">
        <ns0:is>
          <ns0:t>出版版（版式及版权文字）</ns0:t>
        </ns0:is>
      </ns0:c>
      <ns0:c r="F17" s="3" t="inlineStr">
        <ns0:is>
          <ns0:t>fulltext.pdf</ns0:t>
        </ns0:is>
      </ns0:c>
      <ns0:c r="G17" s="3" t="inlineStr">
        <ns0:is>
          <ns0:t>original_files/R13887/fulltext/fulltext__published__03bc9c011e292e23.pdf</ns0:t>
        </ns0:is>
      </ns0:c>
      <ns0:c r="H17" s="3" t="inlineStr">
        <ns0:is>
          <ns0:t>local_upload</ns0:t>
        </ns0:is>
      </ns0:c>
      <ns0:c r="I17" s="3" t="inlineStr">
        <ns0:is>
          <ns0:t>localdownload/R13887/fulltext.pdf</ns0:t>
        </ns0:is>
      </ns0:c>
      <ns0:c r="J17" s="3" t="n">
        <ns0:v>426471</ns0:v>
      </ns0:c>
      <ns0:c r="K17" s="3" t="inlineStr">
        <ns0:is>
          <ns0:t>03bc9c011e292e2392f864eceef047bf3841ace6cc952cd3a1f509bfa0c31cfa</ns0:t>
        </ns0:is>
      </ns0:c>
      <ns0:c r="L17" s="3" t="inlineStr">
        <ns0:is>
          <ns0:t>identity_and_body_structure_verified</ns0:t>
        </ns0:is>
      </ns0:c>
      <ns0:c r="M17" s="3" t="inlineStr"/>
      <ns0:c r="N17" s="3" t="inlineStr">
        <ns0:is>
          <ns0:t>首页/前两页题名作者或目标DOI核对，全部页面解析及正文结构检查；不据文件名判全文。</ns0:t>
        </ns0:is>
      </ns0:c>
      <ns0:c r="O17" s="3" t="inlineStr">
        <ns0:is>
          <ns0:t>https://github.com/Colliam-Vermilion/FirstCodex/blob/results/ad-oxygen-literature-20261006/results/ad-oxygen-literature-20261006/original_files/R13887/fulltext/fulltext__published__03bc9c011e292e23.pdf</ns0:t>
        </ns0:is>
      </ns0:c>
    </ns0:row>
    <ns0:row r="18" ht="48" customHeight="1">
      <ns0:c r="A18" s="2" t="inlineStr">
        <ns0:is>
          <ns0:t>R13915</ns0:t>
        </ns0:is>
      </ns0:c>
      <ns0:c r="B18" s="2" t="inlineStr">
        <ns0:is>
          <ns0:t>Upflow anaerobic-microaerobic fixed biofilm reactor integrating methanogenesis with partial nitrification</ns0:t>
        </ns0:is>
      </ns0:c>
      <ns0:c r="C18" s="2" t="inlineStr">
        <ns0:is>
          <ns0:t>10.1016/j.cej.2018.05.013</ns0:t>
        </ns0:is>
      </ns0:c>
      <ns0:c r="D18" s="2" t="inlineStr">
        <ns0:is>
          <ns0:t>supplementary</ns0:t>
        </ns0:is>
      </ns0:c>
      <ns0:c r="E18" s="2" t="inlineStr"/>
      <ns0:c r="F18" s="2" t="inlineStr">
        <ns0:is>
          <ns0:t>supplementary.docx</ns0:t>
        </ns0:is>
      </ns0:c>
      <ns0:c r="G18" s="2" t="inlineStr">
        <ns0:is>
          <ns0:t>original_files/R13915/supplementary/supplementary__042164c05458c495.docx</ns0:t>
        </ns0:is>
      </ns0:c>
      <ns0:c r="H18" s="2" t="inlineStr">
        <ns0:is>
          <ns0:t>local_upload</ns0:t>
        </ns0:is>
      </ns0:c>
      <ns0:c r="I18" s="2" t="inlineStr">
        <ns0:is>
          <ns0:t>localdownload/R13915/supplementary.docx</ns0:t>
        </ns0:is>
      </ns0:c>
      <ns0:c r="J18" s="2" t="n">
        <ns0:v>53365</ns0:v>
      </ns0:c>
      <ns0:c r="K18" s="2" t="inlineStr">
        <ns0:is>
          <ns0:t>042164c05458c495897fd4abae2d5f68f21d0411a7248c1f2da9036a5d8f3813</ns0:t>
        </ns0:is>
      </ns0:c>
      <ns0:c r="L18" s="2" t="inlineStr">
        <ns0:is>
          <ns0:t>container_crc_verified</ns0:t>
        </ns0:is>
      </ns0:c>
      <ns0:c r="M18" s="2" t="inlineStr">
        <ns0:is>
          <ns0:t>title_in_attachment_verified</ns0:t>
        </ns0:is>
      </ns0:c>
      <ns0:c r="N18" s="2" t="inlineStr"/>
      <ns0:c r="O18" s="2" t="inlineStr">
        <ns0:is>
          <ns0:t>https://github.com/Colliam-Vermilion/FirstCodex/blob/results/ad-oxygen-literature-20261006/results/ad-oxygen-literature-20261006/original_files/R13915/supplementary/supplementary__042164c05458c495.docx</ns0:t>
        </ns0:is>
      </ns0:c>
    </ns0:row>
    <ns0:row r="19" ht="48" customHeight="1">
      <ns0:c r="A19" s="3" t="inlineStr">
        <ns0:is>
          <ns0:t>R13877</ns0:t>
        </ns0:is>
      </ns0:c>
      <ns0:c r="B19" s="3" t="inlineStr">
        <ns0:is>
          <ns0:t>Microbial community response and SDS-PAGE reveal possible mechanism of waste activated sludge acidification enhanced by microaeration coupled thermophilic pretreatment</ns0:t>
        </ns0:is>
      </ns0:c>
      <ns0:c r="C19" s="3" t="inlineStr">
        <ns0:is>
          <ns0:t>10.1016/j.procbio.2017.09.010</ns0:t>
        </ns0:is>
      </ns0:c>
      <ns0:c r="D19" s="3" t="inlineStr">
        <ns0:is>
          <ns0:t>fulltext</ns0:t>
        </ns0:is>
      </ns0:c>
      <ns0:c r="E19" s="3" t="inlineStr">
        <ns0:is>
          <ns0:t>出版版本（原页出版信息）</ns0:t>
        </ns0:is>
      </ns0:c>
      <ns0:c r="F19" s="3" t="inlineStr">
        <ns0:is>
          <ns0:t>R13877_2018_Microbial_community_response_and_SDS-PAGE_reveal_possible_mechanism_of.pdf</ns0:t>
        </ns0:is>
      </ns0:c>
      <ns0:c r="G19" s="3" t="inlineStr">
        <ns0:is>
          <ns0:t>original_files/R13877/fulltext/fulltext__published__04a76adc76fa9472.pdf</ns0:t>
        </ns0:is>
      </ns0:c>
      <ns0:c r="H19" s="3" t="inlineStr">
        <ns0:is>
          <ns0:t>cloud_existing</ns0:t>
        </ns0:is>
      </ns0:c>
      <ns0:c r="I19" s="3" t="inlineStr">
        <ns0:is>
          <ns0:t>original_files/fulltext/R13877_2018_Microbial_community_response_and_SDS-PAGE_reveal_possible_mechanism_of.pdf</ns0:t>
        </ns0:is>
      </ns0:c>
      <ns0:c r="J19" s="3" t="n">
        <ns0:v>522402</ns0:v>
      </ns0:c>
      <ns0:c r="K19" s="3" t="inlineStr">
        <ns0:is>
          <ns0:t>04a76adc76fa947250861c95c93759c590dd3e02d7f80dc23ce0abedccb74510</ns0:t>
        </ns0:is>
      </ns0:c>
      <ns0:c r="L19" s="3" t="inlineStr">
        <ns0:is>
          <ns0:t>identity_and_body_structure_verified</ns0:t>
        </ns0:is>
      </ns0:c>
      <ns0:c r="M19" s="3" t="inlineStr"/>
      <ns0:c r="N19" s="3" t="inlineStr">
        <ns0:is>
          <ns0:t>首页/前两页题名作者或目标DOI核对，全部页面解析及正文结构检查；不据文件名判全文。</ns0:t>
        </ns0:is>
      </ns0:c>
      <ns0:c r="O19" s="3" t="inlineStr">
        <ns0:is>
          <ns0:t>https://github.com/Colliam-Vermilion/FirstCodex/blob/results/ad-oxygen-literature-20261006/results/ad-oxygen-literature-20261006/original_files/R13877/fulltext/fulltext__published__04a76adc76fa9472.pdf</ns0:t>
        </ns0:is>
      </ns0:c>
    </ns0:row>
    <ns0:row r="20" ht="48" customHeight="1">
      <ns0:c r="A20" s="2" t="inlineStr">
        <ns0:is>
          <ns0:t>R11655</ns0:t>
        </ns0:is>
      </ns0:c>
      <ns0:c r="B20" s="2" t="inlineStr">
        <ns0:is>
          <ns0:t>Hydrolysis and methane yield enhancement of anaerobic co-digestion of kitchen waste and sewage sludge by air/carbon dioxide nanobubble water</ns0:t>
        </ns0:is>
      </ns0:c>
      <ns0:c r="C20" s="2" t="inlineStr">
        <ns0:is>
          <ns0:t>10.1016/j.fuel.2024.133456</ns0:t>
        </ns0:is>
      </ns0:c>
      <ns0:c r="D20" s="2" t="inlineStr">
        <ns0:is>
          <ns0:t>supplementary</ns0:t>
        </ns0:is>
      </ns0:c>
      <ns0:c r="E20" s="2" t="inlineStr"/>
      <ns0:c r="F20" s="2" t="inlineStr">
        <ns0:is>
          <ns0:t>supplementary.docx</ns0:t>
        </ns0:is>
      </ns0:c>
      <ns0:c r="G20" s="2" t="inlineStr">
        <ns0:is>
          <ns0:t>original_files/R11655/supplementary/supplementary__04e1aca79019dac9.docx</ns0:t>
        </ns0:is>
      </ns0:c>
      <ns0:c r="H20" s="2" t="inlineStr">
        <ns0:is>
          <ns0:t>local_upload</ns0:t>
        </ns0:is>
      </ns0:c>
      <ns0:c r="I20" s="2" t="inlineStr">
        <ns0:is>
          <ns0:t>localdownload/R11655/supplementary.docx</ns0:t>
        </ns0:is>
      </ns0:c>
      <ns0:c r="J20" s="2" t="n">
        <ns0:v>505501</ns0:v>
      </ns0:c>
      <ns0:c r="K20" s="2" t="inlineStr">
        <ns0:is>
          <ns0:t>04e1aca79019dac9ae5632e4f33f71b887df66edb5ea5acd4a48e0b332320067</ns0:t>
        </ns0:is>
      </ns0:c>
      <ns0:c r="L20" s="2" t="inlineStr">
        <ns0:is>
          <ns0:t>container_crc_verified</ns0:t>
        </ns0:is>
      </ns0:c>
      <ns0:c r="M20" s="2" t="inlineStr">
        <ns0:is>
          <ns0:t>directory_and_content_consistent_identity_pending</ns0:t>
        </ns0:is>
      </ns0:c>
      <ns0:c r="N20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0" s="2" t="inlineStr">
        <ns0:is>
          <ns0:t>https://github.com/Colliam-Vermilion/FirstCodex/blob/results/ad-oxygen-literature-20261006/results/ad-oxygen-literature-20261006/original_files/R11655/supplementary/supplementary__04e1aca79019dac9.docx</ns0:t>
        </ns0:is>
      </ns0:c>
    </ns0:row>
    <ns0:row r="21" ht="48" customHeight="1">
      <ns0:c r="A21" s="3" t="inlineStr">
        <ns0:is>
          <ns0:t>R09331</ns0:t>
        </ns0:is>
      </ns0:c>
      <ns0:c r="B21" s="3" t="inlineStr">
        <ns0:is>
          <ns0:t>Optimization of biogas production from straw wastes by different pretreatments: Progress, challenges, and prospects</ns0:t>
        </ns0:is>
      </ns0:c>
      <ns0:c r="C21" s="3" t="inlineStr">
        <ns0:is>
          <ns0:t>10.1016/j.scitotenv.2023.166992</ns0:t>
        </ns0:is>
      </ns0:c>
      <ns0:c r="D21" s="3" t="inlineStr">
        <ns0:is>
          <ns0:t>fulltext</ns0:t>
        </ns0:is>
      </ns0:c>
      <ns0:c r="E21" s="3" t="inlineStr">
        <ns0:is>
          <ns0:t>出版版（版式及版权文字）</ns0:t>
        </ns0:is>
      </ns0:c>
      <ns0:c r="F21" s="3" t="inlineStr">
        <ns0:is>
          <ns0:t>fulltext.pdf</ns0:t>
        </ns0:is>
      </ns0:c>
      <ns0:c r="G21" s="3" t="inlineStr">
        <ns0:is>
          <ns0:t>original_files/R09331/fulltext/fulltext__published__052cebd7d0ccc0ae.pdf</ns0:t>
        </ns0:is>
      </ns0:c>
      <ns0:c r="H21" s="3" t="inlineStr">
        <ns0:is>
          <ns0:t>local_upload</ns0:t>
        </ns0:is>
      </ns0:c>
      <ns0:c r="I21" s="3" t="inlineStr">
        <ns0:is>
          <ns0:t>localdownload/R09331/fulltext.pdf</ns0:t>
        </ns0:is>
      </ns0:c>
      <ns0:c r="J21" s="3" t="n">
        <ns0:v>3393765</ns0:v>
      </ns0:c>
      <ns0:c r="K21" s="3" t="inlineStr">
        <ns0:is>
          <ns0:t>052cebd7d0ccc0aeb88c706a718d1fc31ab6a759051a553d874d6b5df92bfd10</ns0:t>
        </ns0:is>
      </ns0:c>
      <ns0:c r="L21" s="3" t="inlineStr">
        <ns0:is>
          <ns0:t>identity_and_body_structure_verified</ns0:t>
        </ns0:is>
      </ns0:c>
      <ns0:c r="M21" s="3" t="inlineStr"/>
      <ns0:c r="N21" s="3" t="inlineStr">
        <ns0:is>
          <ns0:t>首页/前两页题名作者或目标DOI核对，全部页面解析及正文结构检查；不据文件名判全文。</ns0:t>
        </ns0:is>
      </ns0:c>
      <ns0:c r="O21" s="3" t="inlineStr">
        <ns0:is>
          <ns0:t>https://github.com/Colliam-Vermilion/FirstCodex/blob/results/ad-oxygen-literature-20261006/results/ad-oxygen-literature-20261006/original_files/R09331/fulltext/fulltext__published__052cebd7d0ccc0ae.pdf</ns0:t>
        </ns0:is>
      </ns0:c>
    </ns0:row>
    <ns0:row r="22" ht="48" customHeight="1">
      <ns0:c r="A22" s="2" t="inlineStr">
        <ns0:is>
          <ns0:t>R13901</ns0:t>
        </ns0:is>
      </ns0:c>
      <ns0:c r="B22" s="2" t="inlineStr">
        <ns0:is>
          <ns0:t>Effect of Aerobic Hydrolysis on Anaerobic Fermentation Characteristics of Various Parts of Corn Stover and the Scum Layer</ns0:t>
        </ns0:is>
      </ns0:c>
      <ns0:c r="C22" s="2" t="inlineStr">
        <ns0:is>
          <ns0:t>10.3390/en12030381</ns0:t>
        </ns0:is>
      </ns0:c>
      <ns0:c r="D22" s="2" t="inlineStr">
        <ns0:is>
          <ns0:t>source_evidence</ns0:t>
        </ns0:is>
      </ns0:c>
      <ns0:c r="E22" s="2" t="inlineStr"/>
      <ns0:c r="F22" s="2" t="inlineStr">
        <ns0:is>
          <ns0:t>publisher_article_page_20261017.html</ns0:t>
        </ns0:is>
      </ns0:c>
      <ns0:c r="G22" s="2" t="inlineStr">
        <ns0:is>
          <ns0:t>original_files/R13901/evidence/source_evidence__05a20be8b6d3d115.html</ns0:t>
        </ns0:is>
      </ns0:c>
      <ns0:c r="H22" s="2" t="inlineStr">
        <ns0:is>
          <ns0:t>cloud_existing</ns0:t>
        </ns0:is>
      </ns0:c>
      <ns0:c r="I22" s="2" t="inlineStr">
        <ns0:is>
          <ns0:t>original_files/source_evidence/R13901/publisher_article_page_20261017.html</ns0:t>
        </ns0:is>
      </ns0:c>
      <ns0:c r="J22" s="2" t="n">
        <ns0:v>498818</ns0:v>
      </ns0:c>
      <ns0:c r="K22" s="2" t="inlineStr">
        <ns0:is>
          <ns0:t>05a20be8b6d3d115bf2457f76aebc6b69d89178a917af0370b1518205f37fb72</ns0:t>
        </ns0:is>
      </ns0:c>
      <ns0:c r="L22" s="2" t="inlineStr">
        <ns0:is>
          <ns0:t>text_readable</ns0:t>
        </ns0:is>
      </ns0:c>
      <ns0:c r="M22" s="2" t="inlineStr"/>
      <ns0:c r="N22" s="2" t="inlineStr"/>
      <ns0:c r="O22" s="2" t="inlineStr">
        <ns0:is>
          <ns0:t>https://github.com/Colliam-Vermilion/FirstCodex/blob/results/ad-oxygen-literature-20261006/results/ad-oxygen-literature-20261006/original_files/R13901/evidence/source_evidence__05a20be8b6d3d115.html</ns0:t>
        </ns0:is>
      </ns0:c>
    </ns0:row>
    <ns0:row r="23" ht="48" customHeight="1">
      <ns0:c r="A23" s="3" t="inlineStr">
        <ns0:is>
          <ns0:t>R13938</ns0:t>
        </ns0:is>
      </ns0:c>
      <ns0:c r="B23" s="3" t="inlineStr">
        <ns0:is>
          <ns0:t>Treatment of fresh leachate by microaeration pretreatment combined with IC-AO2 process: Performance and mechanistic insight</ns0:t>
        </ns0:is>
      </ns0:c>
      <ns0:c r="C23" s="3" t="inlineStr">
        <ns0:is>
          <ns0:t>10.1016/j.scitotenv.2021.147939</ns0:t>
        </ns0:is>
      </ns0:c>
      <ns0:c r="D23" s="3" t="inlineStr">
        <ns0:is>
          <ns0:t>fulltext</ns0:t>
        </ns0:is>
      </ns0:c>
      <ns0:c r="E23" s="3" t="inlineStr">
        <ns0:is>
          <ns0:t>出版版（版式及版权文字）</ns0:t>
        </ns0:is>
      </ns0:c>
      <ns0:c r="F23" s="3" t="inlineStr">
        <ns0:is>
          <ns0:t>fulltext.pdf</ns0:t>
        </ns0:is>
      </ns0:c>
      <ns0:c r="G23" s="3" t="inlineStr">
        <ns0:is>
          <ns0:t>original_files/R13938/fulltext/fulltext__published__0668ec7068a375a8.pdf</ns0:t>
        </ns0:is>
      </ns0:c>
      <ns0:c r="H23" s="3" t="inlineStr">
        <ns0:is>
          <ns0:t>local_upload</ns0:t>
        </ns0:is>
      </ns0:c>
      <ns0:c r="I23" s="3" t="inlineStr">
        <ns0:is>
          <ns0:t>localdownload/R13938/fulltext.pdf</ns0:t>
        </ns0:is>
      </ns0:c>
      <ns0:c r="J23" s="3" t="n">
        <ns0:v>3265736</ns0:v>
      </ns0:c>
      <ns0:c r="K23" s="3" t="inlineStr">
        <ns0:is>
          <ns0:t>0668ec7068a375a8e6dbbe66d3d2978a6166c4c932a65069aaedf973c3a8022a</ns0:t>
        </ns0:is>
      </ns0:c>
      <ns0:c r="L23" s="3" t="inlineStr">
        <ns0:is>
          <ns0:t>identity_and_body_structure_verified</ns0:t>
        </ns0:is>
      </ns0:c>
      <ns0:c r="M23" s="3" t="inlineStr"/>
      <ns0:c r="N23" s="3" t="inlineStr">
        <ns0:is>
          <ns0:t>首页/前两页题名作者或目标DOI核对，全部页面解析及正文结构检查；不据文件名判全文。</ns0:t>
        </ns0:is>
      </ns0:c>
      <ns0:c r="O23" s="3" t="inlineStr">
        <ns0:is>
          <ns0:t>https://github.com/Colliam-Vermilion/FirstCodex/blob/results/ad-oxygen-literature-20261006/results/ad-oxygen-literature-20261006/original_files/R13938/fulltext/fulltext__published__0668ec7068a375a8.pdf</ns0:t>
        </ns0:is>
      </ns0:c>
    </ns0:row>
    <ns0:row r="24" ht="48" customHeight="1">
      <ns0:c r="A24" s="2" t="inlineStr">
        <ns0:is>
          <ns0:t>R06597</ns0:t>
        </ns0:is>
      </ns0:c>
      <ns0:c r="B24" s="2" t="inlineStr">
        <ns0:is>
          <ns0:t>Effect of microaerobic microbial pretreatment on anaerobic digestion of a lignocellulosic substrate under controlled pH conditions</ns0:t>
        </ns0:is>
      </ns0:c>
      <ns0:c r="C24" s="2" t="inlineStr">
        <ns0:is>
          <ns0:t>10.1016/j.biortech.2021.124852</ns0:t>
        </ns0:is>
      </ns0:c>
      <ns0:c r="D24" s="2" t="inlineStr">
        <ns0:is>
          <ns0:t>fulltext</ns0:t>
        </ns0:is>
      </ns0:c>
      <ns0:c r="E24" s="2" t="inlineStr">
        <ns0:is>
          <ns0:t>出版版（版式及版权文字）</ns0:t>
        </ns0:is>
      </ns0:c>
      <ns0:c r="F24" s="2" t="inlineStr">
        <ns0:is>
          <ns0:t>fulltext.pdf</ns0:t>
        </ns0:is>
      </ns0:c>
      <ns0:c r="G24" s="2" t="inlineStr">
        <ns0:is>
          <ns0:t>original_files/R06597/fulltext/fulltext__published__0675c197731a41f1.pdf</ns0:t>
        </ns0:is>
      </ns0:c>
      <ns0:c r="H24" s="2" t="inlineStr">
        <ns0:is>
          <ns0:t>local_upload</ns0:t>
        </ns0:is>
      </ns0:c>
      <ns0:c r="I24" s="2" t="inlineStr">
        <ns0:is>
          <ns0:t>localdownload/R06597/fulltext.pdf</ns0:t>
        </ns0:is>
      </ns0:c>
      <ns0:c r="J24" s="2" t="n">
        <ns0:v>1756556</ns0:v>
      </ns0:c>
      <ns0:c r="K24" s="2" t="inlineStr">
        <ns0:is>
          <ns0:t>0675c197731a41f1f8892809181ce8c8ce5a61712705e0734a5875656298b222</ns0:t>
        </ns0:is>
      </ns0:c>
      <ns0:c r="L24" s="2" t="inlineStr">
        <ns0:is>
          <ns0:t>identity_and_body_structure_verified</ns0:t>
        </ns0:is>
      </ns0:c>
      <ns0:c r="M24" s="2" t="inlineStr"/>
      <ns0:c r="N24" s="2" t="inlineStr">
        <ns0:is>
          <ns0:t>首页/前两页题名作者或目标DOI核对，全部页面解析及正文结构检查；不据文件名判全文。</ns0:t>
        </ns0:is>
      </ns0:c>
      <ns0:c r="O24" s="2" t="inlineStr">
        <ns0:is>
          <ns0:t>https://github.com/Colliam-Vermilion/FirstCodex/blob/results/ad-oxygen-literature-20261006/results/ad-oxygen-literature-20261006/original_files/R06597/fulltext/fulltext__published__0675c197731a41f1.pdf</ns0:t>
        </ns0:is>
      </ns0:c>
    </ns0:row>
    <ns0:row r="25" ht="48" customHeight="1">
      <ns0:c r="A25" s="3" t="inlineStr">
        <ns0:is>
          <ns0:t>R01654</ns0:t>
        </ns0:is>
      </ns0:c>
      <ns0:c r="B25" s="3" t="inlineStr">
        <ns0:is>
          <ns0:t>Anaerobic digestion of waste biomass from the production of L-cystine in suspended-growth bioreactors</ns0:t>
        </ns0:is>
      </ns0:c>
      <ns0:c r="C25" s="3" t="inlineStr">
        <ns0:is>
          <ns0:t>10.2166/wst.2015.224</ns0:t>
        </ns0:is>
      </ns0:c>
      <ns0:c r="D25" s="3" t="inlineStr">
        <ns0:is>
          <ns0:t>fulltext</ns0:t>
        </ns0:is>
      </ns0:c>
      <ns0:c r="E25" s="3" t="inlineStr">
        <ns0:is>
          <ns0:t>出版版（版式及版权文字）</ns0:t>
        </ns0:is>
      </ns0:c>
      <ns0:c r="F25" s="3" t="inlineStr">
        <ns0:is>
          <ns0:t>fulltext.pdf</ns0:t>
        </ns0:is>
      </ns0:c>
      <ns0:c r="G25" s="3" t="inlineStr">
        <ns0:is>
          <ns0:t>original_files/R01654/fulltext/fulltext__published__07361dc13d0f4990.pdf</ns0:t>
        </ns0:is>
      </ns0:c>
      <ns0:c r="H25" s="3" t="inlineStr">
        <ns0:is>
          <ns0:t>local_upload</ns0:t>
        </ns0:is>
      </ns0:c>
      <ns0:c r="I25" s="3" t="inlineStr">
        <ns0:is>
          <ns0:t>localdownload/R01654/fulltext.pdf</ns0:t>
        </ns0:is>
      </ns0:c>
      <ns0:c r="J25" s="3" t="n">
        <ns0:v>391402</ns0:v>
      </ns0:c>
      <ns0:c r="K25" s="3" t="inlineStr">
        <ns0:is>
          <ns0:t>07361dc13d0f4990272d0fca0f7447c5ee84a8f2b900675775f2e6ee1998444a</ns0:t>
        </ns0:is>
      </ns0:c>
      <ns0:c r="L25" s="3" t="inlineStr">
        <ns0:is>
          <ns0:t>identity_and_body_structure_verified</ns0:t>
        </ns0:is>
      </ns0:c>
      <ns0:c r="M25" s="3" t="inlineStr"/>
      <ns0:c r="N25" s="3" t="inlineStr">
        <ns0:is>
          <ns0:t>首页/前两页题名作者或目标DOI核对，全部页面解析及正文结构检查；不据文件名判全文。</ns0:t>
        </ns0:is>
      </ns0:c>
      <ns0:c r="O25" s="3" t="inlineStr">
        <ns0:is>
          <ns0:t>https://github.com/Colliam-Vermilion/FirstCodex/blob/results/ad-oxygen-literature-20261006/results/ad-oxygen-literature-20261006/original_files/R01654/fulltext/fulltext__published__07361dc13d0f4990.pdf</ns0:t>
        </ns0:is>
      </ns0:c>
    </ns0:row>
    <ns0:row r="26" ht="48" customHeight="1">
      <ns0:c r="A26" s="2" t="inlineStr">
        <ns0:is>
          <ns0:t>R10086</ns0:t>
        </ns0:is>
      </ns0:c>
      <ns0:c r="B26" s="2" t="inlineStr">
        <ns0:is>
          <ns0:t>Effect of micro-aeration on syntrophic and methanogenic activity in anaerobic sludge</ns0:t>
        </ns0:is>
      </ns0:c>
      <ns0:c r="C26" s="2" t="inlineStr">
        <ns0:is>
          <ns0:t>10.1007/s00253-023-12969-4</ns0:t>
        </ns0:is>
      </ns0:c>
      <ns0:c r="D26" s="2" t="inlineStr">
        <ns0:is>
          <ns0:t>source_evidence</ns0:t>
        </ns0:is>
      </ns0:c>
      <ns0:c r="E26" s="2" t="inlineStr"/>
      <ns0:c r="F26" s="2" t="inlineStr">
        <ns0:is>
          <ns0:t>PMC10837232_fullText.xml</ns0:t>
        </ns0:is>
      </ns0:c>
      <ns0:c r="G26" s="2" t="inlineStr">
        <ns0:is>
          <ns0:t>original_files/R10086/evidence/source_evidence__074f3cb8a39355a5.xml</ns0:t>
        </ns0:is>
      </ns0:c>
      <ns0:c r="H26" s="2" t="inlineStr">
        <ns0:is>
          <ns0:t>cloud_existing</ns0:t>
        </ns0:is>
      </ns0:c>
      <ns0:c r="I26" s="2" t="inlineStr">
        <ns0:is>
          <ns0:t>original_files/source_evidence/R10086/PMC10837232_fullText.xml</ns0:t>
        </ns0:is>
      </ns0:c>
      <ns0:c r="J26" s="2" t="n">
        <ns0:v>118002</ns0:v>
      </ns0:c>
      <ns0:c r="K26" s="2" t="inlineStr">
        <ns0:is>
          <ns0:t>074f3cb8a39355a5d7cfb8af0139c674b72aec8e5d08bcd20b8f0e46d0d88fbe</ns0:t>
        </ns0:is>
      </ns0:c>
      <ns0:c r="L26" s="2" t="inlineStr">
        <ns0:is>
          <ns0:t>text_readable</ns0:t>
        </ns0:is>
      </ns0:c>
      <ns0:c r="M26" s="2" t="inlineStr"/>
      <ns0:c r="N26" s="2" t="inlineStr"/>
      <ns0:c r="O26" s="2" t="inlineStr">
        <ns0:is>
          <ns0:t>https://github.com/Colliam-Vermilion/FirstCodex/blob/results/ad-oxygen-literature-20261006/results/ad-oxygen-literature-20261006/original_files/R10086/evidence/source_evidence__074f3cb8a39355a5.xml</ns0:t>
        </ns0:is>
      </ns0:c>
    </ns0:row>
    <ns0:row r="27" ht="48" customHeight="1">
      <ns0:c r="A27" s="3" t="inlineStr">
        <ns0:is>
          <ns0:t>R13825</ns0:t>
        </ns0:is>
      </ns0:c>
      <ns0:c r="B27" s="3" t="inlineStr">
        <ns0:is>
          <ns0:t>Microaerobic pretreatment of sewage sludge: Effect of air flow rate, pretreatment time and temperature on the aerobic process and methane generation</ns0:t>
        </ns0:is>
      </ns0:c>
      <ns0:c r="C27" s="3" t="inlineStr">
        <ns0:is>
          <ns0:t>10.1016/j.ibiod.2016.01.010</ns0:t>
        </ns0:is>
      </ns0:c>
      <ns0:c r="D27" s="3" t="inlineStr">
        <ns0:is>
          <ns0:t>fulltext</ns0:t>
        </ns0:is>
      </ns0:c>
      <ns0:c r="E27" s="3" t="inlineStr">
        <ns0:is>
          <ns0:t>出版版（版式及版权文字）</ns0:t>
        </ns0:is>
      </ns0:c>
      <ns0:c r="F27" s="3" t="inlineStr">
        <ns0:is>
          <ns0:t>fulltext.pdf</ns0:t>
        </ns0:is>
      </ns0:c>
      <ns0:c r="G27" s="3" t="inlineStr">
        <ns0:is>
          <ns0:t>original_files/R13825/fulltext/fulltext__published__0779372648e9bf7f.pdf</ns0:t>
        </ns0:is>
      </ns0:c>
      <ns0:c r="H27" s="3" t="inlineStr">
        <ns0:is>
          <ns0:t>local_upload</ns0:t>
        </ns0:is>
      </ns0:c>
      <ns0:c r="I27" s="3" t="inlineStr">
        <ns0:is>
          <ns0:t>localdownload/R13825/fulltext.pdf</ns0:t>
        </ns0:is>
      </ns0:c>
      <ns0:c r="J27" s="3" t="n">
        <ns0:v>590093</ns0:v>
      </ns0:c>
      <ns0:c r="K27" s="3" t="inlineStr">
        <ns0:is>
          <ns0:t>0779372648e9bf7f280b29456887f8256d272e42859f4c36fe17adbebf9b3cd4</ns0:t>
        </ns0:is>
      </ns0:c>
      <ns0:c r="L27" s="3" t="inlineStr">
        <ns0:is>
          <ns0:t>identity_and_body_structure_verified</ns0:t>
        </ns0:is>
      </ns0:c>
      <ns0:c r="M27" s="3" t="inlineStr"/>
      <ns0:c r="N27" s="3" t="inlineStr">
        <ns0:is>
          <ns0:t>首页/前两页题名作者或目标DOI核对，全部页面解析及正文结构检查；不据文件名判全文。</ns0:t>
        </ns0:is>
      </ns0:c>
      <ns0:c r="O27" s="3" t="inlineStr">
        <ns0:is>
          <ns0:t>https://github.com/Colliam-Vermilion/FirstCodex/blob/results/ad-oxygen-literature-20261006/results/ad-oxygen-literature-20261006/original_files/R13825/fulltext/fulltext__published__0779372648e9bf7f.pdf</ns0:t>
        </ns0:is>
      </ns0:c>
    </ns0:row>
    <ns0:row r="28" ht="48" customHeight="1">
      <ns0:c r="A28" s="2" t="inlineStr">
        <ns0:is>
          <ns0:t>R05732</ns0:t>
        </ns0:is>
      </ns0:c>
      <ns0:c r="B28" s="2" t="inlineStr">
        <ns0:is>
          <ns0:t>Improving methane productivity of waste activated sludge by ultrasound and alkali pretreatment in microbial electrolysis cell and anaerobic digestion coupled system</ns0:t>
        </ns0:is>
      </ns0:c>
      <ns0:c r="C28" s="2" t="inlineStr">
        <ns0:is>
          <ns0:t>10.1016/j.envres.2019.108863</ns0:t>
        </ns0:is>
      </ns0:c>
      <ns0:c r="D28" s="2" t="inlineStr">
        <ns0:is>
          <ns0:t>fulltext</ns0:t>
        </ns0:is>
      </ns0:c>
      <ns0:c r="E28" s="2" t="inlineStr">
        <ns0:is>
          <ns0:t>出版版（版式及版权文字）</ns0:t>
        </ns0:is>
      </ns0:c>
      <ns0:c r="F28" s="2" t="inlineStr">
        <ns0:is>
          <ns0:t>fulltext.pdf</ns0:t>
        </ns0:is>
      </ns0:c>
      <ns0:c r="G28" s="2" t="inlineStr">
        <ns0:is>
          <ns0:t>original_files/R05732/fulltext/fulltext__published__078e2afd9876122d.pdf</ns0:t>
        </ns0:is>
      </ns0:c>
      <ns0:c r="H28" s="2" t="inlineStr">
        <ns0:is>
          <ns0:t>local_upload</ns0:t>
        </ns0:is>
      </ns0:c>
      <ns0:c r="I28" s="2" t="inlineStr">
        <ns0:is>
          <ns0:t>localdownload/R05732/fulltext.pdf</ns0:t>
        </ns0:is>
      </ns0:c>
      <ns0:c r="J28" s="2" t="n">
        <ns0:v>999051</ns0:v>
      </ns0:c>
      <ns0:c r="K28" s="2" t="inlineStr">
        <ns0:is>
          <ns0:t>078e2afd9876122d297eb3b251eadfa93992e97b06b9d93b23b3831a16f8d3f7</ns0:t>
        </ns0:is>
      </ns0:c>
      <ns0:c r="L28" s="2" t="inlineStr">
        <ns0:is>
          <ns0:t>identity_and_body_structure_verified</ns0:t>
        </ns0:is>
      </ns0:c>
      <ns0:c r="M28" s="2" t="inlineStr"/>
      <ns0:c r="N28" s="2" t="inlineStr">
        <ns0:is>
          <ns0:t>首页/前两页题名作者或目标DOI核对，全部页面解析及正文结构检查；不据文件名判全文。</ns0:t>
        </ns0:is>
      </ns0:c>
      <ns0:c r="O28" s="2" t="inlineStr">
        <ns0:is>
          <ns0:t>https://github.com/Colliam-Vermilion/FirstCodex/blob/results/ad-oxygen-literature-20261006/results/ad-oxygen-literature-20261006/original_files/R05732/fulltext/fulltext__published__078e2afd9876122d.pdf</ns0:t>
        </ns0:is>
      </ns0:c>
    </ns0:row>
    <ns0:row r="29" ht="48" customHeight="1">
      <ns0:c r="A29" s="3" t="inlineStr">
        <ns0:is>
          <ns0:t>R12279</ns0:t>
        </ns0:is>
      </ns0:c>
      <ns0:c r="B29" s="3" t="inlineStr">
        <ns0:is>
          <ns0:t>Sustainable management of simulated coffee processing wastewater using micro-aeration enhanced anaerobic digestion: a long-term technical evaluation</ns0:t>
        </ns0:is>
      </ns0:c>
      <ns0:c r="C29" s="3" t="inlineStr">
        <ns0:is>
          <ns0:t>10.3389/frsus.2025.1681014</ns0:t>
        </ns0:is>
      </ns0:c>
      <ns0:c r="D29" s="3" t="inlineStr">
        <ns0:is>
          <ns0:t>source_evidence</ns0:t>
        </ns0:is>
      </ns0:c>
      <ns0:c r="E29" s="3" t="inlineStr"/>
      <ns0:c r="F29" s="3" t="inlineStr">
        <ns0:is>
          <ns0:t>publisher_article_page_20261017.html</ns0:t>
        </ns0:is>
      </ns0:c>
      <ns0:c r="G29" s="3" t="inlineStr">
        <ns0:is>
          <ns0:t>original_files/R12279/evidence/source_evidence__083539e8f7d9c496.html</ns0:t>
        </ns0:is>
      </ns0:c>
      <ns0:c r="H29" s="3" t="inlineStr">
        <ns0:is>
          <ns0:t>cloud_existing</ns0:t>
        </ns0:is>
      </ns0:c>
      <ns0:c r="I29" s="3" t="inlineStr">
        <ns0:is>
          <ns0:t>original_files/source_evidence/R12279/publisher_article_page_20261017.html</ns0:t>
        </ns0:is>
      </ns0:c>
      <ns0:c r="J29" s="3" t="n">
        <ns0:v>1052882</ns0:v>
      </ns0:c>
      <ns0:c r="K29" s="3" t="inlineStr">
        <ns0:is>
          <ns0:t>083539e8f7d9c496bbe1746e4728f05bb3788c0804283b65c5e9dac9e3501103</ns0:t>
        </ns0:is>
      </ns0:c>
      <ns0:c r="L29" s="3" t="inlineStr">
        <ns0:is>
          <ns0:t>text_readable</ns0:t>
        </ns0:is>
      </ns0:c>
      <ns0:c r="M29" s="3" t="inlineStr"/>
      <ns0:c r="N29" s="3" t="inlineStr"/>
      <ns0:c r="O29" s="3" t="inlineStr">
        <ns0:is>
          <ns0:t>https://github.com/Colliam-Vermilion/FirstCodex/blob/results/ad-oxygen-literature-20261006/results/ad-oxygen-literature-20261006/original_files/R12279/evidence/source_evidence__083539e8f7d9c496.html</ns0:t>
        </ns0:is>
      </ns0:c>
    </ns0:row>
    <ns0:row r="30" ht="48" customHeight="1">
      <ns0:c r="A30" s="2" t="inlineStr">
        <ns0:is>
          <ns0:t>R13817</ns0:t>
        </ns0:is>
      </ns0:c>
      <ns0:c r="B30" s="2" t="inlineStr">
        <ns0:is>
          <ns0:t>Micro-aeration unlocks endogenous nitrogen removal in anaerobic digesters via metabolically versatile fermentative bacteria</ns0:t>
        </ns0:is>
      </ns0:c>
      <ns0:c r="C30" s="2" t="inlineStr">
        <ns0:is>
          <ns0:t>10.1016/j.watres.2026.126838</ns0:t>
        </ns0:is>
      </ns0:c>
      <ns0:c r="D30" s="2" t="inlineStr">
        <ns0:is>
          <ns0:t>fulltext</ns0:t>
        </ns0:is>
      </ns0:c>
      <ns0:c r="E30" s="2" t="inlineStr">
        <ns0:is>
          <ns0:t>出版版（版式及版权文字）</ns0:t>
        </ns0:is>
      </ns0:c>
      <ns0:c r="F30" s="2" t="inlineStr">
        <ns0:is>
          <ns0:t>fulltext.pdf</ns0:t>
        </ns0:is>
      </ns0:c>
      <ns0:c r="G30" s="2" t="inlineStr">
        <ns0:is>
          <ns0:t>original_files/R13817/fulltext/fulltext__published__086e395f087b1b36.pdf</ns0:t>
        </ns0:is>
      </ns0:c>
      <ns0:c r="H30" s="2" t="inlineStr">
        <ns0:is>
          <ns0:t>local_upload</ns0:t>
        </ns0:is>
      </ns0:c>
      <ns0:c r="I30" s="2" t="inlineStr">
        <ns0:is>
          <ns0:t>localdownload/R13817/fulltext.pdf</ns0:t>
        </ns0:is>
      </ns0:c>
      <ns0:c r="J30" s="2" t="n">
        <ns0:v>11918800</ns0:v>
      </ns0:c>
      <ns0:c r="K30" s="2" t="inlineStr">
        <ns0:is>
          <ns0:t>086e395f087b1b36367cf3c6896bfe13ef8bd9bdbcbf414848d0e902f5dd7c08</ns0:t>
        </ns0:is>
      </ns0:c>
      <ns0:c r="L30" s="2" t="inlineStr">
        <ns0:is>
          <ns0:t>identity_and_body_structure_verified</ns0:t>
        </ns0:is>
      </ns0:c>
      <ns0:c r="M30" s="2" t="inlineStr"/>
      <ns0:c r="N30" s="2" t="inlineStr">
        <ns0:is>
          <ns0:t>首页/前两页题名作者或目标DOI核对，全部页面解析及正文结构检查；不据文件名判全文。</ns0:t>
        </ns0:is>
      </ns0:c>
      <ns0:c r="O30" s="2" t="inlineStr">
        <ns0:is>
          <ns0:t>https://github.com/Colliam-Vermilion/FirstCodex/blob/results/ad-oxygen-literature-20261006/results/ad-oxygen-literature-20261006/original_files/R13817/fulltext/fulltext__published__086e395f087b1b36.pdf</ns0:t>
        </ns0:is>
      </ns0:c>
    </ns0:row>
    <ns0:row r="31" ht="48" customHeight="1">
      <ns0:c r="A31" s="3" t="inlineStr">
        <ns0:is>
          <ns0:t>R09221</ns0:t>
        </ns0:is>
      </ns0:c>
      <ns0:c r="B31" s="3" t="inlineStr">
        <ns0:is>
          <ns0:t>Microaerobic condition as pretreatment for improving anaerobic digestion: A review</ns0:t>
        </ns0:is>
      </ns0:c>
      <ns0:c r="C31" s="3" t="inlineStr">
        <ns0:is>
          <ns0:t>10.1016/j.biortech.2023.129249</ns0:t>
        </ns0:is>
      </ns0:c>
      <ns0:c r="D31" s="3" t="inlineStr">
        <ns0:is>
          <ns0:t>supplementary</ns0:t>
        </ns0:is>
      </ns0:c>
      <ns0:c r="E31" s="3" t="inlineStr"/>
      <ns0:c r="F31" s="3" t="inlineStr">
        <ns0:is>
          <ns0:t>supplementary.docx</ns0:t>
        </ns0:is>
      </ns0:c>
      <ns0:c r="G31" s="3" t="inlineStr">
        <ns0:is>
          <ns0:t>original_files/R09221/supplementary/supplementary__093423399e64a11d.docx</ns0:t>
        </ns0:is>
      </ns0:c>
      <ns0:c r="H31" s="3" t="inlineStr">
        <ns0:is>
          <ns0:t>local_upload</ns0:t>
        </ns0:is>
      </ns0:c>
      <ns0:c r="I31" s="3" t="inlineStr">
        <ns0:is>
          <ns0:t>localdownload/R09221/supplementary.docx</ns0:t>
        </ns0:is>
      </ns0:c>
      <ns0:c r="J31" s="3" t="n">
        <ns0:v>59670</ns0:v>
      </ns0:c>
      <ns0:c r="K31" s="3" t="inlineStr">
        <ns0:is>
          <ns0:t>093423399e64a11d134980ef87df6b825ecaea68dcda27f6d462b5f1c32a6078</ns0:t>
        </ns0:is>
      </ns0:c>
      <ns0:c r="L31" s="3" t="inlineStr">
        <ns0:is>
          <ns0:t>container_crc_verified</ns0:t>
        </ns0:is>
      </ns0:c>
      <ns0:c r="M31" s="3" t="inlineStr">
        <ns0:is>
          <ns0:t>title_in_attachment_verified</ns0:t>
        </ns0:is>
      </ns0:c>
      <ns0:c r="N31" s="3" t="inlineStr"/>
      <ns0:c r="O31" s="3" t="inlineStr">
        <ns0:is>
          <ns0:t>https://github.com/Colliam-Vermilion/FirstCodex/blob/results/ad-oxygen-literature-20261006/results/ad-oxygen-literature-20261006/original_files/R09221/supplementary/supplementary__093423399e64a11d.docx</ns0:t>
        </ns0:is>
      </ns0:c>
    </ns0:row>
    <ns0:row r="32" ht="48" customHeight="1">
      <ns0:c r="A32" s="2" t="inlineStr">
        <ns0:is>
          <ns0:t>R02386</ns0:t>
        </ns0:is>
      </ns0:c>
      <ns0:c r="B32" s="2" t="inlineStr">
        <ns0:is>
          <ns0:t>Comparison of micro-aerobic and anaerobic fermentative hydrogen production from corn straw</ns0:t>
        </ns0:is>
      </ns0:c>
      <ns0:c r="C32" s="2" t="inlineStr">
        <ns0:is>
          <ns0:t>10.1016/j.ijhydene.2016.01.141</ns0:t>
        </ns0:is>
      </ns0:c>
      <ns0:c r="D32" s="2" t="inlineStr">
        <ns0:is>
          <ns0:t>supplementary</ns0:t>
        </ns0:is>
      </ns0:c>
      <ns0:c r="E32" s="2" t="inlineStr"/>
      <ns0:c r="F32" s="2" t="inlineStr">
        <ns0:is>
          <ns0:t>supplementary-mmc5.txt</ns0:t>
        </ns0:is>
      </ns0:c>
      <ns0:c r="G32" s="2" t="inlineStr">
        <ns0:is>
          <ns0:t>original_files/R02386/supplementary/supplementary__096f0ab6b5dd328b.txt</ns0:t>
        </ns0:is>
      </ns0:c>
      <ns0:c r="H32" t="inlineStr">
        <ns0:is>
          <ns0:t>local_upload; main@ab8353c误传副本</ns0:t>
        </ns0:is>
      </ns0:c>
      <ns0:c r="I32" t="inlineStr">
        <ns0:is>
          <ns0:t>localdownload/R02386/supplementary-mmc5.txt; main@ab8353c:R02386/supplementary-mmc5.txt</ns0:t>
        </ns0:is>
      </ns0:c>
      <ns0:c r="J32" s="2" t="n">
        <ns0:v>770</ns0:v>
      </ns0:c>
      <ns0:c r="K32" s="2" t="inlineStr">
        <ns0:is>
          <ns0:t>096f0ab6b5dd328bf344f89dcc1f02f6e408c58ab57bcbb26cc9ca0c8c3f08a0</ns0:t>
        </ns0:is>
      </ns0:c>
      <ns0:c r="L32" s="2" t="inlineStr">
        <ns0:is>
          <ns0:t>text_readable</ns0:t>
        </ns0:is>
      </ns0:c>
      <ns0:c r="M32" s="2" t="inlineStr">
        <ns0:is>
          <ns0:t>directory_and_content_consistent_identity_pending</ns0:t>
        </ns0:is>
      </ns0:c>
      <ns0:c r="N32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2" s="2" t="inlineStr">
        <ns0:is>
          <ns0:t>https://github.com/Colliam-Vermilion/FirstCodex/blob/results/ad-oxygen-literature-20261006/results/ad-oxygen-literature-20261006/original_files/R02386/supplementary/supplementary__096f0ab6b5dd328b.txt</ns0:t>
        </ns0:is>
      </ns0:c>
    </ns0:row>
    <ns0:row r="33" ht="48" customHeight="1">
      <ns0:c r="A33" s="3" t="inlineStr">
        <ns0:is>
          <ns0:t>R04177</ns0:t>
        </ns0:is>
      </ns0:c>
      <ns0:c r="B33" s="3" t="inlineStr">
        <ns0:is>
          <ns0:t>Operating characteristics of baffled reactor under microaerobic conditions</ns0:t>
        </ns0:is>
      </ns0:c>
      <ns0:c r="C33" s="3" t="inlineStr">
        <ns0:is>
          <ns0:t>10.5004/dwt.2018.22410</ns0:t>
        </ns0:is>
      </ns0:c>
      <ns0:c r="D33" s="3" t="inlineStr">
        <ns0:is>
          <ns0:t>fulltext</ns0:t>
        </ns0:is>
      </ns0:c>
      <ns0:c r="E33" s="3" t="inlineStr">
        <ns0:is>
          <ns0:t>出版版本（原页出版信息）</ns0:t>
        </ns0:is>
      </ns0:c>
      <ns0:c r="F33" s="3" t="inlineStr">
        <ns0:is>
          <ns0:t>R04177_2018_Operating_characteristics_of_baffled_reactor_under_microaerobic_conditions.pdf</ns0:t>
        </ns0:is>
      </ns0:c>
      <ns0:c r="G33" s="3" t="inlineStr">
        <ns0:is>
          <ns0:t>original_files/R04177/fulltext/fulltext__published__09b0de58af2ff1e6.pdf</ns0:t>
        </ns0:is>
      </ns0:c>
      <ns0:c r="H33" s="3" t="inlineStr">
        <ns0:is>
          <ns0:t>cloud_existing</ns0:t>
        </ns0:is>
      </ns0:c>
      <ns0:c r="I33" s="3" t="inlineStr">
        <ns0:is>
          <ns0:t>original_files/fulltext/R04177_2018_Operating_characteristics_of_baffled_reactor_under_microaerobic_conditions.pdf</ns0:t>
        </ns0:is>
      </ns0:c>
      <ns0:c r="J33" s="3" t="n">
        <ns0:v>446033</ns0:v>
      </ns0:c>
      <ns0:c r="K33" s="3" t="inlineStr">
        <ns0:is>
          <ns0:t>09b0de58af2ff1e679e24cecf4a4a617fa2a0e539dc66351e2edb4076d2e7b72</ns0:t>
        </ns0:is>
      </ns0:c>
      <ns0:c r="L33" s="3" t="inlineStr">
        <ns0:is>
          <ns0:t>identity_and_body_structure_verified</ns0:t>
        </ns0:is>
      </ns0:c>
      <ns0:c r="M33" s="3" t="inlineStr"/>
      <ns0:c r="N33" s="3" t="inlineStr">
        <ns0:is>
          <ns0:t>首页/前两页题名作者或目标DOI核对，全部页面解析及正文结构检查；不据文件名判全文。</ns0:t>
        </ns0:is>
      </ns0:c>
      <ns0:c r="O33" s="3" t="inlineStr">
        <ns0:is>
          <ns0:t>https://github.com/Colliam-Vermilion/FirstCodex/blob/results/ad-oxygen-literature-20261006/results/ad-oxygen-literature-20261006/original_files/R04177/fulltext/fulltext__published__09b0de58af2ff1e6.pdf</ns0:t>
        </ns0:is>
      </ns0:c>
    </ns0:row>
    <ns0:row r="34" ht="48" customHeight="1">
      <ns0:c r="A34" s="2" t="inlineStr">
        <ns0:is>
          <ns0:t>R11041</ns0:t>
        </ns0:is>
      </ns0:c>
      <ns0:c r="B34" s="2" t="inlineStr">
        <ns0:is>
          <ns0:t>A novel microbubbles-assisted Fe-C micro-electrolysis system to bridge the anaerobic digestion and microalgae cultivation: the dual drive of electron transfer and coagulation</ns0:t>
        </ns0:is>
      </ns0:c>
      <ns0:c r="C34" s="2" t="inlineStr">
        <ns0:is>
          <ns0:t>10.1016/j.cej.2025.164185</ns0:t>
        </ns0:is>
      </ns0:c>
      <ns0:c r="D34" s="2" t="inlineStr">
        <ns0:is>
          <ns0:t>fulltext</ns0:t>
        </ns0:is>
      </ns0:c>
      <ns0:c r="E34" s="2" t="inlineStr">
        <ns0:is>
          <ns0:t>出版版（版式及版权文字）</ns0:t>
        </ns0:is>
      </ns0:c>
      <ns0:c r="F34" s="2" t="inlineStr">
        <ns0:is>
          <ns0:t>fulltext.pdf</ns0:t>
        </ns0:is>
      </ns0:c>
      <ns0:c r="G34" s="2" t="inlineStr">
        <ns0:is>
          <ns0:t>original_files/R11041/fulltext/fulltext__published__09bf83ca76152924.pdf</ns0:t>
        </ns0:is>
      </ns0:c>
      <ns0:c r="H34" s="2" t="inlineStr">
        <ns0:is>
          <ns0:t>local_upload</ns0:t>
        </ns0:is>
      </ns0:c>
      <ns0:c r="I34" s="2" t="inlineStr">
        <ns0:is>
          <ns0:t>localdownload/R11041/fulltext.pdf</ns0:t>
        </ns0:is>
      </ns0:c>
      <ns0:c r="J34" s="2" t="n">
        <ns0:v>11337612</ns0:v>
      </ns0:c>
      <ns0:c r="K34" s="2" t="inlineStr">
        <ns0:is>
          <ns0:t>09bf83ca76152924f159c90fae39906a30c5c22c859a35f4e0c02229dda8194e</ns0:t>
        </ns0:is>
      </ns0:c>
      <ns0:c r="L34" s="2" t="inlineStr">
        <ns0:is>
          <ns0:t>identity_and_body_structure_verified</ns0:t>
        </ns0:is>
      </ns0:c>
      <ns0:c r="M34" s="2" t="inlineStr"/>
      <ns0:c r="N34" s="2" t="inlineStr">
        <ns0:is>
          <ns0:t>首页/前两页题名作者或目标DOI核对，全部页面解析及正文结构检查；不据文件名判全文。</ns0:t>
        </ns0:is>
      </ns0:c>
      <ns0:c r="O34" s="2" t="inlineStr">
        <ns0:is>
          <ns0:t>https://github.com/Colliam-Vermilion/FirstCodex/blob/results/ad-oxygen-literature-20261006/results/ad-oxygen-literature-20261006/original_files/R11041/fulltext/fulltext__published__09bf83ca76152924.pdf</ns0:t>
        </ns0:is>
      </ns0:c>
    </ns0:row>
    <ns0:row r="35" ht="48" customHeight="1">
      <ns0:c r="A35" s="3" t="inlineStr">
        <ns0:is>
          <ns0:t>R13954</ns0:t>
        </ns0:is>
      </ns0:c>
      <ns0:c r="B35" s="3" t="inlineStr">
        <ns0:is>
          <ns0:t>Pre‐treatment with Trichoderma viride : Towards a better understanding of its consequences for anaerobic digestion</ns0:t>
        </ns0:is>
      </ns0:c>
      <ns0:c r="C35" s="3" t="inlineStr">
        <ns0:is>
          <ns0:t>10.1111/1758-2229.13281</ns0:t>
        </ns0:is>
      </ns0:c>
      <ns0:c r="D35" s="3" t="inlineStr">
        <ns0:is>
          <ns0:t>fulltext</ns0:t>
        </ns0:is>
      </ns0:c>
      <ns0:c r="E35" s="3" t="inlineStr">
        <ns0:is>
          <ns0:t>出版版（版式及版权文字）</ns0:t>
        </ns0:is>
      </ns0:c>
      <ns0:c r="F35" s="3" t="inlineStr">
        <ns0:is>
          <ns0:t>fulltext.pdf</ns0:t>
        </ns0:is>
      </ns0:c>
      <ns0:c r="G35" s="3" t="inlineStr">
        <ns0:is>
          <ns0:t>original_files/R13954/fulltext/fulltext__published__09fac20b7a04ff4f.pdf</ns0:t>
        </ns0:is>
      </ns0:c>
      <ns0:c r="H35" s="3" t="inlineStr">
        <ns0:is>
          <ns0:t>local_upload</ns0:t>
        </ns0:is>
      </ns0:c>
      <ns0:c r="I35" s="3" t="inlineStr">
        <ns0:is>
          <ns0:t>localdownload/R13954/fulltext.pdf</ns0:t>
        </ns0:is>
      </ns0:c>
      <ns0:c r="J35" s="3" t="n">
        <ns0:v>11182570</ns0:v>
      </ns0:c>
      <ns0:c r="K35" s="3" t="inlineStr">
        <ns0:is>
          <ns0:t>09fac20b7a04ff4f9a81c94c1339604f891d1b3bf6fb04891dc8d5cf1cb86f36</ns0:t>
        </ns0:is>
      </ns0:c>
      <ns0:c r="L35" s="3" t="inlineStr">
        <ns0:is>
          <ns0:t>identity_and_body_structure_verified</ns0:t>
        </ns0:is>
      </ns0:c>
      <ns0:c r="M35" s="3" t="inlineStr"/>
      <ns0:c r="N35" s="3" t="inlineStr">
        <ns0:is>
          <ns0:t>首页/前两页题名作者或目标DOI核对，全部页面解析及正文结构检查；不据文件名判全文。</ns0:t>
        </ns0:is>
      </ns0:c>
      <ns0:c r="O35" s="3" t="inlineStr">
        <ns0:is>
          <ns0:t>https://github.com/Colliam-Vermilion/FirstCodex/blob/results/ad-oxygen-literature-20261006/results/ad-oxygen-literature-20261006/original_files/R13954/fulltext/fulltext__published__09fac20b7a04ff4f.pdf</ns0:t>
        </ns0:is>
      </ns0:c>
    </ns0:row>
    <ns0:row r="36" ht="48" customHeight="1">
      <ns0:c r="A36" s="2" t="inlineStr">
        <ns0:is>
          <ns0:t>R04721</ns0:t>
        </ns0:is>
      </ns0:c>
      <ns0:c r="B36" s="2" t="inlineStr">
        <ns0:is>
          <ns0:t>Effects of Gas Supplying Patterns on Aerobic Anaerobic Biogas Production of Rice Straw</ns0:t>
        </ns0:is>
      </ns0:c>
      <ns0:c r="C36" s="2" t="inlineStr">
        <ns0:is>
          <ns0:t>10.2174/1574893613666180502112425</ns0:t>
        </ns0:is>
      </ns0:c>
      <ns0:c r="D36" s="2" t="inlineStr">
        <ns0:is>
          <ns0:t>uncertain</ns0:t>
        </ns0:is>
      </ns0:c>
      <ns0:c r="E36" s="2" t="inlineStr"/>
      <ns0:c r="F36" s="2" t="inlineStr">
        <ns0:is>
          <ns0:t>R04721_2019_Effects_of_Gas_Supplying_Patterns_on_Aerobic_Anaerobic_Biogas_Production_of_Rice_Straw_0a35490689f2.pdf; R02863_2016_Transformations_Inhibition_and_Inhibition_Control_Methods_of_Sulfur_in_Sludge_Anaerobic_Digestion_A__0a35490689f2.pdf</ns0:t>
        </ns0:is>
      </ns0:c>
      <ns0:c r="G36" s="2" t="inlineStr">
        <ns0:is>
          <ns0:t>original_files/R04721/uncertain/uncertain__0a35490689f20fcd.pdf</ns0:t>
        </ns0:is>
      </ns0:c>
      <ns0:c r="H36" s="2" t="inlineStr">
        <ns0:is>
          <ns0:t>cloud_existing</ns0:t>
        </ns0:is>
      </ns0:c>
      <ns0:c r="I36" s="2" t="inlineStr">
        <ns0:is>
          <ns0:t>original_files/continuation_20261017/candidates/R04721_2019_Effects_of_Gas_Supplying_Patterns_on_Aerobic_Anaerobic_Biogas_Production_of_Rice_Straw_0a35490689f2.pdf; original_files/continuation_20261017/candidates/R02863_2016_Transformations_Inhibition_and_Inhibition_Control_Methods_of_Sulfur_in_Sludge_Anaerobic_Digestion_A__0a35490689f2.pdf</ns0:t>
        </ns0:is>
      </ns0:c>
      <ns0:c r="J36" s="2" t="n">
        <ns0:v>27324975</ns0:v>
      </ns0:c>
      <ns0:c r="K36" s="2" t="inlineStr">
        <ns0:is>
          <ns0:t>0a35490689f20fcdf545c62ad72ec53de397f47988b1957d89f675b32c5c36f5</ns0:t>
        </ns0:is>
      </ns0:c>
      <ns0:c r="L36" s="2" t="inlineStr">
        <ns0:is>
          <ns0:t>historical_candidate_not_target_fulltext</ns0:t>
        </ns0:is>
      </ns0:c>
      <ns0:c r="M36" s="2" t="inlineStr"/>
      <ns0:c r="N36" s="2" t="inlineStr">
        <ns0:is>
          <ns0:t>历史候选抓取物：出版商目录/广告、期刊索引或检索页等，目标身份及正文不成立；原件保留，不计全文或科研补充材料。</ns0:t>
        </ns0:is>
      </ns0:c>
      <ns0:c r="O36" s="2" t="inlineStr">
        <ns0:is>
          <ns0:t>https://github.com/Colliam-Vermilion/FirstCodex/blob/results/ad-oxygen-literature-20261006/results/ad-oxygen-literature-20261006/original_files/R04721/uncertain/uncertain__0a35490689f20fcd.pdf</ns0:t>
        </ns0:is>
      </ns0:c>
    </ns0:row>
    <ns0:row r="37" ht="48" customHeight="1">
      <ns0:c r="A37" s="3" t="inlineStr">
        <ns0:is>
          <ns0:t>R13951</ns0:t>
        </ns0:is>
      </ns0:c>
      <ns0:c r="B37" s="3" t="inlineStr">
        <ns0:is>
          <ns0:t>Biological pre-treatment: Enhancing biogas production using the highly cellulolytic fungus Trichoderma viride</ns0:t>
        </ns0:is>
      </ns0:c>
      <ns0:c r="C37" s="3" t="inlineStr">
        <ns0:is>
          <ns0:t>10.1016/j.wasman.2015.05.011</ns0:t>
        </ns0:is>
      </ns0:c>
      <ns0:c r="D37" s="3" t="inlineStr">
        <ns0:is>
          <ns0:t>fulltext</ns0:t>
        </ns0:is>
      </ns0:c>
      <ns0:c r="E37" s="3" t="inlineStr">
        <ns0:is>
          <ns0:t>出版版（版式及版权文字）</ns0:t>
        </ns0:is>
      </ns0:c>
      <ns0:c r="F37" s="3" t="inlineStr">
        <ns0:is>
          <ns0:t>fulltext.pdf</ns0:t>
        </ns0:is>
      </ns0:c>
      <ns0:c r="G37" s="3" t="inlineStr">
        <ns0:is>
          <ns0:t>original_files/R13951/fulltext/fulltext__published__0a4181c44f2c2a28.pdf</ns0:t>
        </ns0:is>
      </ns0:c>
      <ns0:c r="H37" s="3" t="inlineStr">
        <ns0:is>
          <ns0:t>local_upload</ns0:t>
        </ns0:is>
      </ns0:c>
      <ns0:c r="I37" s="3" t="inlineStr">
        <ns0:is>
          <ns0:t>localdownload/R13951/fulltext.pdf</ns0:t>
        </ns0:is>
      </ns0:c>
      <ns0:c r="J37" s="3" t="n">
        <ns0:v>643914</ns0:v>
      </ns0:c>
      <ns0:c r="K37" s="3" t="inlineStr">
        <ns0:is>
          <ns0:t>0a4181c44f2c2a286a1b303437b46a9f951220fd0acbdb83f8c8490634c9852c</ns0:t>
        </ns0:is>
      </ns0:c>
      <ns0:c r="L37" s="3" t="inlineStr">
        <ns0:is>
          <ns0:t>identity_and_body_structure_verified</ns0:t>
        </ns0:is>
      </ns0:c>
      <ns0:c r="M37" s="3" t="inlineStr"/>
      <ns0:c r="N37" s="3" t="inlineStr">
        <ns0:is>
          <ns0:t>首页/前两页题名作者或目标DOI核对，全部页面解析及正文结构检查；不据文件名判全文。</ns0:t>
        </ns0:is>
      </ns0:c>
      <ns0:c r="O37" s="3" t="inlineStr">
        <ns0:is>
          <ns0:t>https://github.com/Colliam-Vermilion/FirstCodex/blob/results/ad-oxygen-literature-20261006/results/ad-oxygen-literature-20261006/original_files/R13951/fulltext/fulltext__published__0a4181c44f2c2a28.pdf</ns0:t>
        </ns0:is>
      </ns0:c>
    </ns0:row>
    <ns0:row r="38" ht="48" customHeight="1">
      <ns0:c r="A38" s="2" t="inlineStr">
        <ns0:is>
          <ns0:t>R10290</ns0:t>
        </ns0:is>
      </ns0:c>
      <ns0:c r="B38" s="2" t="inlineStr">
        <ns0:is>
          <ns0:t>Gas nanobubble technology in wastewater treatment and anaerobic digestion</ns0:t>
        </ns0:is>
      </ns0:c>
      <ns0:c r="C38" s="2" t="inlineStr">
        <ns0:is>
          <ns0:t>10.34135/nbc.2100</ns0:t>
        </ns0:is>
      </ns0:c>
      <ns0:c r="D38" s="2" t="inlineStr">
        <ns0:is>
          <ns0:t>fulltext</ns0:t>
        </ns0:is>
      </ns0:c>
      <ns0:c r="E38" s="2" t="inlineStr">
        <ns0:is>
          <ns0:t>出版版本（原页出版信息）</ns0:t>
        </ns0:is>
      </ns0:c>
      <ns0:c r="F38" s="2" t="inlineStr">
        <ns0:is>
          <ns0:t>R10290_2024_Gas_nanobubble_technology_in_wastewater_treatment_and_anaerobic_digestion.pdf</ns0:t>
        </ns0:is>
      </ns0:c>
      <ns0:c r="G38" s="2" t="inlineStr">
        <ns0:is>
          <ns0:t>original_files/R10290/fulltext/fulltext__published__0a63bc6c89e8dff8.pdf</ns0:t>
        </ns0:is>
      </ns0:c>
      <ns0:c r="H38" s="2" t="inlineStr">
        <ns0:is>
          <ns0:t>cloud_existing</ns0:t>
        </ns0:is>
      </ns0:c>
      <ns0:c r="I38" s="2" t="inlineStr">
        <ns0:is>
          <ns0:t>original_files/fulltext/R10290_2024_Gas_nanobubble_technology_in_wastewater_treatment_and_anaerobic_digestion.pdf</ns0:t>
        </ns0:is>
      </ns0:c>
      <ns0:c r="J38" s="2" t="n">
        <ns0:v>530753</ns0:v>
      </ns0:c>
      <ns0:c r="K38" s="2" t="inlineStr">
        <ns0:is>
          <ns0:t>0a63bc6c89e8dff87ff1b364322ce6738e4fc87f505478ef522e7c73b7db342f</ns0:t>
        </ns0:is>
      </ns0:c>
      <ns0:c r="L38" s="2" t="inlineStr">
        <ns0:is>
          <ns0:t>identity_and_body_structure_verified</ns0:t>
        </ns0:is>
      </ns0:c>
      <ns0:c r="M38" s="2" t="inlineStr"/>
      <ns0:c r="N38" s="2" t="inlineStr">
        <ns0:is>
          <ns0:t>首页/前两页题名作者或目标DOI核对，全部页面解析及正文结构检查；不据文件名判全文。</ns0:t>
        </ns0:is>
      </ns0:c>
      <ns0:c r="O38" s="2" t="inlineStr">
        <ns0:is>
          <ns0:t>https://github.com/Colliam-Vermilion/FirstCodex/blob/results/ad-oxygen-literature-20261006/results/ad-oxygen-literature-20261006/original_files/R10290/fulltext/fulltext__published__0a63bc6c89e8dff8.pdf</ns0:t>
        </ns0:is>
      </ns0:c>
    </ns0:row>
    <ns0:row r="39" ht="48" customHeight="1">
      <ns0:c r="A39" s="3" t="inlineStr">
        <ns0:is>
          <ns0:t>R05396</ns0:t>
        </ns0:is>
      </ns0:c>
      <ns0:c r="B39" s="3" t="inlineStr">
        <ns0:is>
          <ns0:t>Bio-pretreatment promote hydrolysis and acidification of oilseed rape straw: Roles of fermentation broth and micro-oxygen</ns0:t>
        </ns0:is>
      </ns0:c>
      <ns0:c r="C39" s="3" t="inlineStr">
        <ns0:is>
          <ns0:t>10.1016/j.biortech.2020.123272</ns0:t>
        </ns0:is>
      </ns0:c>
      <ns0:c r="D39" s="3" t="inlineStr">
        <ns0:is>
          <ns0:t>fulltext</ns0:t>
        </ns0:is>
      </ns0:c>
      <ns0:c r="E39" s="3" t="inlineStr">
        <ns0:is>
          <ns0:t>出版版（版式及版权文字）</ns0:t>
        </ns0:is>
      </ns0:c>
      <ns0:c r="F39" s="3" t="inlineStr">
        <ns0:is>
          <ns0:t>fulltext.pdf</ns0:t>
        </ns0:is>
      </ns0:c>
      <ns0:c r="G39" s="3" t="inlineStr">
        <ns0:is>
          <ns0:t>original_files/R05396/fulltext/fulltext__published__0a746b3ef69be3a5.pdf</ns0:t>
        </ns0:is>
      </ns0:c>
      <ns0:c r="H39" s="3" t="inlineStr">
        <ns0:is>
          <ns0:t>local_upload</ns0:t>
        </ns0:is>
      </ns0:c>
      <ns0:c r="I39" s="3" t="inlineStr">
        <ns0:is>
          <ns0:t>localdownload/R05396/fulltext.pdf</ns0:t>
        </ns0:is>
      </ns0:c>
      <ns0:c r="J39" s="3" t="n">
        <ns0:v>1405110</ns0:v>
      </ns0:c>
      <ns0:c r="K39" s="3" t="inlineStr">
        <ns0:is>
          <ns0:t>0a746b3ef69be3a5b775f72e10dc44c95fe93c381373a8c5ecae4eb65f83a4f5</ns0:t>
        </ns0:is>
      </ns0:c>
      <ns0:c r="L39" s="3" t="inlineStr">
        <ns0:is>
          <ns0:t>identity_and_body_structure_verified</ns0:t>
        </ns0:is>
      </ns0:c>
      <ns0:c r="M39" s="3" t="inlineStr"/>
      <ns0:c r="N39" s="3" t="inlineStr">
        <ns0:is>
          <ns0:t>首页/前两页题名作者或目标DOI核对，全部页面解析及正文结构检查；不据文件名判全文。</ns0:t>
        </ns0:is>
      </ns0:c>
      <ns0:c r="O39" s="3" t="inlineStr">
        <ns0:is>
          <ns0:t>https://github.com/Colliam-Vermilion/FirstCodex/blob/results/ad-oxygen-literature-20261006/results/ad-oxygen-literature-20261006/original_files/R05396/fulltext/fulltext__published__0a746b3ef69be3a5.pdf</ns0:t>
        </ns0:is>
      </ns0:c>
    </ns0:row>
    <ns0:row r="40" ht="48" customHeight="1">
      <ns0:c r="A40" s="2" t="inlineStr">
        <ns0:is>
          <ns0:t>R01414</ns0:t>
        </ns0:is>
      </ns0:c>
      <ns0:c r="B40" s="2" t="inlineStr">
        <ns0:is>
          <ns0:t>Oxidation reduction potential as a parameter to regulate micro-oxygen injection into anaerobic digester for reducing hydrogen sulphide concentration in biogas</ns0:t>
        </ns0:is>
      </ns0:c>
      <ns0:c r="C40" s="2" t="inlineStr">
        <ns0:is>
          <ns0:t>10.1016/j.biortech.2014.09.052</ns0:t>
        </ns0:is>
      </ns0:c>
      <ns0:c r="D40" s="2" t="inlineStr">
        <ns0:is>
          <ns0:t>supplementary</ns0:t>
        </ns0:is>
      </ns0:c>
      <ns0:c r="E40" s="2" t="inlineStr"/>
      <ns0:c r="F40" s="2" t="inlineStr">
        <ns0:is>
          <ns0:t>supplementary.docx</ns0:t>
        </ns0:is>
      </ns0:c>
      <ns0:c r="G40" s="2" t="inlineStr">
        <ns0:is>
          <ns0:t>original_files/R01414/supplementary/supplementary__0b2884c05d320076.docx</ns0:t>
        </ns0:is>
      </ns0:c>
      <ns0:c r="H40" s="2" t="inlineStr">
        <ns0:is>
          <ns0:t>local_upload</ns0:t>
        </ns0:is>
      </ns0:c>
      <ns0:c r="I40" s="2" t="inlineStr">
        <ns0:is>
          <ns0:t>localdownload/R01414/supplementary.docx</ns0:t>
        </ns0:is>
      </ns0:c>
      <ns0:c r="J40" s="2" t="n">
        <ns0:v>553101</ns0:v>
      </ns0:c>
      <ns0:c r="K40" s="2" t="inlineStr">
        <ns0:is>
          <ns0:t>0b2884c05d320076b34c119eee0262250395b30a4ae5bde7806b3fe21e173267</ns0:t>
        </ns0:is>
      </ns0:c>
      <ns0:c r="L40" s="2" t="inlineStr">
        <ns0:is>
          <ns0:t>container_crc_verified</ns0:t>
        </ns0:is>
      </ns0:c>
      <ns0:c r="M40" s="2" t="inlineStr">
        <ns0:is>
          <ns0:t>title_in_attachment_verified</ns0:t>
        </ns0:is>
      </ns0:c>
      <ns0:c r="N40" s="2" t="inlineStr"/>
      <ns0:c r="O40" s="2" t="inlineStr">
        <ns0:is>
          <ns0:t>https://github.com/Colliam-Vermilion/FirstCodex/blob/results/ad-oxygen-literature-20261006/results/ad-oxygen-literature-20261006/original_files/R01414/supplementary/supplementary__0b2884c05d320076.docx</ns0:t>
        </ns0:is>
      </ns0:c>
    </ns0:row>
    <ns0:row r="41" ht="48" customHeight="1">
      <ns0:c r="A41" s="3" t="inlineStr">
        <ns0:is>
          <ns0:t>R11596</ns0:t>
        </ns0:is>
      </ns0:c>
      <ns0:c r="B41" s="3" t="inlineStr">
        <ns0:is>
          <ns0:t>Facultative anaerobic bacteria enable syntrophic fatty acids degradation under micro-aerobic conditions</ns0:t>
        </ns0:is>
      </ns0:c>
      <ns0:c r="C41" s="3" t="inlineStr">
        <ns0:is>
          <ns0:t>10.1016/j.biortech.2024.131829</ns0:t>
        </ns0:is>
      </ns0:c>
      <ns0:c r="D41" s="3" t="inlineStr">
        <ns0:is>
          <ns0:t>fulltext</ns0:t>
        </ns0:is>
      </ns0:c>
      <ns0:c r="E41" s="3" t="inlineStr">
        <ns0:is>
          <ns0:t>Version of Record / publisher-formatted final journal PDF</ns0:t>
        </ns0:is>
      </ns0:c>
      <ns0:c r="F41" s="3" t="inlineStr">
        <ns0:is>
          <ns0:t>R11596_2025_Facultative_anaerobic_bacteria_enable_syntrophic_fatty_acids_degradation_under_0b2e2d98dffd.pdf</ns0:t>
        </ns0:is>
      </ns0:c>
      <ns0:c r="G41" s="3" t="inlineStr">
        <ns0:is>
          <ns0:t>original_files/R11596/fulltext/fulltext__version_unverified__0b2e2d98dffd5449.pdf</ns0:t>
        </ns0:is>
      </ns0:c>
      <ns0:c r="H41" s="3" t="inlineStr">
        <ns0:is>
          <ns0:t>cloud_existing</ns0:t>
        </ns0:is>
      </ns0:c>
      <ns0:c r="I41" s="3" t="inlineStr">
        <ns0:is>
          <ns0:t>original_files/fulltext/R11596_2025_Facultative_anaerobic_bacteria_enable_syntrophic_fatty_acids_degradation_under_0b2e2d98dffd.pdf</ns0:t>
        </ns0:is>
      </ns0:c>
      <ns0:c r="J41" s="3" t="n">
        <ns0:v>1659399</ns0:v>
      </ns0:c>
      <ns0:c r="K41" s="3" t="inlineStr">
        <ns0:is>
          <ns0:t>0b2e2d98dffd544958b06cc2229d310e4b7d529bd3914c47f20d6a66789a28be</ns0:t>
        </ns0:is>
      </ns0:c>
      <ns0:c r="L41" s="3" t="inlineStr">
        <ns0:is>
          <ns0:t>identity_and_body_structure_verified</ns0:t>
        </ns0:is>
      </ns0:c>
      <ns0:c r="M41" s="3" t="inlineStr"/>
      <ns0:c r="N41" s="3" t="inlineStr">
        <ns0:is>
          <ns0:t>首页/前两页题名作者或目标DOI核对，全部页面解析及正文结构检查；不据文件名判全文。</ns0:t>
        </ns0:is>
      </ns0:c>
      <ns0:c r="O41" s="3" t="inlineStr">
        <ns0:is>
          <ns0:t>https://github.com/Colliam-Vermilion/FirstCodex/blob/results/ad-oxygen-literature-20261006/results/ad-oxygen-literature-20261006/original_files/R11596/fulltext/fulltext__version_unverified__0b2e2d98dffd5449.pdf</ns0:t>
        </ns0:is>
      </ns0:c>
    </ns0:row>
    <ns0:row r="42" ht="48" customHeight="1">
      <ns0:c r="A42" s="2" t="inlineStr">
        <ns0:is>
          <ns0:t>R07238</ns0:t>
        </ns0:is>
      </ns0:c>
      <ns0:c r="B42" s="2" t="inlineStr">
        <ns0:is>
          <ns0:t>The influence of combined low-strength ultrasonics and micro-aerobic pretreatment process on methane generation and sludge digestion: Lipase enzyme, microbial activation, and energy yield</ns0:t>
        </ns0:is>
      </ns0:c>
      <ns0:c r="C42" s="2" t="inlineStr">
        <ns0:is>
          <ns0:t>10.1016/j.ultsonch.2021.105531</ns0:t>
        </ns0:is>
      </ns0:c>
      <ns0:c r="D42" s="2" t="inlineStr">
        <ns0:is>
          <ns0:t>supplementary</ns0:t>
        </ns0:is>
      </ns0:c>
      <ns0:c r="E42" s="2" t="inlineStr"/>
      <ns0:c r="F42" s="2" t="inlineStr">
        <ns0:is>
          <ns0:t>mmc1.docx</ns0:t>
        </ns0:is>
      </ns0:c>
      <ns0:c r="G42" s="2" t="inlineStr">
        <ns0:is>
          <ns0:t>original_files/R07238/supplementary/supplementary__0b7925ad1ed9c793.docx</ns0:t>
        </ns0:is>
      </ns0:c>
      <ns0:c r="H42" s="2" t="inlineStr">
        <ns0:is>
          <ns0:t>cloud_existing</ns0:t>
        </ns0:is>
      </ns0:c>
      <ns0:c r="I42" s="2" t="inlineStr">
        <ns0:is>
          <ns0:t>original_files/supplementary/R07238/mmc1.docx</ns0:t>
        </ns0:is>
      </ns0:c>
      <ns0:c r="J42" s="2" t="n">
        <ns0:v>49526</ns0:v>
      </ns0:c>
      <ns0:c r="K42" s="2" t="inlineStr">
        <ns0:is>
          <ns0:t>0b7925ad1ed9c7939a79ba6294d17abc4b23fca77e52ec50df5463d050940d1e</ns0:t>
        </ns0:is>
      </ns0:c>
      <ns0:c r="L42" s="2" t="inlineStr">
        <ns0:is>
          <ns0:t>container_crc_verified</ns0:t>
        </ns0:is>
      </ns0:c>
      <ns0:c r="M42" s="2" t="inlineStr">
        <ns0:is>
          <ns0:t>existing_official_attachment_evidence_retained</ns0:t>
        </ns0:is>
      </ns0:c>
      <ns0:c r="N42" s="2" t="inlineStr"/>
      <ns0:c r="O42" s="2" t="inlineStr">
        <ns0:is>
          <ns0:t>https://github.com/Colliam-Vermilion/FirstCodex/blob/results/ad-oxygen-literature-20261006/results/ad-oxygen-literature-20261006/original_files/R07238/supplementary/supplementary__0b7925ad1ed9c793.docx</ns0:t>
        </ns0:is>
      </ns0:c>
    </ns0:row>
    <ns0:row r="43" ht="48" customHeight="1">
      <ns0:c r="A43" s="3" t="inlineStr">
        <ns0:is>
          <ns0:t>R11751</ns0:t>
        </ns0:is>
      </ns0:c>
      <ns0:c r="B43" s="3" t="inlineStr">
        <ns0:is>
          <ns0:t>Intermittent Microaeration Enhanced Anaerobic Digestion: The Key Role of Fe(III)/Fe(II) Cycle and Reactive Oxygen Species</ns0:t>
        </ns0:is>
      </ns0:c>
      <ns0:c r="C43" s="3" t="inlineStr">
        <ns0:is>
          <ns0:t>10.1021/acs.est.5c04187</ns0:t>
        </ns0:is>
      </ns0:c>
      <ns0:c r="D43" s="3" t="inlineStr">
        <ns0:is>
          <ns0:t>supplementary</ns0:t>
        </ns0:is>
      </ns0:c>
      <ns0:c r="E43" s="3" t="inlineStr"/>
      <ns0:c r="F43" s="3" t="inlineStr">
        <ns0:is>
          <ns0:t>supplementary.pdf</ns0:t>
        </ns0:is>
      </ns0:c>
      <ns0:c r="G43" s="3" t="inlineStr">
        <ns0:is>
          <ns0:t>original_files/R11751/supplementary/supplementary__0bb73736e985bad3.pdf</ns0:t>
        </ns0:is>
      </ns0:c>
      <ns0:c r="H43" s="3" t="inlineStr">
        <ns0:is>
          <ns0:t>local_upload</ns0:t>
        </ns0:is>
      </ns0:c>
      <ns0:c r="I43" s="3" t="inlineStr">
        <ns0:is>
          <ns0:t>localdownload/R11751/supplementary.pdf</ns0:t>
        </ns0:is>
      </ns0:c>
      <ns0:c r="J43" s="3" t="n">
        <ns0:v>348899</ns0:v>
      </ns0:c>
      <ns0:c r="K43" s="3" t="inlineStr">
        <ns0:is>
          <ns0:t>0bb73736e985bad328ad00eecf5af2af45d581a28ff08d5b6c6eacfff8598d94</ns0:t>
        </ns0:is>
      </ns0:c>
      <ns0:c r="L43" s="3" t="inlineStr">
        <ns0:is>
          <ns0:t>pdf_readable_requires_role_review</ns0:t>
        </ns0:is>
      </ns0:c>
      <ns0:c r="M43" s="3" t="inlineStr">
        <ns0:is>
          <ns0:t>directory_and_content_consistent_identity_pending</ns0:t>
        </ns0:is>
      </ns0:c>
      <ns0:c r="N43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3" s="3" t="inlineStr">
        <ns0:is>
          <ns0:t>https://github.com/Colliam-Vermilion/FirstCodex/blob/results/ad-oxygen-literature-20261006/results/ad-oxygen-literature-20261006/original_files/R11751/supplementary/supplementary__0bb73736e985bad3.pdf</ns0:t>
        </ns0:is>
      </ns0:c>
    </ns0:row>
    <ns0:row r="44" ht="48" customHeight="1">
      <ns0:c r="A44" s="2" t="inlineStr">
        <ns0:is>
          <ns0:t>R06036</ns0:t>
        </ns0:is>
      </ns0:c>
      <ns0:c r="B44" s="2" t="inlineStr">
        <ns0:is>
          <ns0:t>Rapid hydrogen generation from cotton wastes by mean of dark fermentation</ns0:t>
        </ns0:is>
      </ns0:c>
      <ns0:c r="C44" s="2" t="inlineStr">
        <ns0:is>
          <ns0:t>10.1007/s42452-020-03247-3</ns0:t>
        </ns0:is>
      </ns0:c>
      <ns0:c r="D44" s="2" t="inlineStr">
        <ns0:is>
          <ns0:t>fulltext</ns0:t>
        </ns0:is>
      </ns0:c>
      <ns0:c r="E44" s="2" t="inlineStr">
        <ns0:is>
          <ns0:t>出版版本（原页出版信息）</ns0:t>
        </ns0:is>
      </ns0:c>
      <ns0:c r="F44" s="2" t="inlineStr">
        <ns0:is>
          <ns0:t>fulltext.pdf</ns0:t>
        </ns0:is>
      </ns0:c>
      <ns0:c r="G44" s="2" t="inlineStr">
        <ns0:is>
          <ns0:t>original_files/R06036/fulltext/fulltext__published__0bdc7b19fdb70091.pdf</ns0:t>
        </ns0:is>
      </ns0:c>
      <ns0:c r="H44" s="2" t="inlineStr">
        <ns0:is>
          <ns0:t>local_upload</ns0:t>
        </ns0:is>
      </ns0:c>
      <ns0:c r="I44" s="2" t="inlineStr">
        <ns0:is>
          <ns0:t>localdownload/R06036/fulltext.pdf</ns0:t>
        </ns0:is>
      </ns0:c>
      <ns0:c r="J44" s="2" t="n">
        <ns0:v>927168</ns0:v>
      </ns0:c>
      <ns0:c r="K44" s="2" t="inlineStr">
        <ns0:is>
          <ns0:t>0bdc7b19fdb700910361bf68b9c874d8a5c51772418f9d267f9163e360dc4b27</ns0:t>
        </ns0:is>
      </ns0:c>
      <ns0:c r="L44" s="2" t="inlineStr">
        <ns0:is>
          <ns0:t>identity_and_body_structure_verified</ns0:t>
        </ns0:is>
      </ns0:c>
      <ns0:c r="M44" s="2" t="inlineStr"/>
      <ns0:c r="N44" s="2" t="inlineStr">
        <ns0:is>
          <ns0:t>首页/前两页题名作者或目标DOI核对，全部页面解析及正文结构检查；不据文件名判全文。</ns0:t>
        </ns0:is>
      </ns0:c>
      <ns0:c r="O44" s="2" t="inlineStr">
        <ns0:is>
          <ns0:t>https://github.com/Colliam-Vermilion/FirstCodex/blob/results/ad-oxygen-literature-20261006/results/ad-oxygen-literature-20261006/original_files/R06036/fulltext/fulltext__published__0bdc7b19fdb70091.pdf</ns0:t>
        </ns0:is>
      </ns0:c>
    </ns0:row>
    <ns0:row r="45" ht="48" customHeight="1">
      <ns0:c r="A45" s="3" t="inlineStr">
        <ns0:is>
          <ns0:t>R13914</ns0:t>
        </ns0:is>
      </ns0:c>
      <ns0:c r="B45" s="3" t="inlineStr">
        <ns0:is>
          <ns0:t>Development of aerobic methane oxidation, denitrification coupled to methanogenesis (AMODM) in a microaerophilic expanded granular sludge blanket biofilm reactor</ns0:t>
        </ns0:is>
      </ns0:c>
      <ns0:c r="C45" s="3" t="inlineStr">
        <ns0:is>
          <ns0:t>10.1016/j.jenvman.2020.111280</ns0:t>
        </ns0:is>
      </ns0:c>
      <ns0:c r="D45" s="3" t="inlineStr">
        <ns0:is>
          <ns0:t>supplementary</ns0:t>
        </ns0:is>
      </ns0:c>
      <ns0:c r="E45" s="3" t="inlineStr"/>
      <ns0:c r="F45" s="3" t="inlineStr">
        <ns0:is>
          <ns0:t>supplementary.doc</ns0:t>
        </ns0:is>
      </ns0:c>
      <ns0:c r="G45" s="3" t="inlineStr">
        <ns0:is>
          <ns0:t>original_files/R13914/supplementary/supplementary__0c42b59a5954bf07.doc</ns0:t>
        </ns0:is>
      </ns0:c>
      <ns0:c r="H45" s="3" t="inlineStr">
        <ns0:is>
          <ns0:t>local_upload</ns0:t>
        </ns0:is>
      </ns0:c>
      <ns0:c r="I45" s="3" t="inlineStr">
        <ns0:is>
          <ns0:t>localdownload/R13914/supplementary.doc</ns0:t>
        </ns0:is>
      </ns0:c>
      <ns0:c r="J45" s="3" t="n">
        <ns0:v>280576</ns0:v>
      </ns0:c>
      <ns0:c r="K45" s="3" t="inlineStr">
        <ns0:is>
          <ns0:t>0c42b59a5954bf07a411936f54025478acd0900315ae05d7a19a4606cb0f0cec</ns0:t>
        </ns0:is>
      </ns0:c>
      <ns0:c r="L45" s="3" t="inlineStr">
        <ns0:is>
          <ns0:t>legacy_word_decoded_with_antiword</ns0:t>
        </ns0:is>
      </ns0:c>
      <ns0:c r="M45" s="3" t="inlineStr">
        <ns0:is>
          <ns0:t>directory_and_content_consistent_identity_pending</ns0:t>
        </ns0:is>
      </ns0:c>
      <ns0:c r="N45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5" s="3" t="inlineStr">
        <ns0:is>
          <ns0:t>https://github.com/Colliam-Vermilion/FirstCodex/blob/results/ad-oxygen-literature-20261006/results/ad-oxygen-literature-20261006/original_files/R13914/supplementary/supplementary__0c42b59a5954bf07.doc</ns0:t>
        </ns0:is>
      </ns0:c>
    </ns0:row>
    <ns0:row r="46" ht="48" customHeight="1">
      <ns0:c r="A46" s="2" t="inlineStr">
        <ns0:is>
          <ns0:t>R13283</ns0:t>
        </ns0:is>
      </ns0:c>
      <ns0:c r="B46" s="2" t="inlineStr">
        <ns0:is>
          <ns0:t>Microaeration of Upflow Anaerobic Sludge Blanket reactor using desorption chamber gas: methane recovery and H2S removal</ns0:t>
        </ns0:is>
      </ns0:c>
      <ns0:c r="C46" s="2" t="inlineStr">
        <ns0:is>
          <ns0:t>10.1590/s1413-4152031s104</ns0:t>
        </ns0:is>
      </ns0:c>
      <ns0:c r="D46" s="2" t="inlineStr">
        <ns0:is>
          <ns0:t>fulltext</ns0:t>
        </ns0:is>
      </ns0:c>
      <ns0:c r="E46" s="2" t="inlineStr">
        <ns0:is>
          <ns0:t>出版版本（原页出版信息）</ns0:t>
        </ns0:is>
      </ns0:c>
      <ns0:c r="F46" s="2" t="inlineStr">
        <ns0:is>
          <ns0:t>R13283_2026_Microaeration_of_Upflow_Anaerobic_Sludge_Blanket_reactor_using_desorption.pdf</ns0:t>
        </ns0:is>
      </ns0:c>
      <ns0:c r="G46" s="2" t="inlineStr">
        <ns0:is>
          <ns0:t>original_files/R13283/fulltext/fulltext__published__0cb5643aac5b794e.pdf</ns0:t>
        </ns0:is>
      </ns0:c>
      <ns0:c r="H46" s="2" t="inlineStr">
        <ns0:is>
          <ns0:t>cloud_existing</ns0:t>
        </ns0:is>
      </ns0:c>
      <ns0:c r="I46" s="2" t="inlineStr">
        <ns0:is>
          <ns0:t>original_files/fulltext/R13283_2026_Microaeration_of_Upflow_Anaerobic_Sludge_Blanket_reactor_using_desorption.pdf</ns0:t>
        </ns0:is>
      </ns0:c>
      <ns0:c r="J46" s="2" t="n">
        <ns0:v>2556959</ns0:v>
      </ns0:c>
      <ns0:c r="K46" s="2" t="inlineStr">
        <ns0:is>
          <ns0:t>0cb5643aac5b794ec0871e11f6405bc83ff88527445cc36be1ec51b9e9b7c075</ns0:t>
        </ns0:is>
      </ns0:c>
      <ns0:c r="L46" s="2" t="inlineStr">
        <ns0:is>
          <ns0:t>identity_and_body_structure_verified</ns0:t>
        </ns0:is>
      </ns0:c>
      <ns0:c r="M46" s="2" t="inlineStr"/>
      <ns0:c r="N46" s="2" t="inlineStr">
        <ns0:is>
          <ns0:t>首页/前两页题名作者或目标DOI核对，全部页面解析及正文结构检查；不据文件名判全文。</ns0:t>
        </ns0:is>
      </ns0:c>
      <ns0:c r="O46" s="2" t="inlineStr">
        <ns0:is>
          <ns0:t>https://github.com/Colliam-Vermilion/FirstCodex/blob/results/ad-oxygen-literature-20261006/results/ad-oxygen-literature-20261006/original_files/R13283/fulltext/fulltext__published__0cb5643aac5b794e.pdf</ns0:t>
        </ns0:is>
      </ns0:c>
    </ns0:row>
    <ns0:row r="47" ht="48" customHeight="1">
      <ns0:c r="A47" s="3" t="inlineStr">
        <ns0:is>
          <ns0:t>R13691</ns0:t>
        </ns0:is>
      </ns0:c>
      <ns0:c r="B47" s="3" t="inlineStr">
        <ns0:is>
          <ns0:t>Synergistic promotion of straw anaerobic digestion by a composite microbial consortium and micro-aeration: Enhancing lignocellulose decomposition and methanogenesis</ns0:t>
        </ns0:is>
      </ns0:c>
      <ns0:c r="C47" s="3" t="inlineStr">
        <ns0:is>
          <ns0:t>10.1016/j.cej.2025.172265</ns0:t>
        </ns0:is>
      </ns0:c>
      <ns0:c r="D47" s="3" t="inlineStr">
        <ns0:is>
          <ns0:t>fulltext</ns0:t>
        </ns0:is>
      </ns0:c>
      <ns0:c r="E47" s="3" t="inlineStr">
        <ns0:is>
          <ns0:t>出版版（版式及版权文字）</ns0:t>
        </ns0:is>
      </ns0:c>
      <ns0:c r="F47" s="3" t="inlineStr">
        <ns0:is>
          <ns0:t>fulltext.pdf</ns0:t>
        </ns0:is>
      </ns0:c>
      <ns0:c r="G47" s="3" t="inlineStr">
        <ns0:is>
          <ns0:t>original_files/R13691/fulltext/fulltext__published__0d0f2f553fdab708.pdf</ns0:t>
        </ns0:is>
      </ns0:c>
      <ns0:c r="H47" s="3" t="inlineStr">
        <ns0:is>
          <ns0:t>local_upload</ns0:t>
        </ns0:is>
      </ns0:c>
      <ns0:c r="I47" s="3" t="inlineStr">
        <ns0:is>
          <ns0:t>localdownload/R13691/fulltext.pdf</ns0:t>
        </ns0:is>
      </ns0:c>
      <ns0:c r="J47" s="3" t="n">
        <ns0:v>6502287</ns0:v>
      </ns0:c>
      <ns0:c r="K47" s="3" t="inlineStr">
        <ns0:is>
          <ns0:t>0d0f2f553fdab70812f65b946b82aaa478e30aaddc009869258a3ad15fd26259</ns0:t>
        </ns0:is>
      </ns0:c>
      <ns0:c r="L47" s="3" t="inlineStr">
        <ns0:is>
          <ns0:t>identity_and_body_structure_verified</ns0:t>
        </ns0:is>
      </ns0:c>
      <ns0:c r="M47" s="3" t="inlineStr"/>
      <ns0:c r="N47" s="3" t="inlineStr">
        <ns0:is>
          <ns0:t>首页/前两页题名作者或目标DOI核对，全部页面解析及正文结构检查；不据文件名判全文。</ns0:t>
        </ns0:is>
      </ns0:c>
      <ns0:c r="O47" s="3" t="inlineStr">
        <ns0:is>
          <ns0:t>https://github.com/Colliam-Vermilion/FirstCodex/blob/results/ad-oxygen-literature-20261006/results/ad-oxygen-literature-20261006/original_files/R13691/fulltext/fulltext__published__0d0f2f553fdab708.pdf</ns0:t>
        </ns0:is>
      </ns0:c>
    </ns0:row>
    <ns0:row r="48" ht="48" customHeight="1">
      <ns0:c r="A48" s="2" t="inlineStr">
        <ns0:is>
          <ns0:t>R13282</ns0:t>
        </ns0:is>
      </ns0:c>
      <ns0:c r="B48" s="2" t="inlineStr">
        <ns0:is>
          <ns0:t>Microaeration for Enhancement of Methane Productivity from Cassava Wastewater and Digestibility of Added Cassava Residue</ns0:t>
        </ns0:is>
      </ns0:c>
      <ns0:c r="C48" s="2" t="inlineStr">
        <ns0:is>
          <ns0:t>10.3390/fermentation12050212</ns0:t>
        </ns0:is>
      </ns0:c>
      <ns0:c r="D48" s="2" t="inlineStr">
        <ns0:is>
          <ns0:t>source_evidence</ns0:t>
        </ns0:is>
      </ns0:c>
      <ns0:c r="E48" s="2" t="inlineStr"/>
      <ns0:c r="F48" s="2" t="inlineStr">
        <ns0:is>
          <ns0:t>publisher_article_page_20261017.html</ns0:t>
        </ns0:is>
      </ns0:c>
      <ns0:c r="G48" s="2" t="inlineStr">
        <ns0:is>
          <ns0:t>original_files/R13282/evidence/source_evidence__0d43c223e21ae168.html</ns0:t>
        </ns0:is>
      </ns0:c>
      <ns0:c r="H48" s="2" t="inlineStr">
        <ns0:is>
          <ns0:t>cloud_existing</ns0:t>
        </ns0:is>
      </ns0:c>
      <ns0:c r="I48" s="2" t="inlineStr">
        <ns0:is>
          <ns0:t>original_files/source_evidence/R13282/publisher_article_page_20261017.html</ns0:t>
        </ns0:is>
      </ns0:c>
      <ns0:c r="J48" s="2" t="n">
        <ns0:v>553251</ns0:v>
      </ns0:c>
      <ns0:c r="K48" s="2" t="inlineStr">
        <ns0:is>
          <ns0:t>0d43c223e21ae168efc5632e6a3f751239f804425082f6e105e224f9f7553787</ns0:t>
        </ns0:is>
      </ns0:c>
      <ns0:c r="L48" s="2" t="inlineStr">
        <ns0:is>
          <ns0:t>text_readable</ns0:t>
        </ns0:is>
      </ns0:c>
      <ns0:c r="M48" s="2" t="inlineStr"/>
      <ns0:c r="N48" s="2" t="inlineStr"/>
      <ns0:c r="O48" s="2" t="inlineStr">
        <ns0:is>
          <ns0:t>https://github.com/Colliam-Vermilion/FirstCodex/blob/results/ad-oxygen-literature-20261006/results/ad-oxygen-literature-20261006/original_files/R13282/evidence/source_evidence__0d43c223e21ae168.html</ns0:t>
        </ns0:is>
      </ns0:c>
    </ns0:row>
    <ns0:row r="49" ht="48" customHeight="1">
      <ns0:c r="A49" s="3" t="inlineStr">
        <ns0:is>
          <ns0:t>R11118</ns0:t>
        </ns0:is>
      </ns0:c>
      <ns0:c r="B49" s="3" t="inlineStr">
        <ns0:is>
          <ns0:t>Anaerobic Digestion of Dairy Dissolved Air Flotation Sludge: Assessment of Enhancement Strategies</ns0:t>
        </ns0:is>
      </ns0:c>
      <ns0:c r="C49" s="3" t="inlineStr">
        <ns0:is>
          <ns0:t>10.1002/cben.70031</ns0:t>
        </ns0:is>
      </ns0:c>
      <ns0:c r="D49" s="3" t="inlineStr">
        <ns0:is>
          <ns0:t>fulltext</ns0:t>
        </ns0:is>
      </ns0:c>
      <ns0:c r="E49" s="3" t="inlineStr">
        <ns0:is>
          <ns0:t>出版版（版式及版权文字）</ns0:t>
        </ns0:is>
      </ns0:c>
      <ns0:c r="F49" s="3" t="inlineStr">
        <ns0:is>
          <ns0:t>fulltext.pdf</ns0:t>
        </ns0:is>
      </ns0:c>
      <ns0:c r="G49" s="3" t="inlineStr">
        <ns0:is>
          <ns0:t>original_files/R11118/fulltext/fulltext__published__0d99d1d7d37f0e90.pdf</ns0:t>
        </ns0:is>
      </ns0:c>
      <ns0:c r="H49" s="3" t="inlineStr">
        <ns0:is>
          <ns0:t>local_upload</ns0:t>
        </ns0:is>
      </ns0:c>
      <ns0:c r="I49" s="3" t="inlineStr">
        <ns0:is>
          <ns0:t>localdownload/R11118/fulltext.pdf</ns0:t>
        </ns0:is>
      </ns0:c>
      <ns0:c r="J49" s="3" t="n">
        <ns0:v>2680317</ns0:v>
      </ns0:c>
      <ns0:c r="K49" s="3" t="inlineStr">
        <ns0:is>
          <ns0:t>0d99d1d7d37f0e907a8741288ebc68239d24a5a9bd49a023c47b3be0a5d72822</ns0:t>
        </ns0:is>
      </ns0:c>
      <ns0:c r="L49" s="3" t="inlineStr">
        <ns0:is>
          <ns0:t>identity_and_body_structure_verified</ns0:t>
        </ns0:is>
      </ns0:c>
      <ns0:c r="M49" s="3" t="inlineStr"/>
      <ns0:c r="N49" s="3" t="inlineStr">
        <ns0:is>
          <ns0:t>首页/前两页题名作者或目标DOI核对，全部页面解析及正文结构检查；不据文件名判全文。</ns0:t>
        </ns0:is>
      </ns0:c>
      <ns0:c r="O49" s="3" t="inlineStr">
        <ns0:is>
          <ns0:t>https://github.com/Colliam-Vermilion/FirstCodex/blob/results/ad-oxygen-literature-20261006/results/ad-oxygen-literature-20261006/original_files/R11118/fulltext/fulltext__published__0d99d1d7d37f0e90.pdf</ns0:t>
        </ns0:is>
      </ns0:c>
    </ns0:row>
    <ns0:row r="50" ht="48" customHeight="1">
      <ns0:c r="A50" s="2" t="inlineStr">
        <ns0:is>
          <ns0:t>R12874</ns0:t>
        </ns0:is>
      </ns0:c>
      <ns0:c r="B50" s="2" t="inlineStr">
        <ns0:is>
          <ns0:t>Effect of process-based strategies on anaerobic digestion of 3D-printing-derived polylactic acid: biogas production and mechanistic interpretation</ns0:t>
        </ns0:is>
      </ns0:c>
      <ns0:c r="C50" s="2" t="inlineStr">
        <ns0:is>
          <ns0:t>10.1016/j.biombioe.2026.109636</ns0:t>
        </ns0:is>
      </ns0:c>
      <ns0:c r="D50" s="2" t="inlineStr">
        <ns0:is>
          <ns0:t>supplementary</ns0:t>
        </ns0:is>
      </ns0:c>
      <ns0:c r="E50" s="2" t="inlineStr"/>
      <ns0:c r="F50" s="2" t="inlineStr">
        <ns0:is>
          <ns0:t>supplementary.docx</ns0:t>
        </ns0:is>
      </ns0:c>
      <ns0:c r="G50" s="2" t="inlineStr">
        <ns0:is>
          <ns0:t>original_files/R12874/supplementary/supplementary__0e48243d32c4c141.docx</ns0:t>
        </ns0:is>
      </ns0:c>
      <ns0:c r="H50" s="2" t="inlineStr">
        <ns0:is>
          <ns0:t>local_upload</ns0:t>
        </ns0:is>
      </ns0:c>
      <ns0:c r="I50" s="2" t="inlineStr">
        <ns0:is>
          <ns0:t>localdownload/R12874/supplementary.docx</ns0:t>
        </ns0:is>
      </ns0:c>
      <ns0:c r="J50" s="2" t="n">
        <ns0:v>6204121</ns0:v>
      </ns0:c>
      <ns0:c r="K50" s="2" t="inlineStr">
        <ns0:is>
          <ns0:t>0e48243d32c4c1418af01665e1485bf1b7d78eb9584aa2f52388f38e251bbc12</ns0:t>
        </ns0:is>
      </ns0:c>
      <ns0:c r="L50" s="2" t="inlineStr">
        <ns0:is>
          <ns0:t>container_crc_verified</ns0:t>
        </ns0:is>
      </ns0:c>
      <ns0:c r="M50" s="2" t="inlineStr">
        <ns0:is>
          <ns0:t>title_in_attachment_verified</ns0:t>
        </ns0:is>
      </ns0:c>
      <ns0:c r="N50" s="2" t="inlineStr"/>
      <ns0:c r="O50" s="2" t="inlineStr">
        <ns0:is>
          <ns0:t>https://github.com/Colliam-Vermilion/FirstCodex/blob/results/ad-oxygen-literature-20261006/results/ad-oxygen-literature-20261006/original_files/R12874/supplementary/supplementary__0e48243d32c4c141.docx</ns0:t>
        </ns0:is>
      </ns0:c>
    </ns0:row>
    <ns0:row r="51" ht="48" customHeight="1">
      <ns0:c r="A51" s="3" t="inlineStr">
        <ns0:is>
          <ns0:t>R11118</ns0:t>
        </ns0:is>
      </ns0:c>
      <ns0:c r="B51" s="3" t="inlineStr">
        <ns0:is>
          <ns0:t>Anaerobic Digestion of Dairy Dissolved Air Flotation Sludge: Assessment of Enhancement Strategies</ns0:t>
        </ns0:is>
      </ns0:c>
      <ns0:c r="C51" s="3" t="inlineStr">
        <ns0:is>
          <ns0:t>10.1002/cben.70031</ns0:t>
        </ns0:is>
      </ns0:c>
      <ns0:c r="D51" s="3" t="inlineStr">
        <ns0:is>
          <ns0:t>supplementary</ns0:t>
        </ns0:is>
      </ns0:c>
      <ns0:c r="E51" s="3" t="inlineStr"/>
      <ns0:c r="F51" s="3" t="inlineStr">
        <ns0:is>
          <ns0:t>supplementary.docx</ns0:t>
        </ns0:is>
      </ns0:c>
      <ns0:c r="G51" s="3" t="inlineStr">
        <ns0:is>
          <ns0:t>original_files/R11118/supplementary/supplementary__0e4b0ee068891941.docx</ns0:t>
        </ns0:is>
      </ns0:c>
      <ns0:c r="H51" s="3" t="inlineStr">
        <ns0:is>
          <ns0:t>local_upload</ns0:t>
        </ns0:is>
      </ns0:c>
      <ns0:c r="I51" s="3" t="inlineStr">
        <ns0:is>
          <ns0:t>localdownload/R11118/supplementary.docx</ns0:t>
        </ns0:is>
      </ns0:c>
      <ns0:c r="J51" s="3" t="n">
        <ns0:v>145878</ns0:v>
      </ns0:c>
      <ns0:c r="K51" s="3" t="inlineStr">
        <ns0:is>
          <ns0:t>0e4b0ee06889194151d3542d0345fe592cd6a3eb732773b1814bd21bc218f996</ns0:t>
        </ns0:is>
      </ns0:c>
      <ns0:c r="L51" s="3" t="inlineStr">
        <ns0:is>
          <ns0:t>container_crc_verified</ns0:t>
        </ns0:is>
      </ns0:c>
      <ns0:c r="M51" s="3" t="inlineStr">
        <ns0:is>
          <ns0:t>title_in_attachment_verified</ns0:t>
        </ns0:is>
      </ns0:c>
      <ns0:c r="N51" s="3" t="inlineStr"/>
      <ns0:c r="O51" s="3" t="inlineStr">
        <ns0:is>
          <ns0:t>https://github.com/Colliam-Vermilion/FirstCodex/blob/results/ad-oxygen-literature-20261006/results/ad-oxygen-literature-20261006/original_files/R11118/supplementary/supplementary__0e4b0ee068891941.docx</ns0:t>
        </ns0:is>
      </ns0:c>
    </ns0:row>
    <ns0:row r="52" ht="48" customHeight="1">
      <ns0:c r="A52" s="2" t="inlineStr">
        <ns0:is>
          <ns0:t>R11844</ns0:t>
        </ns0:is>
      </ns0:c>
      <ns0:c r="B52" s="2" t="inlineStr">
        <ns0:is>
          <ns0:t>Micro-aeration for improving anaerobic treatment and biogas production from organic pollutants</ns0:t>
        </ns0:is>
      </ns0:c>
      <ns0:c r="C52" s="2" t="inlineStr">
        <ns0:is>
          <ns0:t>10.1007/s00253-025-13519-w</ns0:t>
        </ns0:is>
      </ns0:c>
      <ns0:c r="D52" s="2" t="inlineStr">
        <ns0:is>
          <ns0:t>supplementary</ns0:t>
        </ns0:is>
      </ns0:c>
      <ns0:c r="E52" s="2" t="inlineStr"/>
      <ns0:c r="F52" s="2" t="inlineStr">
        <ns0:is>
          <ns0:t>253_2025_13519_MOESM1_ESM.pdf</ns0:t>
        </ns0:is>
      </ns0:c>
      <ns0:c r="G52" s="2" t="inlineStr">
        <ns0:is>
          <ns0:t>original_files/R11844/supplementary/supplementary__0e990b462bd09df2.pdf</ns0:t>
        </ns0:is>
      </ns0:c>
      <ns0:c r="H52" s="2" t="inlineStr">
        <ns0:is>
          <ns0:t>cloud_existing</ns0:t>
        </ns0:is>
      </ns0:c>
      <ns0:c r="I52" s="2" t="inlineStr">
        <ns0:is>
          <ns0:t>original_files/supplementary/R11844/253_2025_13519_MOESM1_ESM.pdf</ns0:t>
        </ns0:is>
      </ns0:c>
      <ns0:c r="J52" s="2" t="n">
        <ns0:v>305065</ns0:v>
      </ns0:c>
      <ns0:c r="K52" s="2" t="inlineStr">
        <ns0:is>
          <ns0:t>0e990b462bd09df283e7669b5396f957ccb8c2695ff7b2026c1acf32e3e35e01</ns0:t>
        </ns0:is>
      </ns0:c>
      <ns0:c r="L52" s="2" t="inlineStr">
        <ns0:is>
          <ns0:t>pdf_readable_requires_role_review</ns0:t>
        </ns0:is>
      </ns0:c>
      <ns0:c r="M52" s="2" t="inlineStr">
        <ns0:is>
          <ns0:t>existing_official_attachment_evidence_retained</ns0:t>
        </ns0:is>
      </ns0:c>
      <ns0:c r="N52" s="2" t="inlineStr"/>
      <ns0:c r="O52" s="2" t="inlineStr">
        <ns0:is>
          <ns0:t>https://github.com/Colliam-Vermilion/FirstCodex/blob/results/ad-oxygen-literature-20261006/results/ad-oxygen-literature-20261006/original_files/R11844/supplementary/supplementary__0e990b462bd09df2.pdf</ns0:t>
        </ns0:is>
      </ns0:c>
    </ns0:row>
    <ns0:row r="53" ht="48" customHeight="1">
      <ns0:c r="A53" s="3" t="inlineStr">
        <ns0:is>
          <ns0:t>R02239</ns0:t>
        </ns0:is>
      </ns0:c>
      <ns0:c r="B53" s="3" t="inlineStr">
        <ns0:is>
          <ns0:t>[Application of Micro-aerobic Hydrolysis Acidification in the Pretreatment of Petrochemical Wastewater].</ns0:t>
        </ns0:is>
      </ns0:c>
      <ns0:c r="C53" s="3" t="inlineStr"/>
      <ns0:c r="D53" s="3" t="inlineStr">
        <ns0:is>
          <ns0:t>fulltext</ns0:t>
        </ns0:is>
      </ns0:c>
      <ns0:c r="E53" s="3" t="inlineStr">
        <ns0:is>
          <ns0:t>版本待核实</ns0:t>
        </ns0:is>
      </ns0:c>
      <ns0:c r="F53" s="3" t="inlineStr">
        <ns0:is>
          <ns0:t>fulltext.pdf</ns0:t>
        </ns0:is>
      </ns0:c>
      <ns0:c r="G53" s="3" t="inlineStr">
        <ns0:is>
          <ns0:t>original_files/R02239/fulltext/fulltext__version_unverified__0ec9c37ecd0bceff.pdf</ns0:t>
        </ns0:is>
      </ns0:c>
      <ns0:c r="H53" t="inlineStr">
        <ns0:is>
          <ns0:t>local_upload; main@ab8353c误传副本</ns0:t>
        </ns0:is>
      </ns0:c>
      <ns0:c r="I53" t="inlineStr">
        <ns0:is>
          <ns0:t>localdownload/R02239/fulltext.pdf; main@ab8353c:R02239/fulltext.pdf</ns0:t>
        </ns0:is>
      </ns0:c>
      <ns0:c r="J53" s="3" t="n">
        <ns0:v>6316938</ns0:v>
      </ns0:c>
      <ns0:c r="K53" s="3" t="inlineStr">
        <ns0:is>
          <ns0:t>0ec9c37ecd0bceff7d0e81623b74cd6a4cbb0d700b5918ace3852be314430d7d</ns0:t>
        </ns0:is>
      </ns0:c>
      <ns0:c r="L53" s="3" t="inlineStr">
        <ns0:is>
          <ns0:t>manual_identity_and_completeness_verified</ns0:t>
        </ns0:is>
      </ns0:c>
      <ns0:c r="M53" s="3" t="inlineStr"/>
      <ns0:c r="N53" s="3" t="inlineStr">
        <ns0:is>
          <ns0:t>PDF pp.3–7为《微好氧水解酸化在石化废水预处理中的应用研究》，朱晨等，环境科学36(10),3738–3742 (2015)；含摘要、工程与方法、结果、结论及参考文献；pp.1–2及8–9为封面/目录，不以其无英文正文关键词否认完整正文。中文字体文字层乱码，核对中文题名及页序。</ns0:t>
        </ns0:is>
      </ns0:c>
      <ns0:c r="O53" s="3" t="inlineStr">
        <ns0:is>
          <ns0:t>https://github.com/Colliam-Vermilion/FirstCodex/blob/results/ad-oxygen-literature-20261006/results/ad-oxygen-literature-20261006/original_files/R02239/fulltext/fulltext__version_unverified__0ec9c37ecd0bceff.pdf</ns0:t>
        </ns0:is>
      </ns0:c>
    </ns0:row>
    <ns0:row r="54" ht="48" customHeight="1">
      <ns0:c r="A54" s="2" t="inlineStr">
        <ns0:is>
          <ns0:t>R06587</ns0:t>
        </ns0:is>
      </ns0:c>
      <ns0:c r="B54" s="2" t="inlineStr">
        <ns0:is>
          <ns0:t>Effect of Propane Addition and Oxygen Enrichment on the Flame Characteristics of Biogas</ns0:t>
        </ns0:is>
      </ns0:c>
      <ns0:c r="C54" s="2" t="inlineStr">
        <ns0:is>
          <ns0:t>10.1021/acs.energyfuels.1c00113</ns0:t>
        </ns0:is>
      </ns0:c>
      <ns0:c r="D54" s="2" t="inlineStr">
        <ns0:is>
          <ns0:t>fulltext</ns0:t>
        </ns0:is>
      </ns0:c>
      <ns0:c r="E54" s="2" t="inlineStr">
        <ns0:is>
          <ns0:t>出版版（版式及版权文字）</ns0:t>
        </ns0:is>
      </ns0:c>
      <ns0:c r="F54" s="2" t="inlineStr">
        <ns0:is>
          <ns0:t>fulltext.pdf</ns0:t>
        </ns0:is>
      </ns0:c>
      <ns0:c r="G54" s="2" t="inlineStr">
        <ns0:is>
          <ns0:t>original_files/R06587/fulltext/fulltext__published__0fae8acee7bf4f46.pdf</ns0:t>
        </ns0:is>
      </ns0:c>
      <ns0:c r="H54" s="2" t="inlineStr">
        <ns0:is>
          <ns0:t>local_upload</ns0:t>
        </ns0:is>
      </ns0:c>
      <ns0:c r="I54" s="2" t="inlineStr">
        <ns0:is>
          <ns0:t>localdownload/R06587/fulltext.pdf</ns0:t>
        </ns0:is>
      </ns0:c>
      <ns0:c r="J54" s="2" t="n">
        <ns0:v>3707503</ns0:v>
      </ns0:c>
      <ns0:c r="K54" s="2" t="inlineStr">
        <ns0:is>
          <ns0:t>0fae8acee7bf4f462e02adebea1e15aea1eaf49c3c47cf99091f03057e7c80ed</ns0:t>
        </ns0:is>
      </ns0:c>
      <ns0:c r="L54" s="2" t="inlineStr">
        <ns0:is>
          <ns0:t>identity_and_body_structure_verified</ns0:t>
        </ns0:is>
      </ns0:c>
      <ns0:c r="M54" s="2" t="inlineStr"/>
      <ns0:c r="N54" s="2" t="inlineStr">
        <ns0:is>
          <ns0:t>首页/前两页题名作者或目标DOI核对，全部页面解析及正文结构检查；不据文件名判全文。</ns0:t>
        </ns0:is>
      </ns0:c>
      <ns0:c r="O54" s="2" t="inlineStr">
        <ns0:is>
          <ns0:t>https://github.com/Colliam-Vermilion/FirstCodex/blob/results/ad-oxygen-literature-20261006/results/ad-oxygen-literature-20261006/original_files/R06587/fulltext/fulltext__published__0fae8acee7bf4f46.pdf</ns0:t>
        </ns0:is>
      </ns0:c>
    </ns0:row>
    <ns0:row r="55" ht="48" customHeight="1">
      <ns0:c r="A55" s="3" t="inlineStr">
        <ns0:is>
          <ns0:t>R04092</ns0:t>
        </ns0:is>
      </ns0:c>
      <ns0:c r="B55" s="3" t="inlineStr">
        <ns0:is>
          <ns0:t>Mathematical modelling of in-situ microaerobic desulfurization of biogas from sewage sludge digestion</ns0:t>
        </ns0:is>
      </ns0:c>
      <ns0:c r="C55" s="3" t="inlineStr">
        <ns0:is>
          <ns0:t>10.1016/j.btre.2018.e00293</ns0:t>
        </ns0:is>
      </ns0:c>
      <ns0:c r="D55" s="3" t="inlineStr">
        <ns0:is>
          <ns0:t>source_evidence</ns0:t>
        </ns0:is>
      </ns0:c>
      <ns0:c r="E55" s="3" t="inlineStr"/>
      <ns0:c r="F55" s="3" t="inlineStr">
        <ns0:is>
          <ns0:t>PMC6288047_fullText.xml</ns0:t>
        </ns0:is>
      </ns0:c>
      <ns0:c r="G55" s="3" t="inlineStr">
        <ns0:is>
          <ns0:t>original_files/R04092/evidence/source_evidence__0fb90085e30680fa.xml</ns0:t>
        </ns0:is>
      </ns0:c>
      <ns0:c r="H55" s="3" t="inlineStr">
        <ns0:is>
          <ns0:t>cloud_existing</ns0:t>
        </ns0:is>
      </ns0:c>
      <ns0:c r="I55" s="3" t="inlineStr">
        <ns0:is>
          <ns0:t>original_files/source_evidence/R04092/PMC6288047_fullText.xml</ns0:t>
        </ns0:is>
      </ns0:c>
      <ns0:c r="J55" s="3" t="n">
        <ns0:v>77995</ns0:v>
      </ns0:c>
      <ns0:c r="K55" s="3" t="inlineStr">
        <ns0:is>
          <ns0:t>0fb90085e30680fa8a9896b80afb9da4f9466ba0051ea2ffb89a13e06a5013a3</ns0:t>
        </ns0:is>
      </ns0:c>
      <ns0:c r="L55" s="3" t="inlineStr">
        <ns0:is>
          <ns0:t>text_readable</ns0:t>
        </ns0:is>
      </ns0:c>
      <ns0:c r="M55" s="3" t="inlineStr"/>
      <ns0:c r="N55" s="3" t="inlineStr"/>
      <ns0:c r="O55" s="3" t="inlineStr">
        <ns0:is>
          <ns0:t>https://github.com/Colliam-Vermilion/FirstCodex/blob/results/ad-oxygen-literature-20261006/results/ad-oxygen-literature-20261006/original_files/R04092/evidence/source_evidence__0fb90085e30680fa.xml</ns0:t>
        </ns0:is>
      </ns0:c>
    </ns0:row>
    <ns0:row r="56" ht="48" customHeight="1">
      <ns0:c r="A56" s="2" t="inlineStr">
        <ns0:is>
          <ns0:t>R07202</ns0:t>
        </ns0:is>
      </ns0:c>
      <ns0:c r="B56" s="2" t="inlineStr">
        <ns0:is>
          <ns0:t>Synergistic association between cytochrome bd-encoded Proteiniphilum and reactive oxygen species (ROS)-scavenging methanogens in microaerobic-anaerobic digestion of lignocellulosic biomass</ns0:t>
        </ns0:is>
      </ns0:c>
      <ns0:c r="C56" s="2" t="inlineStr">
        <ns0:is>
          <ns0:t>10.1016/j.watres.2020.116721</ns0:t>
        </ns0:is>
      </ns0:c>
      <ns0:c r="D56" s="2" t="inlineStr">
        <ns0:is>
          <ns0:t>supplementary</ns0:t>
        </ns0:is>
      </ns0:c>
      <ns0:c r="E56" s="2" t="inlineStr"/>
      <ns0:c r="F56" s="2" t="inlineStr">
        <ns0:is>
          <ns0:t>supplementary.xlsx</ns0:t>
        </ns0:is>
      </ns0:c>
      <ns0:c r="G56" s="2" t="inlineStr">
        <ns0:is>
          <ns0:t>original_files/R07202/supplementary/supplementary__0fe7ac23fd51cc3e.xlsx</ns0:t>
        </ns0:is>
      </ns0:c>
      <ns0:c r="H56" s="2" t="inlineStr">
        <ns0:is>
          <ns0:t>local_upload</ns0:t>
        </ns0:is>
      </ns0:c>
      <ns0:c r="I56" s="2" t="inlineStr">
        <ns0:is>
          <ns0:t>localdownload/R07202/supplementary.xlsx</ns0:t>
        </ns0:is>
      </ns0:c>
      <ns0:c r="J56" s="2" t="n">
        <ns0:v>37276</ns0:v>
      </ns0:c>
      <ns0:c r="K56" s="2" t="inlineStr">
        <ns0:is>
          <ns0:t>0fe7ac23fd51cc3e098f344872afd2d898e1d17e7aab0e4a85a21be2cf2ac645</ns0:t>
        </ns0:is>
      </ns0:c>
      <ns0:c r="L56" s="2" t="inlineStr">
        <ns0:is>
          <ns0:t>xlsx_open_and_zip_crc_verified</ns0:t>
        </ns0:is>
      </ns0:c>
      <ns0:c r="M56" s="2" t="inlineStr">
        <ns0:is>
          <ns0:t>directory_and_content_consistent_identity_pending</ns0:t>
        </ns0:is>
      </ns0:c>
      <ns0:c r="N56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6" s="2" t="inlineStr">
        <ns0:is>
          <ns0:t>https://github.com/Colliam-Vermilion/FirstCodex/blob/results/ad-oxygen-literature-20261006/results/ad-oxygen-literature-20261006/original_files/R07202/supplementary/supplementary__0fe7ac23fd51cc3e.xlsx</ns0:t>
        </ns0:is>
      </ns0:c>
    </ns0:row>
    <ns0:row r="57" ht="48" customHeight="1">
      <ns0:c r="A57" s="3" t="inlineStr">
        <ns0:is>
          <ns0:t>R01785</ns0:t>
        </ns0:is>
      </ns0:c>
      <ns0:c r="B57" s="3" t="inlineStr">
        <ns0:is>
          <ns0:t>Economic analysis of microaerobic removal of H2S from biogas in full-scale sludge digesters</ns0:t>
        </ns0:is>
      </ns0:c>
      <ns0:c r="C57" s="3" t="inlineStr">
        <ns0:is>
          <ns0:t>10.1016/j.biortech.2015.05.048</ns0:t>
        </ns0:is>
      </ns0:c>
      <ns0:c r="D57" s="3" t="inlineStr">
        <ns0:is>
          <ns0:t>fulltext</ns0:t>
        </ns0:is>
      </ns0:c>
      <ns0:c r="E57" s="3" t="inlineStr">
        <ns0:is>
          <ns0:t>出版版（版式及版权文字）</ns0:t>
        </ns0:is>
      </ns0:c>
      <ns0:c r="F57" s="3" t="inlineStr">
        <ns0:is>
          <ns0:t>fulltext.pdf</ns0:t>
        </ns0:is>
      </ns0:c>
      <ns0:c r="G57" s="3" t="inlineStr">
        <ns0:is>
          <ns0:t>original_files/R01785/fulltext/fulltext__published__1045800466e6b5e7.pdf</ns0:t>
        </ns0:is>
      </ns0:c>
      <ns0:c r="H57" s="3" t="inlineStr">
        <ns0:is>
          <ns0:t>local_upload</ns0:t>
        </ns0:is>
      </ns0:c>
      <ns0:c r="I57" s="3" t="inlineStr">
        <ns0:is>
          <ns0:t>localdownload/R01785/fulltext.pdf</ns0:t>
        </ns0:is>
      </ns0:c>
      <ns0:c r="J57" s="3" t="n">
        <ns0:v>487849</ns0:v>
      </ns0:c>
      <ns0:c r="K57" s="3" t="inlineStr">
        <ns0:is>
          <ns0:t>1045800466e6b5e78175d03918711476e7fa0a0ac6638aeb4e474981a713548e</ns0:t>
        </ns0:is>
      </ns0:c>
      <ns0:c r="L57" s="3" t="inlineStr">
        <ns0:is>
          <ns0:t>identity_and_body_structure_verified</ns0:t>
        </ns0:is>
      </ns0:c>
      <ns0:c r="M57" s="3" t="inlineStr"/>
      <ns0:c r="N57" s="3" t="inlineStr">
        <ns0:is>
          <ns0:t>首页/前两页题名作者或目标DOI核对，全部页面解析及正文结构检查；不据文件名判全文。</ns0:t>
        </ns0:is>
      </ns0:c>
      <ns0:c r="O57" s="3" t="inlineStr">
        <ns0:is>
          <ns0:t>https://github.com/Colliam-Vermilion/FirstCodex/blob/results/ad-oxygen-literature-20261006/results/ad-oxygen-literature-20261006/original_files/R01785/fulltext/fulltext__published__1045800466e6b5e7.pdf</ns0:t>
        </ns0:is>
      </ns0:c>
    </ns0:row>
    <ns0:row r="58" ht="48" customHeight="1">
      <ns0:c r="A58" s="2" t="inlineStr">
        <ns0:is>
          <ns0:t>R13895</ns0:t>
        </ns0:is>
      </ns0:c>
      <ns0:c r="B58" s="2" t="inlineStr">
        <ns0:is>
          <ns0:t>Enhancement of anaerobic batch digestion of spineless cacti (Opuntia ficus indica) feedstock by aerobic pre-treatment</ns0:t>
        </ns0:is>
      </ns0:c>
      <ns0:c r="C58" s="2" t="inlineStr">
        <ns0:is>
          <ns0:t>10.5897/ajb2018.16652</ns0:t>
        </ns0:is>
      </ns0:c>
      <ns0:c r="D58" s="2" t="inlineStr">
        <ns0:is>
          <ns0:t>fulltext</ns0:t>
        </ns0:is>
      </ns0:c>
      <ns0:c r="E58" s="2" t="inlineStr">
        <ns0:is>
          <ns0:t>出版版本（原页出版信息）</ns0:t>
        </ns0:is>
      </ns0:c>
      <ns0:c r="F58" s="2" t="inlineStr">
        <ns0:is>
          <ns0:t>R13895_2019_Enhancement_of_anaerobic_batch_digestion_of_spineless_cacti_Opuntia.pdf</ns0:t>
        </ns0:is>
      </ns0:c>
      <ns0:c r="G58" s="2" t="inlineStr">
        <ns0:is>
          <ns0:t>original_files/R13895/fulltext/fulltext__published__106f8aa2d37135c5.pdf</ns0:t>
        </ns0:is>
      </ns0:c>
      <ns0:c r="H58" s="2" t="inlineStr">
        <ns0:is>
          <ns0:t>cloud_existing</ns0:t>
        </ns0:is>
      </ns0:c>
      <ns0:c r="I58" s="2" t="inlineStr">
        <ns0:is>
          <ns0:t>original_files/fulltext/R13895_2019_Enhancement_of_anaerobic_batch_digestion_of_spineless_cacti_Opuntia.pdf</ns0:t>
        </ns0:is>
      </ns0:c>
      <ns0:c r="J58" s="2" t="n">
        <ns0:v>636279</ns0:v>
      </ns0:c>
      <ns0:c r="K58" s="2" t="inlineStr">
        <ns0:is>
          <ns0:t>106f8aa2d37135c544b98765172520c01f8c032b4e231457a402b0de5e519d8a</ns0:t>
        </ns0:is>
      </ns0:c>
      <ns0:c r="L58" s="2" t="inlineStr">
        <ns0:is>
          <ns0:t>identity_and_body_structure_verified</ns0:t>
        </ns0:is>
      </ns0:c>
      <ns0:c r="M58" s="2" t="inlineStr"/>
      <ns0:c r="N58" s="2" t="inlineStr">
        <ns0:is>
          <ns0:t>首页/前两页题名作者或目标DOI核对，全部页面解析及正文结构检查；不据文件名判全文。</ns0:t>
        </ns0:is>
      </ns0:c>
      <ns0:c r="O58" s="2" t="inlineStr">
        <ns0:is>
          <ns0:t>https://github.com/Colliam-Vermilion/FirstCodex/blob/results/ad-oxygen-literature-20261006/results/ad-oxygen-literature-20261006/original_files/R13895/fulltext/fulltext__published__106f8aa2d37135c5.pdf</ns0:t>
        </ns0:is>
      </ns0:c>
    </ns0:row>
    <ns0:row r="59" ht="48" customHeight="1">
      <ns0:c r="A59" s="3" t="inlineStr">
        <ns0:is>
          <ns0:t>R12569</ns0:t>
        </ns0:is>
      </ns0:c>
      <ns0:c r="B59" s="3" t="inlineStr">
        <ns0:is>
          <ns0:t>Ammonia inhibition in anaerobic digestion: A critical review of inhibition mechanisms and mitigation strategies</ns0:t>
        </ns0:is>
      </ns0:c>
      <ns0:c r="C59" s="3" t="inlineStr">
        <ns0:is>
          <ns0:t>10.1016/j.jenvman.2026.129236</ns0:t>
        </ns0:is>
      </ns0:c>
      <ns0:c r="D59" s="3" t="inlineStr">
        <ns0:is>
          <ns0:t>fulltext</ns0:t>
        </ns0:is>
      </ns0:c>
      <ns0:c r="E59" s="3" t="inlineStr">
        <ns0:is>
          <ns0:t>出版版（版式及版权文字）</ns0:t>
        </ns0:is>
      </ns0:c>
      <ns0:c r="F59" s="3" t="inlineStr">
        <ns0:is>
          <ns0:t>fulltext.pdf</ns0:t>
        </ns0:is>
      </ns0:c>
      <ns0:c r="G59" s="3" t="inlineStr">
        <ns0:is>
          <ns0:t>original_files/R12569/fulltext/fulltext__published__118a654125332bbe.pdf</ns0:t>
        </ns0:is>
      </ns0:c>
      <ns0:c r="H59" s="3" t="inlineStr">
        <ns0:is>
          <ns0:t>local_upload</ns0:t>
        </ns0:is>
      </ns0:c>
      <ns0:c r="I59" s="3" t="inlineStr">
        <ns0:is>
          <ns0:t>localdownload/R12569/fulltext.pdf</ns0:t>
        </ns0:is>
      </ns0:c>
      <ns0:c r="J59" s="3" t="n">
        <ns0:v>3423216</ns0:v>
      </ns0:c>
      <ns0:c r="K59" s="3" t="inlineStr">
        <ns0:is>
          <ns0:t>118a654125332bbee8fe055ed63e87dcc287ef93aa54a4c5d217f38dae33c891</ns0:t>
        </ns0:is>
      </ns0:c>
      <ns0:c r="L59" s="3" t="inlineStr">
        <ns0:is>
          <ns0:t>identity_and_body_structure_verified</ns0:t>
        </ns0:is>
      </ns0:c>
      <ns0:c r="M59" s="3" t="inlineStr"/>
      <ns0:c r="N59" s="3" t="inlineStr">
        <ns0:is>
          <ns0:t>首页/前两页题名作者或目标DOI核对，全部页面解析及正文结构检查；不据文件名判全文。</ns0:t>
        </ns0:is>
      </ns0:c>
      <ns0:c r="O59" s="3" t="inlineStr">
        <ns0:is>
          <ns0:t>https://github.com/Colliam-Vermilion/FirstCodex/blob/results/ad-oxygen-literature-20261006/results/ad-oxygen-literature-20261006/original_files/R12569/fulltext/fulltext__published__118a654125332bbe.pdf</ns0:t>
        </ns0:is>
      </ns0:c>
    </ns0:row>
    <ns0:row r="60" ht="48" customHeight="1">
      <ns0:c r="A60" s="2" t="inlineStr">
        <ns0:is>
          <ns0:t>R13838</ns0:t>
        </ns0:is>
      </ns0:c>
      <ns0:c r="B60" s="2" t="inlineStr">
        <ns0:is>
          <ns0:t>Oxygen tolerance capacity of upflow anaerobic solid-state (UASS) with anaerobic filter (AF) system</ns0:t>
        </ns0:is>
      </ns0:c>
      <ns0:c r="C60" s="2" t="inlineStr">
        <ns0:is>
          <ns0:t>10.1016/j.jes.2016.01.009</ns0:t>
        </ns0:is>
      </ns0:c>
      <ns0:c r="D60" s="2" t="inlineStr">
        <ns0:is>
          <ns0:t>fulltext</ns0:t>
        </ns0:is>
      </ns0:c>
      <ns0:c r="E60" s="2" t="inlineStr">
        <ns0:is>
          <ns0:t>出版版（版式及版权文字）</ns0:t>
        </ns0:is>
      </ns0:c>
      <ns0:c r="F60" s="2" t="inlineStr">
        <ns0:is>
          <ns0:t>fulltext.pdf</ns0:t>
        </ns0:is>
      </ns0:c>
      <ns0:c r="G60" s="2" t="inlineStr">
        <ns0:is>
          <ns0:t>original_files/R13838/fulltext/fulltext__published__118b6f5b48a3b653.pdf</ns0:t>
        </ns0:is>
      </ns0:c>
      <ns0:c r="H60" s="2" t="inlineStr">
        <ns0:is>
          <ns0:t>local_upload</ns0:t>
        </ns0:is>
      </ns0:c>
      <ns0:c r="I60" s="2" t="inlineStr">
        <ns0:is>
          <ns0:t>localdownload/R13838/fulltext.pdf</ns0:t>
        </ns0:is>
      </ns0:c>
      <ns0:c r="J60" s="2" t="n">
        <ns0:v>464168</ns0:v>
      </ns0:c>
      <ns0:c r="K60" s="2" t="inlineStr">
        <ns0:is>
          <ns0:t>118b6f5b48a3b65331c467a761e1f24826097810e0f268ef07367e2c6f7bd611</ns0:t>
        </ns0:is>
      </ns0:c>
      <ns0:c r="L60" s="2" t="inlineStr">
        <ns0:is>
          <ns0:t>identity_and_body_structure_verified</ns0:t>
        </ns0:is>
      </ns0:c>
      <ns0:c r="M60" s="2" t="inlineStr"/>
      <ns0:c r="N60" s="2" t="inlineStr">
        <ns0:is>
          <ns0:t>首页/前两页题名作者或目标DOI核对，全部页面解析及正文结构检查；不据文件名判全文。</ns0:t>
        </ns0:is>
      </ns0:c>
      <ns0:c r="O60" s="2" t="inlineStr">
        <ns0:is>
          <ns0:t>https://github.com/Colliam-Vermilion/FirstCodex/blob/results/ad-oxygen-literature-20261006/results/ad-oxygen-literature-20261006/original_files/R13838/fulltext/fulltext__published__118b6f5b48a3b653.pdf</ns0:t>
        </ns0:is>
      </ns0:c>
    </ns0:row>
    <ns0:row r="61" ht="48" customHeight="1">
      <ns0:c r="A61" s="3" t="inlineStr">
        <ns0:is>
          <ns0:t>R13916</ns0:t>
        </ns0:is>
      </ns0:c>
      <ns0:c r="B61" s="3" t="inlineStr">
        <ns0:is>
          <ns0:t>Kinetics of air mixing–anaerobic digestion: High organic substrate concentrations enhance system resistance to oxygen stress</ns0:t>
        </ns0:is>
      </ns0:c>
      <ns0:c r="C61" s="3" t="inlineStr">
        <ns0:is>
          <ns0:t>10.1016/j.cej.2026.172771</ns0:t>
        </ns0:is>
      </ns0:c>
      <ns0:c r="D61" s="3" t="inlineStr">
        <ns0:is>
          <ns0:t>fulltext</ns0:t>
        </ns0:is>
      </ns0:c>
      <ns0:c r="E61" s="3" t="inlineStr">
        <ns0:is>
          <ns0:t>出版版（版式及版权文字）</ns0:t>
        </ns0:is>
      </ns0:c>
      <ns0:c r="F61" s="3" t="inlineStr">
        <ns0:is>
          <ns0:t>fulltext.pdf</ns0:t>
        </ns0:is>
      </ns0:c>
      <ns0:c r="G61" s="3" t="inlineStr">
        <ns0:is>
          <ns0:t>original_files/R13916/fulltext/fulltext__published__11cf93d2a149a8f6.pdf</ns0:t>
        </ns0:is>
      </ns0:c>
      <ns0:c r="H61" s="3" t="inlineStr">
        <ns0:is>
          <ns0:t>local_upload</ns0:t>
        </ns0:is>
      </ns0:c>
      <ns0:c r="I61" s="3" t="inlineStr">
        <ns0:is>
          <ns0:t>localdownload/R13916/fulltext.pdf</ns0:t>
        </ns0:is>
      </ns0:c>
      <ns0:c r="J61" s="3" t="n">
        <ns0:v>6378496</ns0:v>
      </ns0:c>
      <ns0:c r="K61" s="3" t="inlineStr">
        <ns0:is>
          <ns0:t>11cf93d2a149a8f68f474a7cf6c4e4c9907fb1d19fa7652fe9927ab9dbf78387</ns0:t>
        </ns0:is>
      </ns0:c>
      <ns0:c r="L61" s="3" t="inlineStr">
        <ns0:is>
          <ns0:t>identity_and_body_structure_verified</ns0:t>
        </ns0:is>
      </ns0:c>
      <ns0:c r="M61" s="3" t="inlineStr"/>
      <ns0:c r="N61" s="3" t="inlineStr">
        <ns0:is>
          <ns0:t>首页/前两页题名作者或目标DOI核对，全部页面解析及正文结构检查；不据文件名判全文。</ns0:t>
        </ns0:is>
      </ns0:c>
      <ns0:c r="O61" s="3" t="inlineStr">
        <ns0:is>
          <ns0:t>https://github.com/Colliam-Vermilion/FirstCodex/blob/results/ad-oxygen-literature-20261006/results/ad-oxygen-literature-20261006/original_files/R13916/fulltext/fulltext__published__11cf93d2a149a8f6.pdf</ns0:t>
        </ns0:is>
      </ns0:c>
    </ns0:row>
    <ns0:row r="62" ht="48" customHeight="1">
      <ns0:c r="A62" s="2" t="inlineStr">
        <ns0:is>
          <ns0:t>R13966</ns0:t>
        </ns0:is>
      </ns0:c>
      <ns0:c r="B62" s="2" t="inlineStr">
        <ns0:is>
          <ns0:t>Recent Progress on Dry Anaerobic Digestion of Organic Solid Wastes: Achievements and Challenges</ns0:t>
        </ns0:is>
      </ns0:c>
      <ns0:c r="C62" s="2" t="inlineStr">
        <ns0:is>
          <ns0:t>10.2174/1385272819666150119222633</ns0:t>
        </ns0:is>
      </ns0:c>
      <ns0:c r="D62" s="2" t="inlineStr">
        <ns0:is>
          <ns0:t>fulltext</ns0:t>
        </ns0:is>
      </ns0:c>
      <ns0:c r="E62" s="2" t="inlineStr">
        <ns0:is>
          <ns0:t>版本待核实</ns0:t>
        </ns0:is>
      </ns0:c>
      <ns0:c r="F62" s="2" t="inlineStr">
        <ns0:is>
          <ns0:t>fulltext.pdf</ns0:t>
        </ns0:is>
      </ns0:c>
      <ns0:c r="G62" s="2" t="inlineStr">
        <ns0:is>
          <ns0:t>original_files/R13966/fulltext/fulltext__version_unverified__122a9569f31981ee.pdf</ns0:t>
        </ns0:is>
      </ns0:c>
      <ns0:c r="H62" s="2" t="inlineStr">
        <ns0:is>
          <ns0:t>local_upload</ns0:t>
        </ns0:is>
      </ns0:c>
      <ns0:c r="I62" s="2" t="inlineStr">
        <ns0:is>
          <ns0:t>localdownload/R13966/fulltext.pdf</ns0:t>
        </ns0:is>
      </ns0:c>
      <ns0:c r="J62" s="2" t="n">
        <ns0:v>1302963</ns0:v>
      </ns0:c>
      <ns0:c r="K62" s="2" t="inlineStr">
        <ns0:is>
          <ns0:t>122a9569f31981eec671f75fc414d9be294b410686c05cef65fd834129a95802</ns0:t>
        </ns0:is>
      </ns0:c>
      <ns0:c r="L62" s="2" t="inlineStr">
        <ns0:is>
          <ns0:t>identity_and_body_structure_verified</ns0:t>
        </ns0:is>
      </ns0:c>
      <ns0:c r="M62" s="2" t="inlineStr"/>
      <ns0:c r="N62" s="2" t="inlineStr">
        <ns0:is>
          <ns0:t>首页/前两页题名作者或目标DOI核对，全部页面解析及正文结构检查；不据文件名判全文。</ns0:t>
        </ns0:is>
      </ns0:c>
      <ns0:c r="O62" s="2" t="inlineStr">
        <ns0:is>
          <ns0:t>https://github.com/Colliam-Vermilion/FirstCodex/blob/results/ad-oxygen-literature-20261006/results/ad-oxygen-literature-20261006/original_files/R13966/fulltext/fulltext__version_unverified__122a9569f31981ee.pdf</ns0:t>
        </ns0:is>
      </ns0:c>
    </ns0:row>
    <ns0:row r="63" ht="48" customHeight="1">
      <ns0:c r="A63" s="3" t="inlineStr">
        <ns0:is>
          <ns0:t>R13923</ns0:t>
        </ns0:is>
      </ns0:c>
      <ns0:c r="B63" s="3" t="inlineStr">
        <ns0:is>
          <ns0:t>Nanobubble technology to enhance energy recovery from anaerobic digestion of organic solid wastes: Potential mechanisms and recent advancements</ns0:t>
        </ns0:is>
      </ns0:c>
      <ns0:c r="C63" s="3" t="inlineStr">
        <ns0:is>
          <ns0:t>10.1016/j.scitotenv.2024.172885</ns0:t>
        </ns0:is>
      </ns0:c>
      <ns0:c r="D63" s="3" t="inlineStr">
        <ns0:is>
          <ns0:t>fulltext</ns0:t>
        </ns0:is>
      </ns0:c>
      <ns0:c r="E63" s="3" t="inlineStr">
        <ns0:is>
          <ns0:t>出版版（版式及版权文字）</ns0:t>
        </ns0:is>
      </ns0:c>
      <ns0:c r="F63" s="3" t="inlineStr">
        <ns0:is>
          <ns0:t>fulltext.pdf</ns0:t>
        </ns0:is>
      </ns0:c>
      <ns0:c r="G63" s="3" t="inlineStr">
        <ns0:is>
          <ns0:t>original_files/R13923/fulltext/fulltext__published__126be6677a5ba8ad.pdf</ns0:t>
        </ns0:is>
      </ns0:c>
      <ns0:c r="H63" s="3" t="inlineStr">
        <ns0:is>
          <ns0:t>local_upload</ns0:t>
        </ns0:is>
      </ns0:c>
      <ns0:c r="I63" s="3" t="inlineStr">
        <ns0:is>
          <ns0:t>localdownload/R13923/fulltext.pdf</ns0:t>
        </ns0:is>
      </ns0:c>
      <ns0:c r="J63" s="3" t="n">
        <ns0:v>2700185</ns0:v>
      </ns0:c>
      <ns0:c r="K63" s="3" t="inlineStr">
        <ns0:is>
          <ns0:t>126be6677a5ba8ad7003f2077c06b3011816a765549acde512d0ca783046f2ab</ns0:t>
        </ns0:is>
      </ns0:c>
      <ns0:c r="L63" s="3" t="inlineStr">
        <ns0:is>
          <ns0:t>identity_and_body_structure_verified</ns0:t>
        </ns0:is>
      </ns0:c>
      <ns0:c r="M63" s="3" t="inlineStr"/>
      <ns0:c r="N63" s="3" t="inlineStr">
        <ns0:is>
          <ns0:t>首页/前两页题名作者或目标DOI核对，全部页面解析及正文结构检查；不据文件名判全文。</ns0:t>
        </ns0:is>
      </ns0:c>
      <ns0:c r="O63" s="3" t="inlineStr">
        <ns0:is>
          <ns0:t>https://github.com/Colliam-Vermilion/FirstCodex/blob/results/ad-oxygen-literature-20261006/results/ad-oxygen-literature-20261006/original_files/R13923/fulltext/fulltext__published__126be6677a5ba8ad.pdf</ns0:t>
        </ns0:is>
      </ns0:c>
    </ns0:row>
    <ns0:row r="64" ht="48" customHeight="1">
      <ns0:c r="A64" s="2" t="inlineStr">
        <ns0:is>
          <ns0:t>R13832</ns0:t>
        </ns0:is>
      </ns0:c>
      <ns0:c r="B64" s="2" t="inlineStr">
        <ns0:is>
          <ns0:t>A membrane aerated biofilm reactor for sulfide control from anaerobically treated wastewater.</ns0:t>
        </ns0:is>
      </ns0:c>
      <ns0:c r="C64" s="2" t="inlineStr">
        <ns0:is>
          <ns0:t>10.1080/09593330.2018.1441329</ns0:t>
        </ns0:is>
      </ns0:c>
      <ns0:c r="D64" s="2" t="inlineStr">
        <ns0:is>
          <ns0:t>fulltext</ns0:t>
        </ns0:is>
      </ns0:c>
      <ns0:c r="E64" s="2" t="inlineStr">
        <ns0:is>
          <ns0:t>出版版（版式及版权文字）</ns0:t>
        </ns0:is>
      </ns0:c>
      <ns0:c r="F64" s="2" t="inlineStr">
        <ns0:is>
          <ns0:t>fulltext.pdf</ns0:t>
        </ns0:is>
      </ns0:c>
      <ns0:c r="G64" s="2" t="inlineStr">
        <ns0:is>
          <ns0:t>original_files/R13832/fulltext/fulltext__published__12c614c8fe1d4c0c.pdf</ns0:t>
        </ns0:is>
      </ns0:c>
      <ns0:c r="H64" s="2" t="inlineStr">
        <ns0:is>
          <ns0:t>local_upload</ns0:t>
        </ns0:is>
      </ns0:c>
      <ns0:c r="I64" s="2" t="inlineStr">
        <ns0:is>
          <ns0:t>localdownload/R13832/fulltext.pdf</ns0:t>
        </ns0:is>
      </ns0:c>
      <ns0:c r="J64" s="2" t="n">
        <ns0:v>2436173</ns0:v>
      </ns0:c>
      <ns0:c r="K64" s="2" t="inlineStr">
        <ns0:is>
          <ns0:t>12c614c8fe1d4c0ca70e1b749170fe5b55abe93011fb9dde28798d5b1b578501</ns0:t>
        </ns0:is>
      </ns0:c>
      <ns0:c r="L64" s="2" t="inlineStr">
        <ns0:is>
          <ns0:t>identity_and_body_structure_verified</ns0:t>
        </ns0:is>
      </ns0:c>
      <ns0:c r="M64" s="2" t="inlineStr"/>
      <ns0:c r="N64" s="2" t="inlineStr">
        <ns0:is>
          <ns0:t>首页/前两页题名作者或目标DOI核对，全部页面解析及正文结构检查；不据文件名判全文。</ns0:t>
        </ns0:is>
      </ns0:c>
      <ns0:c r="O64" s="2" t="inlineStr">
        <ns0:is>
          <ns0:t>https://github.com/Colliam-Vermilion/FirstCodex/blob/results/ad-oxygen-literature-20261006/results/ad-oxygen-literature-20261006/original_files/R13832/fulltext/fulltext__published__12c614c8fe1d4c0c.pdf</ns0:t>
        </ns0:is>
      </ns0:c>
    </ns0:row>
    <ns0:row r="65" ht="48" customHeight="1">
      <ns0:c r="A65" s="3" t="inlineStr">
        <ns0:is>
          <ns0:t>R09221</ns0:t>
        </ns0:is>
      </ns0:c>
      <ns0:c r="B65" s="3" t="inlineStr">
        <ns0:is>
          <ns0:t>Microaerobic condition as pretreatment for improving anaerobic digestion: A review</ns0:t>
        </ns0:is>
      </ns0:c>
      <ns0:c r="C65" s="3" t="inlineStr">
        <ns0:is>
          <ns0:t>10.1016/j.biortech.2023.129249</ns0:t>
        </ns0:is>
      </ns0:c>
      <ns0:c r="D65" s="3" t="inlineStr">
        <ns0:is>
          <ns0:t>fulltext</ns0:t>
        </ns0:is>
      </ns0:c>
      <ns0:c r="E65" s="3" t="inlineStr">
        <ns0:is>
          <ns0:t>出版版（版式及版权文字）</ns0:t>
        </ns0:is>
      </ns0:c>
      <ns0:c r="F65" s="3" t="inlineStr">
        <ns0:is>
          <ns0:t>fulltext.pdf</ns0:t>
        </ns0:is>
      </ns0:c>
      <ns0:c r="G65" s="3" t="inlineStr">
        <ns0:is>
          <ns0:t>original_files/R09221/fulltext/fulltext__published__132bd1a80d1c8da4.pdf</ns0:t>
        </ns0:is>
      </ns0:c>
      <ns0:c r="H65" s="3" t="inlineStr">
        <ns0:is>
          <ns0:t>local_upload</ns0:t>
        </ns0:is>
      </ns0:c>
      <ns0:c r="I65" s="3" t="inlineStr">
        <ns0:is>
          <ns0:t>localdownload/R09221/fulltext.pdf</ns0:t>
        </ns0:is>
      </ns0:c>
      <ns0:c r="J65" s="3" t="n">
        <ns0:v>1822770</ns0:v>
      </ns0:c>
      <ns0:c r="K65" s="3" t="inlineStr">
        <ns0:is>
          <ns0:t>132bd1a80d1c8da4c84d63574eb6e13bb79717cfefd3e2904566160897687cda</ns0:t>
        </ns0:is>
      </ns0:c>
      <ns0:c r="L65" s="3" t="inlineStr">
        <ns0:is>
          <ns0:t>identity_and_body_structure_verified</ns0:t>
        </ns0:is>
      </ns0:c>
      <ns0:c r="M65" s="3" t="inlineStr"/>
      <ns0:c r="N65" s="3" t="inlineStr">
        <ns0:is>
          <ns0:t>首页/前两页题名作者或目标DOI核对，全部页面解析及正文结构检查；不据文件名判全文。</ns0:t>
        </ns0:is>
      </ns0:c>
      <ns0:c r="O65" s="3" t="inlineStr">
        <ns0:is>
          <ns0:t>https://github.com/Colliam-Vermilion/FirstCodex/blob/results/ad-oxygen-literature-20261006/results/ad-oxygen-literature-20261006/original_files/R09221/fulltext/fulltext__published__132bd1a80d1c8da4.pdf</ns0:t>
        </ns0:is>
      </ns0:c>
    </ns0:row>
    <ns0:row r="66" ht="48" customHeight="1">
      <ns0:c r="A66" s="2" t="inlineStr">
        <ns0:is>
          <ns0:t>R06833</ns0:t>
        </ns0:is>
      </ns0:c>
      <ns0:c r="B66" s="2" t="inlineStr">
        <ns0:is>
          <ns0:t>Intermittent air mixing system for anaerobic digestion of animal wastewater: Operating conditions and full-scale validation</ns0:t>
        </ns0:is>
      </ns0:c>
      <ns0:c r="C66" s="2" t="inlineStr">
        <ns0:is>
          <ns0:t>10.1016/j.biortech.2021.125304</ns0:t>
        </ns0:is>
      </ns0:c>
      <ns0:c r="D66" s="2" t="inlineStr">
        <ns0:is>
          <ns0:t>supplementary</ns0:t>
        </ns0:is>
      </ns0:c>
      <ns0:c r="E66" s="2" t="inlineStr"/>
      <ns0:c r="F66" s="2" t="inlineStr">
        <ns0:is>
          <ns0:t>supplementary.docx</ns0:t>
        </ns0:is>
      </ns0:c>
      <ns0:c r="G66" s="2" t="inlineStr">
        <ns0:is>
          <ns0:t>original_files/R06833/supplementary/supplementary__13620025dabbc90b.docx</ns0:t>
        </ns0:is>
      </ns0:c>
      <ns0:c r="H66" s="2" t="inlineStr">
        <ns0:is>
          <ns0:t>local_upload</ns0:t>
        </ns0:is>
      </ns0:c>
      <ns0:c r="I66" s="2" t="inlineStr">
        <ns0:is>
          <ns0:t>localdownload/R06833/supplementary.docx</ns0:t>
        </ns0:is>
      </ns0:c>
      <ns0:c r="J66" s="2" t="n">
        <ns0:v>154753</ns0:v>
      </ns0:c>
      <ns0:c r="K66" s="2" t="inlineStr">
        <ns0:is>
          <ns0:t>13620025dabbc90bac13d340b899654398a3c0692603de07e3ea9504a5f6e2d6</ns0:t>
        </ns0:is>
      </ns0:c>
      <ns0:c r="L66" s="2" t="inlineStr">
        <ns0:is>
          <ns0:t>container_crc_verified</ns0:t>
        </ns0:is>
      </ns0:c>
      <ns0:c r="M66" s="2" t="inlineStr">
        <ns0:is>
          <ns0:t>title_in_attachment_verified</ns0:t>
        </ns0:is>
      </ns0:c>
      <ns0:c r="N66" s="2" t="inlineStr"/>
      <ns0:c r="O66" s="2" t="inlineStr">
        <ns0:is>
          <ns0:t>https://github.com/Colliam-Vermilion/FirstCodex/blob/results/ad-oxygen-literature-20261006/results/ad-oxygen-literature-20261006/original_files/R06833/supplementary/supplementary__13620025dabbc90b.docx</ns0:t>
        </ns0:is>
      </ns0:c>
    </ns0:row>
    <ns0:row r="67" ht="48" customHeight="1">
      <ns0:c r="A67" s="3" t="inlineStr">
        <ns0:is>
          <ns0:t>R05065</ns0:t>
        </ns0:is>
      </ns0:c>
      <ns0:c r="B67" s="3" t="inlineStr">
        <ns0:is>
          <ns0:t>Performance of microaeration hydrolytic acidification process in the pretreatment of 2-butenal manufacture wastewater</ns0:t>
        </ns0:is>
      </ns0:c>
      <ns0:c r="C67" s="3" t="inlineStr">
        <ns0:is>
          <ns0:t>10.1016/j.jhazmat.2019.02.034</ns0:t>
        </ns0:is>
      </ns0:c>
      <ns0:c r="D67" s="3" t="inlineStr">
        <ns0:is>
          <ns0:t>supplementary</ns0:t>
        </ns0:is>
      </ns0:c>
      <ns0:c r="E67" s="3" t="inlineStr"/>
      <ns0:c r="F67" s="3" t="inlineStr">
        <ns0:is>
          <ns0:t>supplementary.docx</ns0:t>
        </ns0:is>
      </ns0:c>
      <ns0:c r="G67" s="3" t="inlineStr">
        <ns0:is>
          <ns0:t>original_files/R05065/supplementary/supplementary__138834a73b710b94.docx</ns0:t>
        </ns0:is>
      </ns0:c>
      <ns0:c r="H67" s="3" t="inlineStr">
        <ns0:is>
          <ns0:t>local_upload</ns0:t>
        </ns0:is>
      </ns0:c>
      <ns0:c r="I67" s="3" t="inlineStr">
        <ns0:is>
          <ns0:t>localdownload/R05065/supplementary.docx</ns0:t>
        </ns0:is>
      </ns0:c>
      <ns0:c r="J67" s="3" t="n">
        <ns0:v>734909</ns0:v>
      </ns0:c>
      <ns0:c r="K67" s="3" t="inlineStr">
        <ns0:is>
          <ns0:t>138834a73b710b94f194521b56815619a34161b6ccdb225f771fb58e8ede57bb</ns0:t>
        </ns0:is>
      </ns0:c>
      <ns0:c r="L67" s="3" t="inlineStr">
        <ns0:is>
          <ns0:t>container_crc_verified</ns0:t>
        </ns0:is>
      </ns0:c>
      <ns0:c r="M67" s="3" t="inlineStr">
        <ns0:is>
          <ns0:t>title_in_attachment_verified</ns0:t>
        </ns0:is>
      </ns0:c>
      <ns0:c r="N67" s="3" t="inlineStr"/>
      <ns0:c r="O67" s="3" t="inlineStr">
        <ns0:is>
          <ns0:t>https://github.com/Colliam-Vermilion/FirstCodex/blob/results/ad-oxygen-literature-20261006/results/ad-oxygen-literature-20261006/original_files/R05065/supplementary/supplementary__138834a73b710b94.docx</ns0:t>
        </ns0:is>
      </ns0:c>
    </ns0:row>
    <ns0:row r="68" ht="48" customHeight="1">
      <ns0:c r="A68" s="2" t="inlineStr">
        <ns0:is>
          <ns0:t>R13957</ns0:t>
        </ns0:is>
      </ns0:c>
      <ns0:c r="B68" s="2" t="inlineStr">
        <ns0:is>
          <ns0:t>Microaeration for biogas desulfurization : experimental and simulation study of various reactor types</ns0:t>
        </ns0:is>
      </ns0:c>
      <ns0:c r="C68" s="2" t="inlineStr"/>
      <ns0:c r="D68" s="2" t="inlineStr">
        <ns0:is>
          <ns0:t>source_evidence</ns0:t>
        </ns0:is>
      </ns0:c>
      <ns0:c r="E68" s="2" t="inlineStr"/>
      <ns0:c r="F68" s="2" t="inlineStr">
        <ns0:is>
          <ns0:t>publisher_article_page_20261017.html</ns0:t>
        </ns0:is>
      </ns0:c>
      <ns0:c r="G68" s="2" t="inlineStr">
        <ns0:is>
          <ns0:t>original_files/R13957/evidence/source_evidence__13a4da12432e6ec1.html</ns0:t>
        </ns0:is>
      </ns0:c>
      <ns0:c r="H68" s="2" t="inlineStr">
        <ns0:is>
          <ns0:t>cloud_existing</ns0:t>
        </ns0:is>
      </ns0:c>
      <ns0:c r="I68" s="2" t="inlineStr">
        <ns0:is>
          <ns0:t>original_files/source_evidence/R13957/publisher_article_page_20261017.html</ns0:t>
        </ns0:is>
      </ns0:c>
      <ns0:c r="J68" s="2" t="n">
        <ns0:v>28797</ns0:v>
      </ns0:c>
      <ns0:c r="K68" s="2" t="inlineStr">
        <ns0:is>
          <ns0:t>13a4da12432e6ec1712427728128804e64917fc1c28254c0e9db89e8b1a3b85c</ns0:t>
        </ns0:is>
      </ns0:c>
      <ns0:c r="L68" s="2" t="inlineStr">
        <ns0:is>
          <ns0:t>text_readable</ns0:t>
        </ns0:is>
      </ns0:c>
      <ns0:c r="M68" s="2" t="inlineStr"/>
      <ns0:c r="N68" s="2" t="inlineStr"/>
      <ns0:c r="O68" s="2" t="inlineStr">
        <ns0:is>
          <ns0:t>https://github.com/Colliam-Vermilion/FirstCodex/blob/results/ad-oxygen-literature-20261006/results/ad-oxygen-literature-20261006/original_files/R13957/evidence/source_evidence__13a4da12432e6ec1.html</ns0:t>
        </ns0:is>
      </ns0:c>
    </ns0:row>
    <ns0:row r="69" ht="48" customHeight="1">
      <ns0:c r="A69" s="3" t="inlineStr">
        <ns0:is>
          <ns0:t>R11094</ns0:t>
        </ns0:is>
      </ns0:c>
      <ns0:c r="B69" s="3" t="inlineStr">
        <ns0:is>
          <ns0:t>Aeration promotes Proteobacteria over Firmicutes in macerated food waste, resulting in superior anaerobic digestion efficiency</ns0:t>
        </ns0:is>
      </ns0:c>
      <ns0:c r="C69" s="3" t="inlineStr">
        <ns0:is>
          <ns0:t>10.1093/femsle/fnaf001</ns0:t>
        </ns0:is>
      </ns0:c>
      <ns0:c r="D69" s="3" t="inlineStr">
        <ns0:is>
          <ns0:t>supplementary</ns0:t>
        </ns0:is>
      </ns0:c>
      <ns0:c r="E69" s="3" t="inlineStr"/>
      <ns0:c r="F69" s="3" t="inlineStr">
        <ns0:is>
          <ns0:t>Supp figure 2.jpg</ns0:t>
        </ns0:is>
      </ns0:c>
      <ns0:c r="G69" s="3" t="inlineStr">
        <ns0:is>
          <ns0:t>original_files/R11094/supplementary/supplementary__13b62e160ec9e90b.jpg</ns0:t>
        </ns0:is>
      </ns0:c>
      <ns0:c r="H69" s="3" t="inlineStr">
        <ns0:is>
          <ns0:t>local_upload</ns0:t>
        </ns0:is>
      </ns0:c>
      <ns0:c r="I69" s="3" t="inlineStr">
        <ns0:is>
          <ns0:t>localdownload/R11094/Supp figure 2.jpg</ns0:t>
        </ns0:is>
      </ns0:c>
      <ns0:c r="J69" s="3" t="n">
        <ns0:v>35620</ns0:v>
      </ns0:c>
      <ns0:c r="K69" s="3" t="inlineStr">
        <ns0:is>
          <ns0:t>13b62e160ec9e90b461a8b880fa6d7ac05d13fb54c6da3352b3626f689c84c0a</ns0:t>
        </ns0:is>
      </ns0:c>
      <ns0:c r="L69" s="3" t="inlineStr">
        <ns0:is>
          <ns0:t>image_decode_verified</ns0:t>
        </ns0:is>
      </ns0:c>
      <ns0:c r="M69" s="3" t="inlineStr">
        <ns0:is>
          <ns0:t>directory_and_content_consistent_identity_pending</ns0:t>
        </ns0:is>
      </ns0:c>
      <ns0:c r="N69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69" s="3" t="inlineStr">
        <ns0:is>
          <ns0:t>https://github.com/Colliam-Vermilion/FirstCodex/blob/results/ad-oxygen-literature-20261006/results/ad-oxygen-literature-20261006/original_files/R11094/supplementary/supplementary__13b62e160ec9e90b.jpg</ns0:t>
        </ns0:is>
      </ns0:c>
    </ns0:row>
    <ns0:row r="70" ht="48" customHeight="1">
      <ns0:c r="A70" s="2" t="inlineStr">
        <ns0:is>
          <ns0:t>R09147</ns0:t>
        </ns0:is>
      </ns0:c>
      <ns0:c r="B70" s="2" t="inlineStr">
        <ns0:is>
          <ns0:t>Kinetic study on the effects of elevated temperature and micro aeration in volatile fatty acids production by anaerobic fermentation of alkaline-pretreated oil palm empty fruit bunch</ns0:t>
        </ns0:is>
      </ns0:c>
      <ns0:c r="C70" s="2" t="inlineStr">
        <ns0:is>
          <ns0:t>10.1016/j.jece.2023.110163</ns0:t>
        </ns0:is>
      </ns0:c>
      <ns0:c r="D70" s="2" t="inlineStr">
        <ns0:is>
          <ns0:t>fulltext</ns0:t>
        </ns0:is>
      </ns0:c>
      <ns0:c r="E70" s="2" t="inlineStr">
        <ns0:is>
          <ns0:t>出版版（版式及版权文字）</ns0:t>
        </ns0:is>
      </ns0:c>
      <ns0:c r="F70" s="2" t="inlineStr">
        <ns0:is>
          <ns0:t>fulltext.pdf</ns0:t>
        </ns0:is>
      </ns0:c>
      <ns0:c r="G70" s="2" t="inlineStr">
        <ns0:is>
          <ns0:t>original_files/R09147/fulltext/fulltext__published__14453894c81e4458.pdf</ns0:t>
        </ns0:is>
      </ns0:c>
      <ns0:c r="H70" s="2" t="inlineStr">
        <ns0:is>
          <ns0:t>local_upload</ns0:t>
        </ns0:is>
      </ns0:c>
      <ns0:c r="I70" s="2" t="inlineStr">
        <ns0:is>
          <ns0:t>localdownload/R09147/fulltext.pdf</ns0:t>
        </ns0:is>
      </ns0:c>
      <ns0:c r="J70" s="2" t="n">
        <ns0:v>3842408</ns0:v>
      </ns0:c>
      <ns0:c r="K70" s="2" t="inlineStr">
        <ns0:is>
          <ns0:t>14453894c81e44588a85d060723915e009052cde2c43621ef74738f220eedda4</ns0:t>
        </ns0:is>
      </ns0:c>
      <ns0:c r="L70" s="2" t="inlineStr">
        <ns0:is>
          <ns0:t>identity_and_body_structure_verified</ns0:t>
        </ns0:is>
      </ns0:c>
      <ns0:c r="M70" s="2" t="inlineStr"/>
      <ns0:c r="N70" s="2" t="inlineStr">
        <ns0:is>
          <ns0:t>首页/前两页题名作者或目标DOI核对，全部页面解析及正文结构检查；不据文件名判全文。</ns0:t>
        </ns0:is>
      </ns0:c>
      <ns0:c r="O70" s="2" t="inlineStr">
        <ns0:is>
          <ns0:t>https://github.com/Colliam-Vermilion/FirstCodex/blob/results/ad-oxygen-literature-20261006/results/ad-oxygen-literature-20261006/original_files/R09147/fulltext/fulltext__published__14453894c81e4458.pdf</ns0:t>
        </ns0:is>
      </ns0:c>
    </ns0:row>
    <ns0:row r="71" ht="48" customHeight="1">
      <ns0:c r="A71" s="3" t="inlineStr">
        <ns0:is>
          <ns0:t>R08665</ns0:t>
        </ns0:is>
      </ns0:c>
      <ns0:c r="B71" s="3" t="inlineStr">
        <ns0:is>
          <ns0:t>Bench-Scale Liquid-Phase Microaeration and Iron Dosing Comparison for In Situ Biogas Desulfurization and Antibiotic Resistance Management in Mesophilic Anaerobic Digestion</ns0:t>
        </ns0:is>
      </ns0:c>
      <ns0:c r="C71" s="3" t="inlineStr">
        <ns0:is>
          <ns0:t>10.1021/acsestwater.3c00103</ns0:t>
        </ns0:is>
      </ns0:c>
      <ns0:c r="D71" s="3" t="inlineStr">
        <ns0:is>
          <ns0:t>supplementary</ns0:t>
        </ns0:is>
      </ns0:c>
      <ns0:c r="E71" s="3" t="inlineStr"/>
      <ns0:c r="F71" s="3" t="inlineStr">
        <ns0:is>
          <ns0:t>supplementary.pdf</ns0:t>
        </ns0:is>
      </ns0:c>
      <ns0:c r="G71" s="3" t="inlineStr">
        <ns0:is>
          <ns0:t>original_files/R08665/supplementary/supplementary__1446da96e20c35de.pdf</ns0:t>
        </ns0:is>
      </ns0:c>
      <ns0:c r="H71" s="3" t="inlineStr">
        <ns0:is>
          <ns0:t>local_upload</ns0:t>
        </ns0:is>
      </ns0:c>
      <ns0:c r="I71" s="3" t="inlineStr">
        <ns0:is>
          <ns0:t>localdownload/R08665/supplementary.pdf</ns0:t>
        </ns0:is>
      </ns0:c>
      <ns0:c r="J71" s="3" t="n">
        <ns0:v>301623</ns0:v>
      </ns0:c>
      <ns0:c r="K71" s="3" t="inlineStr">
        <ns0:is>
          <ns0:t>1446da96e20c35deaef9932eb1ba2ee399c7e5ac737ef51211f8dc163865aa37</ns0:t>
        </ns0:is>
      </ns0:c>
      <ns0:c r="L71" s="3" t="inlineStr">
        <ns0:is>
          <ns0:t>pdf_readable_requires_role_review</ns0:t>
        </ns0:is>
      </ns0:c>
      <ns0:c r="M71" s="3" t="inlineStr">
        <ns0:is>
          <ns0:t>title_in_attachment_verified</ns0:t>
        </ns0:is>
      </ns0:c>
      <ns0:c r="N71" s="3" t="inlineStr"/>
      <ns0:c r="O71" s="3" t="inlineStr">
        <ns0:is>
          <ns0:t>https://github.com/Colliam-Vermilion/FirstCodex/blob/results/ad-oxygen-literature-20261006/results/ad-oxygen-literature-20261006/original_files/R08665/supplementary/supplementary__1446da96e20c35de.pdf</ns0:t>
        </ns0:is>
      </ns0:c>
    </ns0:row>
    <ns0:row r="72" ht="48" customHeight="1">
      <ns0:c r="A72" s="2" t="inlineStr">
        <ns0:is>
          <ns0:t>R13934</ns0:t>
        </ns0:is>
      </ns0:c>
      <ns0:c r="B72" s="2" t="inlineStr">
        <ns0:is>
          <ns0:t>Air stripping pre-treatment process to enhance biogas production in anaerobic digestion of chicken manure wastewater</ns0:t>
        </ns0:is>
      </ns0:c>
      <ns0:c r="C72" s="2" t="inlineStr">
        <ns0:is>
          <ns0:t>10.1016/j.biteb.2021.100647</ns0:t>
        </ns0:is>
      </ns0:c>
      <ns0:c r="D72" s="2" t="inlineStr">
        <ns0:is>
          <ns0:t>fulltext</ns0:t>
        </ns0:is>
      </ns0:c>
      <ns0:c r="E72" s="2" t="inlineStr">
        <ns0:is>
          <ns0:t>出版版（版式及版权文字）</ns0:t>
        </ns0:is>
      </ns0:c>
      <ns0:c r="F72" s="2" t="inlineStr">
        <ns0:is>
          <ns0:t>fulltext.pdf</ns0:t>
        </ns0:is>
      </ns0:c>
      <ns0:c r="G72" s="2" t="inlineStr">
        <ns0:is>
          <ns0:t>original_files/R13934/fulltext/fulltext__published__1480f7c3e38dbfec.pdf</ns0:t>
        </ns0:is>
      </ns0:c>
      <ns0:c r="H72" s="2" t="inlineStr">
        <ns0:is>
          <ns0:t>local_upload</ns0:t>
        </ns0:is>
      </ns0:c>
      <ns0:c r="I72" s="2" t="inlineStr">
        <ns0:is>
          <ns0:t>localdownload/R13934/fulltext.pdf</ns0:t>
        </ns0:is>
      </ns0:c>
      <ns0:c r="J72" s="2" t="n">
        <ns0:v>2427281</ns0:v>
      </ns0:c>
      <ns0:c r="K72" s="2" t="inlineStr">
        <ns0:is>
          <ns0:t>1480f7c3e38dbfec89b7d5949aa745f77cbec72bc63ec7dd250e5ab70070943e</ns0:t>
        </ns0:is>
      </ns0:c>
      <ns0:c r="L72" s="2" t="inlineStr">
        <ns0:is>
          <ns0:t>identity_and_body_structure_verified</ns0:t>
        </ns0:is>
      </ns0:c>
      <ns0:c r="M72" s="2" t="inlineStr"/>
      <ns0:c r="N72" s="2" t="inlineStr">
        <ns0:is>
          <ns0:t>首页/前两页题名作者或目标DOI核对，全部页面解析及正文结构检查；不据文件名判全文。</ns0:t>
        </ns0:is>
      </ns0:c>
      <ns0:c r="O72" s="2" t="inlineStr">
        <ns0:is>
          <ns0:t>https://github.com/Colliam-Vermilion/FirstCodex/blob/results/ad-oxygen-literature-20261006/results/ad-oxygen-literature-20261006/original_files/R13934/fulltext/fulltext__published__1480f7c3e38dbfec.pdf</ns0:t>
        </ns0:is>
      </ns0:c>
    </ns0:row>
    <ns0:row r="73" ht="48" customHeight="1">
      <ns0:c r="A73" s="3" t="inlineStr">
        <ns0:is>
          <ns0:t>R11168</ns0:t>
        </ns0:is>
      </ns0:c>
      <ns0:c r="B73" s="3" t="inlineStr">
        <ns0:is>
          <ns0:t>Augmented methanogenic performance in straw-manure co-digestion via micro/nano bubble-enhanced syntrophic metabolism</ns0:t>
        </ns0:is>
      </ns0:c>
      <ns0:c r="C73" s="3" t="inlineStr">
        <ns0:is>
          <ns0:t>10.1016/j.biortech.2025.132955</ns0:t>
        </ns0:is>
      </ns0:c>
      <ns0:c r="D73" s="3" t="inlineStr">
        <ns0:is>
          <ns0:t>fulltext</ns0:t>
        </ns0:is>
      </ns0:c>
      <ns0:c r="E73" s="3" t="inlineStr">
        <ns0:is>
          <ns0:t>出版版（版式及版权文字）</ns0:t>
        </ns0:is>
      </ns0:c>
      <ns0:c r="F73" s="3" t="inlineStr">
        <ns0:is>
          <ns0:t>fulltext.pdf</ns0:t>
        </ns0:is>
      </ns0:c>
      <ns0:c r="G73" s="3" t="inlineStr">
        <ns0:is>
          <ns0:t>original_files/R11168/fulltext/fulltext__published__149f738e0cd8afde.pdf</ns0:t>
        </ns0:is>
      </ns0:c>
      <ns0:c r="H73" s="3" t="inlineStr">
        <ns0:is>
          <ns0:t>local_upload</ns0:t>
        </ns0:is>
      </ns0:c>
      <ns0:c r="I73" s="3" t="inlineStr">
        <ns0:is>
          <ns0:t>localdownload/R11168/fulltext.pdf</ns0:t>
        </ns0:is>
      </ns0:c>
      <ns0:c r="J73" s="3" t="n">
        <ns0:v>8727133</ns0:v>
      </ns0:c>
      <ns0:c r="K73" s="3" t="inlineStr">
        <ns0:is>
          <ns0:t>149f738e0cd8afde9bcd7e1e22e14895bba94e2625413d22a35a77ceb63171d0</ns0:t>
        </ns0:is>
      </ns0:c>
      <ns0:c r="L73" s="3" t="inlineStr">
        <ns0:is>
          <ns0:t>identity_and_body_structure_verified</ns0:t>
        </ns0:is>
      </ns0:c>
      <ns0:c r="M73" s="3" t="inlineStr"/>
      <ns0:c r="N73" s="3" t="inlineStr">
        <ns0:is>
          <ns0:t>首页/前两页题名作者或目标DOI核对，全部页面解析及正文结构检查；不据文件名判全文。</ns0:t>
        </ns0:is>
      </ns0:c>
      <ns0:c r="O73" s="3" t="inlineStr">
        <ns0:is>
          <ns0:t>https://github.com/Colliam-Vermilion/FirstCodex/blob/results/ad-oxygen-literature-20261006/results/ad-oxygen-literature-20261006/original_files/R11168/fulltext/fulltext__published__149f738e0cd8afde.pdf</ns0:t>
        </ns0:is>
      </ns0:c>
    </ns0:row>
    <ns0:row r="74" ht="48" customHeight="1">
      <ns0:c r="A74" s="2" t="inlineStr">
        <ns0:is>
          <ns0:t>R12127</ns0:t>
        </ns0:is>
      </ns0:c>
      <ns0:c r="B74" s="2" t="inlineStr">
        <ns0:is>
          <ns0:t>Reactive oxygen species generation induced by coupling Phanerochaete chrysosporium with intermittent micro-aeration to enhance methane production</ns0:t>
        </ns0:is>
      </ns0:c>
      <ns0:c r="C74" s="2" t="inlineStr">
        <ns0:is>
          <ns0:t>10.1016/j.cej.2025.166351</ns0:t>
        </ns0:is>
      </ns0:c>
      <ns0:c r="D74" s="2" t="inlineStr">
        <ns0:is>
          <ns0:t>fulltext</ns0:t>
        </ns0:is>
      </ns0:c>
      <ns0:c r="E74" s="2" t="inlineStr">
        <ns0:is>
          <ns0:t>出版版（版式及版权文字）</ns0:t>
        </ns0:is>
      </ns0:c>
      <ns0:c r="F74" s="2" t="inlineStr">
        <ns0:is>
          <ns0:t>fulltext.pdf</ns0:t>
        </ns0:is>
      </ns0:c>
      <ns0:c r="G74" s="2" t="inlineStr">
        <ns0:is>
          <ns0:t>original_files/R12127/fulltext/fulltext__published__14faeda50fcb9432.pdf</ns0:t>
        </ns0:is>
      </ns0:c>
      <ns0:c r="H74" s="2" t="inlineStr">
        <ns0:is>
          <ns0:t>local_upload</ns0:t>
        </ns0:is>
      </ns0:c>
      <ns0:c r="I74" s="2" t="inlineStr">
        <ns0:is>
          <ns0:t>localdownload/R12127/fulltext.pdf</ns0:t>
        </ns0:is>
      </ns0:c>
      <ns0:c r="J74" s="2" t="n">
        <ns0:v>4915686</ns0:v>
      </ns0:c>
      <ns0:c r="K74" s="2" t="inlineStr">
        <ns0:is>
          <ns0:t>14faeda50fcb94320d7fec5c7a1d112c73ece0235fb40ef9f26accb3f45fcea1</ns0:t>
        </ns0:is>
      </ns0:c>
      <ns0:c r="L74" s="2" t="inlineStr">
        <ns0:is>
          <ns0:t>identity_and_body_structure_verified</ns0:t>
        </ns0:is>
      </ns0:c>
      <ns0:c r="M74" s="2" t="inlineStr"/>
      <ns0:c r="N74" s="2" t="inlineStr">
        <ns0:is>
          <ns0:t>首页/前两页题名作者或目标DOI核对，全部页面解析及正文结构检查；不据文件名判全文。</ns0:t>
        </ns0:is>
      </ns0:c>
      <ns0:c r="O74" s="2" t="inlineStr">
        <ns0:is>
          <ns0:t>https://github.com/Colliam-Vermilion/FirstCodex/blob/results/ad-oxygen-literature-20261006/results/ad-oxygen-literature-20261006/original_files/R12127/fulltext/fulltext__published__14faeda50fcb9432.pdf</ns0:t>
        </ns0:is>
      </ns0:c>
    </ns0:row>
    <ns0:row r="75" ht="48" customHeight="1">
      <ns0:c r="A75" s="3" t="inlineStr">
        <ns0:is>
          <ns0:t>R09230</ns0:t>
        </ns0:is>
      </ns0:c>
      <ns0:c r="B75" s="3" t="inlineStr">
        <ns0:is>
          <ns0:t>Microbial electrolysis cell simultaneously enhancing methanization and reducing hydrogen sulfide production in anaerobic digestion of sewage sludge</ns0:t>
        </ns0:is>
      </ns0:c>
      <ns0:c r="C75" s="3" t="inlineStr">
        <ns0:is>
          <ns0:t>10.1016/j.chemosphere.2023.139445</ns0:t>
        </ns0:is>
      </ns0:c>
      <ns0:c r="D75" s="3" t="inlineStr">
        <ns0:is>
          <ns0:t>fulltext</ns0:t>
        </ns0:is>
      </ns0:c>
      <ns0:c r="E75" s="3" t="inlineStr">
        <ns0:is>
          <ns0:t>出版版（版式及版权文字）</ns0:t>
        </ns0:is>
      </ns0:c>
      <ns0:c r="F75" s="3" t="inlineStr">
        <ns0:is>
          <ns0:t>fulltext.pdf</ns0:t>
        </ns0:is>
      </ns0:c>
      <ns0:c r="G75" s="3" t="inlineStr">
        <ns0:is>
          <ns0:t>original_files/R09230/fulltext/fulltext__published__14fc742c31a44270.pdf</ns0:t>
        </ns0:is>
      </ns0:c>
      <ns0:c r="H75" s="3" t="inlineStr">
        <ns0:is>
          <ns0:t>local_upload</ns0:t>
        </ns0:is>
      </ns0:c>
      <ns0:c r="I75" s="3" t="inlineStr">
        <ns0:is>
          <ns0:t>localdownload/R09230/fulltext.pdf</ns0:t>
        </ns0:is>
      </ns0:c>
      <ns0:c r="J75" s="3" t="n">
        <ns0:v>1099466</ns0:v>
      </ns0:c>
      <ns0:c r="K75" s="3" t="inlineStr">
        <ns0:is>
          <ns0:t>14fc742c31a4427038724f166cbb3398b3d069901774b81e55e3171dc379b600</ns0:t>
        </ns0:is>
      </ns0:c>
      <ns0:c r="L75" s="3" t="inlineStr">
        <ns0:is>
          <ns0:t>identity_and_body_structure_verified</ns0:t>
        </ns0:is>
      </ns0:c>
      <ns0:c r="M75" s="3" t="inlineStr"/>
      <ns0:c r="N75" s="3" t="inlineStr">
        <ns0:is>
          <ns0:t>首页/前两页题名作者或目标DOI核对，全部页面解析及正文结构检查；不据文件名判全文。</ns0:t>
        </ns0:is>
      </ns0:c>
      <ns0:c r="O75" s="3" t="inlineStr">
        <ns0:is>
          <ns0:t>https://github.com/Colliam-Vermilion/FirstCodex/blob/results/ad-oxygen-literature-20261006/results/ad-oxygen-literature-20261006/original_files/R09230/fulltext/fulltext__published__14fc742c31a44270.pdf</ns0:t>
        </ns0:is>
      </ns0:c>
    </ns0:row>
    <ns0:row r="76" ht="48" customHeight="1">
      <ns0:c r="A76" s="2" t="inlineStr">
        <ns0:is>
          <ns0:t>R12957</ns0:t>
        </ns0:is>
      </ns0:c>
      <ns0:c r="B76" s="2" t="inlineStr">
        <ns0:is>
          <ns0:t>Enhancing high-solid anaerobic digestion of cattle manure using air nanobubble water: Performance improvements and microbial mechanisms under thermophilic and mesophilic conditions</ns0:t>
        </ns0:is>
      </ns0:c>
      <ns0:c r="C76" s="2" t="inlineStr">
        <ns0:is>
          <ns0:t>10.1016/j.jwpe.2026.110326</ns0:t>
        </ns0:is>
      </ns0:c>
      <ns0:c r="D76" s="2" t="inlineStr">
        <ns0:is>
          <ns0:t>fulltext</ns0:t>
        </ns0:is>
      </ns0:c>
      <ns0:c r="E76" s="2" t="inlineStr">
        <ns0:is>
          <ns0:t>出版版（版式及版权文字）</ns0:t>
        </ns0:is>
      </ns0:c>
      <ns0:c r="F76" s="2" t="inlineStr">
        <ns0:is>
          <ns0:t>fulltext.pdf</ns0:t>
        </ns0:is>
      </ns0:c>
      <ns0:c r="G76" s="2" t="inlineStr">
        <ns0:is>
          <ns0:t>original_files/R12957/fulltext/fulltext__published__150a03f1466bd3e9.pdf</ns0:t>
        </ns0:is>
      </ns0:c>
      <ns0:c r="H76" s="2" t="inlineStr">
        <ns0:is>
          <ns0:t>local_upload</ns0:t>
        </ns0:is>
      </ns0:c>
      <ns0:c r="I76" s="2" t="inlineStr">
        <ns0:is>
          <ns0:t>localdownload/R12957/fulltext.pdf</ns0:t>
        </ns0:is>
      </ns0:c>
      <ns0:c r="J76" s="2" t="n">
        <ns0:v>11372333</ns0:v>
      </ns0:c>
      <ns0:c r="K76" s="2" t="inlineStr">
        <ns0:is>
          <ns0:t>150a03f1466bd3e929edfd44e052976a1713b17e34b1f296b3e3de7e61515da0</ns0:t>
        </ns0:is>
      </ns0:c>
      <ns0:c r="L76" s="2" t="inlineStr">
        <ns0:is>
          <ns0:t>identity_and_body_structure_verified</ns0:t>
        </ns0:is>
      </ns0:c>
      <ns0:c r="M76" s="2" t="inlineStr"/>
      <ns0:c r="N76" s="2" t="inlineStr">
        <ns0:is>
          <ns0:t>首页/前两页题名作者或目标DOI核对，全部页面解析及正文结构检查；不据文件名判全文。</ns0:t>
        </ns0:is>
      </ns0:c>
      <ns0:c r="O76" s="2" t="inlineStr">
        <ns0:is>
          <ns0:t>https://github.com/Colliam-Vermilion/FirstCodex/blob/results/ad-oxygen-literature-20261006/results/ad-oxygen-literature-20261006/original_files/R12957/fulltext/fulltext__published__150a03f1466bd3e9.pdf</ns0:t>
        </ns0:is>
      </ns0:c>
    </ns0:row>
    <ns0:row r="77" ht="48" customHeight="1">
      <ns0:c r="A77" s="3" t="inlineStr">
        <ns0:is>
          <ns0:t>R13921</ns0:t>
        </ns0:is>
      </ns0:c>
      <ns0:c r="B77" s="3" t="inlineStr">
        <ns0:is>
          <ns0:t>Optimizing Anaerobic Acidogenesis: Synergistic Effects of Thermal Pretreatment of Composting, Oxygen Regulation, and Additive Supplementation</ns0:t>
        </ns0:is>
      </ns0:c>
      <ns0:c r="C77" s="3" t="inlineStr">
        <ns0:is>
          <ns0:t>10.3390/su17146494</ns0:t>
        </ns0:is>
      </ns0:c>
      <ns0:c r="D77" s="3" t="inlineStr">
        <ns0:is>
          <ns0:t>fulltext</ns0:t>
        </ns0:is>
      </ns0:c>
      <ns0:c r="E77" s="3" t="inlineStr">
        <ns0:is>
          <ns0:t>出版版本（原页出版信息）</ns0:t>
        </ns0:is>
      </ns0:c>
      <ns0:c r="F77" s="3" t="inlineStr">
        <ns0:is>
          <ns0:t>R13921_2025_Optimizing_Anaerobic_Acidogenesis_Synergistic_Effects_of_Thermal_Pretreatment_of.pdf</ns0:t>
        </ns0:is>
      </ns0:c>
      <ns0:c r="G77" s="3" t="inlineStr">
        <ns0:is>
          <ns0:t>original_files/R13921/fulltext/fulltext__published__151f154636afa1e3.pdf</ns0:t>
        </ns0:is>
      </ns0:c>
      <ns0:c r="H77" s="3" t="inlineStr">
        <ns0:is>
          <ns0:t>cloud_existing</ns0:t>
        </ns0:is>
      </ns0:c>
      <ns0:c r="I77" s="3" t="inlineStr">
        <ns0:is>
          <ns0:t>original_files/fulltext/R13921_2025_Optimizing_Anaerobic_Acidogenesis_Synergistic_Effects_of_Thermal_Pretreatment_of.pdf</ns0:t>
        </ns0:is>
      </ns0:c>
      <ns0:c r="J77" s="3" t="n">
        <ns0:v>3327431</ns0:v>
      </ns0:c>
      <ns0:c r="K77" s="3" t="inlineStr">
        <ns0:is>
          <ns0:t>151f154636afa1e3f70f0087a3fbe0a87cf69a03c60e49ac774df5bf777c987d</ns0:t>
        </ns0:is>
      </ns0:c>
      <ns0:c r="L77" s="3" t="inlineStr">
        <ns0:is>
          <ns0:t>identity_and_body_structure_verified</ns0:t>
        </ns0:is>
      </ns0:c>
      <ns0:c r="M77" s="3" t="inlineStr"/>
      <ns0:c r="N77" s="3" t="inlineStr">
        <ns0:is>
          <ns0:t>首页/前两页题名作者或目标DOI核对，全部页面解析及正文结构检查；不据文件名判全文。</ns0:t>
        </ns0:is>
      </ns0:c>
      <ns0:c r="O77" s="3" t="inlineStr">
        <ns0:is>
          <ns0:t>https://github.com/Colliam-Vermilion/FirstCodex/blob/results/ad-oxygen-literature-20261006/results/ad-oxygen-literature-20261006/original_files/R13921/fulltext/fulltext__published__151f154636afa1e3.pdf</ns0:t>
        </ns0:is>
      </ns0:c>
    </ns0:row>
    <ns0:row r="78" ht="48" customHeight="1">
      <ns0:c r="A78" s="2" t="inlineStr">
        <ns0:is>
          <ns0:t>R13898</ns0:t>
        </ns0:is>
      </ns0:c>
      <ns0:c r="B78" s="2" t="inlineStr">
        <ns0:is>
          <ns0:t>Effect of different aerobic hydrolysis time on the anaerobic digestion characteristics and energy consumption analysis</ns0:t>
        </ns0:is>
      </ns0:c>
      <ns0:c r="C78" s="2" t="inlineStr">
        <ns0:is>
          <ns0:t>10.1016/j.biortech.2020.124332</ns0:t>
        </ns0:is>
      </ns0:c>
      <ns0:c r="D78" s="2" t="inlineStr">
        <ns0:is>
          <ns0:t>fulltext</ns0:t>
        </ns0:is>
      </ns0:c>
      <ns0:c r="E78" s="2" t="inlineStr">
        <ns0:is>
          <ns0:t>出版版（版式及版权文字）</ns0:t>
        </ns0:is>
      </ns0:c>
      <ns0:c r="F78" s="2" t="inlineStr">
        <ns0:is>
          <ns0:t>fulltext.pdf</ns0:t>
        </ns0:is>
      </ns0:c>
      <ns0:c r="G78" s="2" t="inlineStr">
        <ns0:is>
          <ns0:t>original_files/R13898/fulltext/fulltext__published__1547352d8c4bac92.pdf</ns0:t>
        </ns0:is>
      </ns0:c>
      <ns0:c r="H78" s="2" t="inlineStr">
        <ns0:is>
          <ns0:t>local_upload</ns0:t>
        </ns0:is>
      </ns0:c>
      <ns0:c r="I78" s="2" t="inlineStr">
        <ns0:is>
          <ns0:t>localdownload/R13898/fulltext.pdf</ns0:t>
        </ns0:is>
      </ns0:c>
      <ns0:c r="J78" s="2" t="n">
        <ns0:v>1588793</ns0:v>
      </ns0:c>
      <ns0:c r="K78" s="2" t="inlineStr">
        <ns0:is>
          <ns0:t>1547352d8c4bac921dcf8cb11da16167bbddb16209d5f47490a0acbe1accb741</ns0:t>
        </ns0:is>
      </ns0:c>
      <ns0:c r="L78" s="2" t="inlineStr">
        <ns0:is>
          <ns0:t>identity_and_body_structure_verified</ns0:t>
        </ns0:is>
      </ns0:c>
      <ns0:c r="M78" s="2" t="inlineStr"/>
      <ns0:c r="N78" s="2" t="inlineStr">
        <ns0:is>
          <ns0:t>首页/前两页题名作者或目标DOI核对，全部页面解析及正文结构检查；不据文件名判全文。</ns0:t>
        </ns0:is>
      </ns0:c>
      <ns0:c r="O78" s="2" t="inlineStr">
        <ns0:is>
          <ns0:t>https://github.com/Colliam-Vermilion/FirstCodex/blob/results/ad-oxygen-literature-20261006/results/ad-oxygen-literature-20261006/original_files/R13898/fulltext/fulltext__published__1547352d8c4bac92.pdf</ns0:t>
        </ns0:is>
      </ns0:c>
    </ns0:row>
    <ns0:row r="79" ht="48" customHeight="1">
      <ns0:c r="A79" s="3" t="inlineStr">
        <ns0:is>
          <ns0:t>R04324</ns0:t>
        </ns0:is>
      </ns0:c>
      <ns0:c r="B79" s="3" t="inlineStr">
        <ns0:is>
          <ns0:t>Stimulation of methane yield rate from food waste by aerobic pre-treatment</ns0:t>
        </ns0:is>
      </ns0:c>
      <ns0:c r="C79" s="3" t="inlineStr">
        <ns0:is>
          <ns0:t>10.1016/j.biortech.2018.04.006</ns0:t>
        </ns0:is>
      </ns0:c>
      <ns0:c r="D79" s="3" t="inlineStr">
        <ns0:is>
          <ns0:t>fulltext</ns0:t>
        </ns0:is>
      </ns0:c>
      <ns0:c r="E79" s="3" t="inlineStr">
        <ns0:is>
          <ns0:t>出版版（版式及版权文字）</ns0:t>
        </ns0:is>
      </ns0:c>
      <ns0:c r="F79" s="3" t="inlineStr">
        <ns0:is>
          <ns0:t>fulltext.pdf</ns0:t>
        </ns0:is>
      </ns0:c>
      <ns0:c r="G79" s="3" t="inlineStr">
        <ns0:is>
          <ns0:t>original_files/R04324/fulltext/fulltext__published__1590c60360a46d39.pdf</ns0:t>
        </ns0:is>
      </ns0:c>
      <ns0:c r="H79" s="3" t="inlineStr">
        <ns0:is>
          <ns0:t>local_upload</ns0:t>
        </ns0:is>
      </ns0:c>
      <ns0:c r="I79" s="3" t="inlineStr">
        <ns0:is>
          <ns0:t>localdownload/R04324/fulltext.pdf</ns0:t>
        </ns0:is>
      </ns0:c>
      <ns0:c r="J79" s="3" t="n">
        <ns0:v>609877</ns0:v>
      </ns0:c>
      <ns0:c r="K79" s="3" t="inlineStr">
        <ns0:is>
          <ns0:t>1590c60360a46d392999a24ef4147ea6023717eb6f845a839d69b8dccaf6f4a8</ns0:t>
        </ns0:is>
      </ns0:c>
      <ns0:c r="L79" s="3" t="inlineStr">
        <ns0:is>
          <ns0:t>identity_and_body_structure_verified</ns0:t>
        </ns0:is>
      </ns0:c>
      <ns0:c r="M79" s="3" t="inlineStr"/>
      <ns0:c r="N79" s="3" t="inlineStr">
        <ns0:is>
          <ns0:t>首页/前两页题名作者或目标DOI核对，全部页面解析及正文结构检查；不据文件名判全文。</ns0:t>
        </ns0:is>
      </ns0:c>
      <ns0:c r="O79" s="3" t="inlineStr">
        <ns0:is>
          <ns0:t>https://github.com/Colliam-Vermilion/FirstCodex/blob/results/ad-oxygen-literature-20261006/results/ad-oxygen-literature-20261006/original_files/R04324/fulltext/fulltext__published__1590c60360a46d39.pdf</ns0:t>
        </ns0:is>
      </ns0:c>
    </ns0:row>
    <ns0:row r="80" ht="48" customHeight="1">
      <ns0:c r="A80" s="2" t="inlineStr"/>
      <ns0:c r="B80" s="2" t="inlineStr"/>
      <ns0:c r="C80" s="2" t="inlineStr"/>
      <ns0:c r="D80" s="2" t="inlineStr">
        <ns0:is>
          <ns0:t>source_evidence</ns0:t>
        </ns0:is>
      </ns0:c>
      <ns0:c r="E80" s="2" t="inlineStr"/>
      <ns0:c r="F80" s="2" t="inlineStr">
        <ns0:is>
          <ns0:t>pdf_declared_supplement_access.jsonl</ns0:t>
        </ns0:is>
      </ns0:c>
      <ns0:c r="G80" s="2" t="inlineStr">
        <ns0:is>
          <ns0:t>original_files/_project_evidence/evidence/source_evidence__15a0cdc7e9f11610.jsonl</ns0:t>
        </ns0:is>
      </ns0:c>
      <ns0:c r="H80" s="2" t="inlineStr">
        <ns0:is>
          <ns0:t>cloud_existing</ns0:t>
        </ns0:is>
      </ns0:c>
      <ns0:c r="I80" s="2" t="inlineStr">
        <ns0:is>
          <ns0:t>original_files/repository_followups_20261017/pdf_declared_supplement_access.jsonl</ns0:t>
        </ns0:is>
      </ns0:c>
      <ns0:c r="J80" s="2" t="n">
        <ns0:v>733</ns0:v>
      </ns0:c>
      <ns0:c r="K80" s="2" t="inlineStr">
        <ns0:is>
          <ns0:t>15a0cdc7e9f1161045abfce6fe8c74d283ec7577d6811ec492cf14f85ce8b3af</ns0:t>
        </ns0:is>
      </ns0:c>
      <ns0:c r="L80" s="2" t="inlineStr">
        <ns0:is>
          <ns0:t>text_readable</ns0:t>
        </ns0:is>
      </ns0:c>
      <ns0:c r="M80" s="2" t="inlineStr"/>
      <ns0:c r="N80" s="2" t="inlineStr"/>
      <ns0:c r="O80" s="2" t="inlineStr">
        <ns0:is>
          <ns0:t>https://github.com/Colliam-Vermilion/FirstCodex/blob/results/ad-oxygen-literature-20261006/results/ad-oxygen-literature-20261006/original_files/_project_evidence/evidence/source_evidence__15a0cdc7e9f11610.jsonl</ns0:t>
        </ns0:is>
      </ns0:c>
    </ns0:row>
    <ns0:row r="81" ht="48" customHeight="1">
      <ns0:c r="A81" s="3" t="inlineStr">
        <ns0:is>
          <ns0:t>R13904</ns0:t>
        </ns0:is>
      </ns0:c>
      <ns0:c r="B81" s="3" t="inlineStr">
        <ns0:is>
          <ns0:t>Short-term aerobic pretreatment of swine manure enhances short-chain fatty acid production in anaerobic fermentation: performance and mechanisms</ns0:t>
        </ns0:is>
      </ns0:c>
      <ns0:c r="C81" s="3" t="inlineStr">
        <ns0:is>
          <ns0:t>10.1007/s00449-026-03401-y</ns0:t>
        </ns0:is>
      </ns0:c>
      <ns0:c r="D81" s="3" t="inlineStr">
        <ns0:is>
          <ns0:t>fulltext</ns0:t>
        </ns0:is>
      </ns0:c>
      <ns0:c r="E81" s="3" t="inlineStr">
        <ns0:is>
          <ns0:t>出版版（版式及版权文字）</ns0:t>
        </ns0:is>
      </ns0:c>
      <ns0:c r="F81" s="3" t="inlineStr">
        <ns0:is>
          <ns0:t>fulltext.pdf</ns0:t>
        </ns0:is>
      </ns0:c>
      <ns0:c r="G81" s="3" t="inlineStr">
        <ns0:is>
          <ns0:t>original_files/R13904/fulltext/fulltext__published__16094176f2327e81.pdf</ns0:t>
        </ns0:is>
      </ns0:c>
      <ns0:c r="H81" s="3" t="inlineStr">
        <ns0:is>
          <ns0:t>local_upload</ns0:t>
        </ns0:is>
      </ns0:c>
      <ns0:c r="I81" s="3" t="inlineStr">
        <ns0:is>
          <ns0:t>localdownload/R13904/fulltext.pdf</ns0:t>
        </ns0:is>
      </ns0:c>
      <ns0:c r="J81" s="3" t="n">
        <ns0:v>1202956</ns0:v>
      </ns0:c>
      <ns0:c r="K81" s="3" t="inlineStr">
        <ns0:is>
          <ns0:t>16094176f2327e81ed5d6d0ba20c9aa0f864063dd0d42a5d5475f6073344c64e</ns0:t>
        </ns0:is>
      </ns0:c>
      <ns0:c r="L81" s="3" t="inlineStr">
        <ns0:is>
          <ns0:t>identity_and_body_structure_verified</ns0:t>
        </ns0:is>
      </ns0:c>
      <ns0:c r="M81" s="3" t="inlineStr"/>
      <ns0:c r="N81" s="3" t="inlineStr">
        <ns0:is>
          <ns0:t>首页/前两页题名作者或目标DOI核对，全部页面解析及正文结构检查；不据文件名判全文。</ns0:t>
        </ns0:is>
      </ns0:c>
      <ns0:c r="O81" s="3" t="inlineStr">
        <ns0:is>
          <ns0:t>https://github.com/Colliam-Vermilion/FirstCodex/blob/results/ad-oxygen-literature-20261006/results/ad-oxygen-literature-20261006/original_files/R13904/fulltext/fulltext__published__16094176f2327e81.pdf</ns0:t>
        </ns0:is>
      </ns0:c>
    </ns0:row>
    <ns0:row r="82" ht="48" customHeight="1">
      <ns0:c r="A82" s="2" t="inlineStr">
        <ns0:is>
          <ns0:t>R11845</ns0:t>
        </ns0:is>
      </ns0:c>
      <ns0:c r="B82" s="2" t="inlineStr">
        <ns0:is>
          <ns0:t>Micro-aeration to improve anaerobic digestion of cattle slurry</ns0:t>
        </ns0:is>
      </ns0:c>
      <ns0:c r="C82" s="2" t="inlineStr"/>
      <ns0:c r="D82" s="2" t="inlineStr">
        <ns0:is>
          <ns0:t>abstract</ns0:t>
        </ns0:is>
      </ns0:c>
      <ns0:c r="E82" s="2" t="inlineStr"/>
      <ns0:c r="F82" s="2" t="inlineStr">
        <ns0:is>
          <ns0:t>abstract.pdf</ns0:t>
        </ns0:is>
      </ns0:c>
      <ns0:c r="G82" s="2" t="inlineStr">
        <ns0:is>
          <ns0:t>original_files/R11845/abstract_poster/abstract__1643baa7bb1999c2.pdf</ns0:t>
        </ns0:is>
      </ns0:c>
      <ns0:c r="H82" s="2" t="inlineStr">
        <ns0:is>
          <ns0:t>local_upload</ns0:t>
        </ns0:is>
      </ns0:c>
      <ns0:c r="I82" s="2" t="inlineStr">
        <ns0:is>
          <ns0:t>localdownload/R11845/abstract.pdf</ns0:t>
        </ns0:is>
      </ns0:c>
      <ns0:c r="J82" s="2" t="n">
        <ns0:v>285993</ns0:v>
      </ns0:c>
      <ns0:c r="K82" s="2" t="inlineStr">
        <ns0:is>
          <ns0:t>1643baa7bb1999c260cae1c6d68ab5c01142df55e1020136b3a8f8fc97f7b8f6</ns0:t>
        </ns0:is>
      </ns0:c>
      <ns0:c r="L82" s="2" t="inlineStr">
        <ns0:is>
          <ns0:t>abstract_identity_verified_not_fulltext</ns0:t>
        </ns0:is>
      </ns0:c>
      <ns0:c r="M82" s="2" t="inlineStr"/>
      <ns0:c r="N82" s="2" t="inlineStr">
        <ns0:is>
          <ns0:t>内容为会议摘要/展示材料，题名核对，仅摘要，不计已取得全文。</ns0:t>
        </ns0:is>
      </ns0:c>
      <ns0:c r="O82" s="2" t="inlineStr">
        <ns0:is>
          <ns0:t>https://github.com/Colliam-Vermilion/FirstCodex/blob/results/ad-oxygen-literature-20261006/results/ad-oxygen-literature-20261006/original_files/R11845/abstract_poster/abstract__1643baa7bb1999c2.pdf</ns0:t>
        </ns0:is>
      </ns0:c>
    </ns0:row>
    <ns0:row r="83" ht="48" customHeight="1">
      <ns0:c r="A83" s="3" t="inlineStr">
        <ns0:is>
          <ns0:t>R08877</ns0:t>
        </ns0:is>
      </ns0:c>
      <ns0:c r="B83" s="3" t="inlineStr">
        <ns0:is>
          <ns0:t>Effects of Low Oxygen Dosages on an Anaerobic Membrane Bioreactor, Simulating the Oxygen Load in an Anaerobic Digester-Dissolved Air Flotation (AD-DAF) System</ns0:t>
        </ns0:is>
      </ns0:c>
      <ns0:c r="C83" s="3" t="inlineStr">
        <ns0:is>
          <ns0:t>10.1021/acsestwater.3c00544</ns0:t>
        </ns0:is>
      </ns0:c>
      <ns0:c r="D83" s="3" t="inlineStr">
        <ns0:is>
          <ns0:t>fulltext</ns0:t>
        </ns0:is>
      </ns0:c>
      <ns0:c r="E83" s="3" t="inlineStr">
        <ns0:is>
          <ns0:t>出版版本（原页出版信息）</ns0:t>
        </ns0:is>
      </ns0:c>
      <ns0:c r="F83" s="3" t="inlineStr">
        <ns0:is>
          <ns0:t>R08877_2023_Effects_of_Low_Oxygen_Dosages_on_an_Anaerobic_Membrane.pdf</ns0:t>
        </ns0:is>
      </ns0:c>
      <ns0:c r="G83" s="3" t="inlineStr">
        <ns0:is>
          <ns0:t>original_files/R08877/fulltext/fulltext__published__1665f472122ce85f.pdf</ns0:t>
        </ns0:is>
      </ns0:c>
      <ns0:c r="H83" s="3" t="inlineStr">
        <ns0:is>
          <ns0:t>cloud_existing</ns0:t>
        </ns0:is>
      </ns0:c>
      <ns0:c r="I83" s="3" t="inlineStr">
        <ns0:is>
          <ns0:t>original_files/fulltext/R08877_2023_Effects_of_Low_Oxygen_Dosages_on_an_Anaerobic_Membrane.pdf</ns0:t>
        </ns0:is>
      </ns0:c>
      <ns0:c r="J83" s="3" t="n">
        <ns0:v>3855275</ns0:v>
      </ns0:c>
      <ns0:c r="K83" s="3" t="inlineStr">
        <ns0:is>
          <ns0:t>1665f472122ce85f4b06ce2770b29b6eb114e09600163b1776a8b49edc1e26a3</ns0:t>
        </ns0:is>
      </ns0:c>
      <ns0:c r="L83" s="3" t="inlineStr">
        <ns0:is>
          <ns0:t>identity_and_body_structure_verified</ns0:t>
        </ns0:is>
      </ns0:c>
      <ns0:c r="M83" s="3" t="inlineStr"/>
      <ns0:c r="N83" s="3" t="inlineStr">
        <ns0:is>
          <ns0:t>首页/前两页题名作者或目标DOI核对，全部页面解析及正文结构检查；不据文件名判全文。</ns0:t>
        </ns0:is>
      </ns0:c>
      <ns0:c r="O83" s="3" t="inlineStr">
        <ns0:is>
          <ns0:t>https://github.com/Colliam-Vermilion/FirstCodex/blob/results/ad-oxygen-literature-20261006/results/ad-oxygen-literature-20261006/original_files/R08877/fulltext/fulltext__published__1665f472122ce85f.pdf</ns0:t>
        </ns0:is>
      </ns0:c>
    </ns0:row>
    <ns0:row r="84" ht="48" customHeight="1">
      <ns0:c r="A84" s="2" t="inlineStr">
        <ns0:is>
          <ns0:t>R08665</ns0:t>
        </ns0:is>
      </ns0:c>
      <ns0:c r="B84" s="2" t="inlineStr">
        <ns0:is>
          <ns0:t>Bench-Scale Liquid-Phase Microaeration and Iron Dosing Comparison for In Situ Biogas Desulfurization and Antibiotic Resistance Management in Mesophilic Anaerobic Digestion</ns0:t>
        </ns0:is>
      </ns0:c>
      <ns0:c r="C84" s="2" t="inlineStr">
        <ns0:is>
          <ns0:t>10.1021/acsestwater.3c00103</ns0:t>
        </ns0:is>
      </ns0:c>
      <ns0:c r="D84" s="2" t="inlineStr">
        <ns0:is>
          <ns0:t>fulltext</ns0:t>
        </ns0:is>
      </ns0:c>
      <ns0:c r="E84" s="2" t="inlineStr">
        <ns0:is>
          <ns0:t>出版版（版式及版权文字）</ns0:t>
        </ns0:is>
      </ns0:c>
      <ns0:c r="F84" s="2" t="inlineStr">
        <ns0:is>
          <ns0:t>fulltext.pdf</ns0:t>
        </ns0:is>
      </ns0:c>
      <ns0:c r="G84" s="2" t="inlineStr">
        <ns0:is>
          <ns0:t>original_files/R08665/fulltext/fulltext__published__1681f2540263ce5e.pdf</ns0:t>
        </ns0:is>
      </ns0:c>
      <ns0:c r="H84" s="2" t="inlineStr">
        <ns0:is>
          <ns0:t>local_upload</ns0:t>
        </ns0:is>
      </ns0:c>
      <ns0:c r="I84" s="2" t="inlineStr">
        <ns0:is>
          <ns0:t>localdownload/R08665/fulltext.pdf</ns0:t>
        </ns0:is>
      </ns0:c>
      <ns0:c r="J84" s="2" t="n">
        <ns0:v>11632981</ns0:v>
      </ns0:c>
      <ns0:c r="K84" s="2" t="inlineStr">
        <ns0:is>
          <ns0:t>1681f2540263ce5eb49d65e33e3f9bc5875badce10eed58ee3faa12855ed5a3b</ns0:t>
        </ns0:is>
      </ns0:c>
      <ns0:c r="L84" s="2" t="inlineStr">
        <ns0:is>
          <ns0:t>identity_and_body_structure_verified</ns0:t>
        </ns0:is>
      </ns0:c>
      <ns0:c r="M84" s="2" t="inlineStr"/>
      <ns0:c r="N84" s="2" t="inlineStr">
        <ns0:is>
          <ns0:t>首页/前两页题名作者或目标DOI核对，全部页面解析及正文结构检查；不据文件名判全文。</ns0:t>
        </ns0:is>
      </ns0:c>
      <ns0:c r="O84" s="2" t="inlineStr">
        <ns0:is>
          <ns0:t>https://github.com/Colliam-Vermilion/FirstCodex/blob/results/ad-oxygen-literature-20261006/results/ad-oxygen-literature-20261006/original_files/R08665/fulltext/fulltext__published__1681f2540263ce5e.pdf</ns0:t>
        </ns0:is>
      </ns0:c>
    </ns0:row>
    <ns0:row r="85" ht="48" customHeight="1">
      <ns0:c r="A85" s="3" t="inlineStr">
        <ns0:is>
          <ns0:t>R12127</ns0:t>
        </ns0:is>
      </ns0:c>
      <ns0:c r="B85" s="3" t="inlineStr">
        <ns0:is>
          <ns0:t>Reactive oxygen species generation induced by coupling Phanerochaete chrysosporium with intermittent micro-aeration to enhance methane production</ns0:t>
        </ns0:is>
      </ns0:c>
      <ns0:c r="C85" s="3" t="inlineStr">
        <ns0:is>
          <ns0:t>10.1016/j.cej.2025.166351</ns0:t>
        </ns0:is>
      </ns0:c>
      <ns0:c r="D85" s="3" t="inlineStr">
        <ns0:is>
          <ns0:t>supplementary</ns0:t>
        </ns0:is>
      </ns0:c>
      <ns0:c r="E85" s="3" t="inlineStr"/>
      <ns0:c r="F85" s="3" t="inlineStr">
        <ns0:is>
          <ns0:t>supplementary.docx</ns0:t>
        </ns0:is>
      </ns0:c>
      <ns0:c r="G85" s="3" t="inlineStr">
        <ns0:is>
          <ns0:t>original_files/R12127/supplementary/supplementary__16a131ec6fbe2bb8.docx</ns0:t>
        </ns0:is>
      </ns0:c>
      <ns0:c r="H85" s="3" t="inlineStr">
        <ns0:is>
          <ns0:t>local_upload</ns0:t>
        </ns0:is>
      </ns0:c>
      <ns0:c r="I85" s="3" t="inlineStr">
        <ns0:is>
          <ns0:t>localdownload/R12127/supplementary.docx</ns0:t>
        </ns0:is>
      </ns0:c>
      <ns0:c r="J85" s="3" t="n">
        <ns0:v>516891</ns0:v>
      </ns0:c>
      <ns0:c r="K85" s="3" t="inlineStr">
        <ns0:is>
          <ns0:t>16a131ec6fbe2bb8474d662760d3a3cc7de9fe5dbb3a938f84549a36cf49cc16</ns0:t>
        </ns0:is>
      </ns0:c>
      <ns0:c r="L85" s="3" t="inlineStr">
        <ns0:is>
          <ns0:t>container_crc_verified</ns0:t>
        </ns0:is>
      </ns0:c>
      <ns0:c r="M85" s="3" t="inlineStr">
        <ns0:is>
          <ns0:t>title_in_attachment_verified</ns0:t>
        </ns0:is>
      </ns0:c>
      <ns0:c r="N85" s="3" t="inlineStr"/>
      <ns0:c r="O85" s="3" t="inlineStr">
        <ns0:is>
          <ns0:t>https://github.com/Colliam-Vermilion/FirstCodex/blob/results/ad-oxygen-literature-20261006/results/ad-oxygen-literature-20261006/original_files/R12127/supplementary/supplementary__16a131ec6fbe2bb8.docx</ns0:t>
        </ns0:is>
      </ns0:c>
    </ns0:row>
    <ns0:row r="86" ht="48" customHeight="1">
      <ns0:c r="A86" s="2" t="inlineStr">
        <ns0:is>
          <ns0:t>R09236</ns0:t>
        </ns0:is>
      </ns0:c>
      <ns0:c r="B86" s="2" t="inlineStr">
        <ns0:is>
          <ns0:t>Microbiome Diversity of Anaerobic Digesters Is Enhanced by Microaeration and Low Frequency Sound</ns0:t>
        </ns0:is>
      </ns0:c>
      <ns0:c r="C86" s="2" t="inlineStr">
        <ns0:is>
          <ns0:t>10.3390/microorganisms11092349</ns0:t>
        </ns0:is>
      </ns0:c>
      <ns0:c r="D86" s="2" t="inlineStr">
        <ns0:is>
          <ns0:t>supplementary</ns0:t>
        </ns0:is>
      </ns0:c>
      <ns0:c r="E86" s="2" t="inlineStr"/>
      <ns0:c r="F86" s="2" t="inlineStr">
        <ns0:is>
          <ns0:t>microorganisms-11-02349-s001.zip</ns0:t>
        </ns0:is>
      </ns0:c>
      <ns0:c r="G86" s="2" t="inlineStr">
        <ns0:is>
          <ns0:t>original_files/R09236/supplementary/supplementary__17102352b095b0fc.zip</ns0:t>
        </ns0:is>
      </ns0:c>
      <ns0:c r="H86" s="2" t="inlineStr">
        <ns0:is>
          <ns0:t>cloud_existing</ns0:t>
        </ns0:is>
      </ns0:c>
      <ns0:c r="I86" s="2" t="inlineStr">
        <ns0:is>
          <ns0:t>original_files/supplementary/R09236/microorganisms-11-02349-s001.zip</ns0:t>
        </ns0:is>
      </ns0:c>
      <ns0:c r="J86" s="2" t="n">
        <ns0:v>127719</ns0:v>
      </ns0:c>
      <ns0:c r="K86" s="2" t="inlineStr">
        <ns0:is>
          <ns0:t>17102352b095b0fc97e7455ed7edc91ce96d20181b5c1194d69fc2336d7ad5fa</ns0:t>
        </ns0:is>
      </ns0:c>
      <ns0:c r="L86" s="2" t="inlineStr">
        <ns0:is>
          <ns0:t>container_crc_verified</ns0:t>
        </ns0:is>
      </ns0:c>
      <ns0:c r="M86" s="2" t="inlineStr">
        <ns0:is>
          <ns0:t>existing_official_attachment_evidence_retained</ns0:t>
        </ns0:is>
      </ns0:c>
      <ns0:c r="N86" s="2" t="inlineStr"/>
      <ns0:c r="O86" s="2" t="inlineStr">
        <ns0:is>
          <ns0:t>https://github.com/Colliam-Vermilion/FirstCodex/blob/results/ad-oxygen-literature-20261006/results/ad-oxygen-literature-20261006/original_files/R09236/supplementary/supplementary__17102352b095b0fc.zip</ns0:t>
        </ns0:is>
      </ns0:c>
    </ns0:row>
    <ns0:row r="87" ht="48" customHeight="1">
      <ns0:c r="A87" s="3" t="inlineStr">
        <ns0:is>
          <ns0:t>R05213</ns0:t>
        </ns0:is>
      </ns0:c>
      <ns0:c r="B87" s="3" t="inlineStr">
        <ns0:is>
          <ns0:t>The use of lytic polysaccharide monooxygenases in anaerobic digestion of lignocellulosic materials</ns0:t>
        </ns0:is>
      </ns0:c>
      <ns0:c r="C87" s="3" t="inlineStr">
        <ns0:is>
          <ns0:t>10.1186/s13068-019-1611-8</ns0:t>
        </ns0:is>
      </ns0:c>
      <ns0:c r="D87" s="3" t="inlineStr">
        <ns0:is>
          <ns0:t>source_evidence</ns0:t>
        </ns0:is>
      </ns0:c>
      <ns0:c r="E87" s="3" t="inlineStr"/>
      <ns0:c r="F87" s="3" t="inlineStr">
        <ns0:is>
          <ns0:t>PMC6858683_fullText.xml</ns0:t>
        </ns0:is>
      </ns0:c>
      <ns0:c r="G87" s="3" t="inlineStr">
        <ns0:is>
          <ns0:t>original_files/R05213/evidence/source_evidence__17894ab410001846.xml</ns0:t>
        </ns0:is>
      </ns0:c>
      <ns0:c r="H87" s="3" t="inlineStr">
        <ns0:is>
          <ns0:t>cloud_existing</ns0:t>
        </ns0:is>
      </ns0:c>
      <ns0:c r="I87" s="3" t="inlineStr">
        <ns0:is>
          <ns0:t>original_files/source_evidence/R05213/PMC6858683_fullText.xml</ns0:t>
        </ns0:is>
      </ns0:c>
      <ns0:c r="J87" s="3" t="n">
        <ns0:v>130954</ns0:v>
      </ns0:c>
      <ns0:c r="K87" s="3" t="inlineStr">
        <ns0:is>
          <ns0:t>17894ab41000184655d2f9f9a0daa796981ab3658678c6b123eb9f3deb1bf45a</ns0:t>
        </ns0:is>
      </ns0:c>
      <ns0:c r="L87" s="3" t="inlineStr">
        <ns0:is>
          <ns0:t>text_readable</ns0:t>
        </ns0:is>
      </ns0:c>
      <ns0:c r="M87" s="3" t="inlineStr"/>
      <ns0:c r="N87" s="3" t="inlineStr"/>
      <ns0:c r="O87" s="3" t="inlineStr">
        <ns0:is>
          <ns0:t>https://github.com/Colliam-Vermilion/FirstCodex/blob/results/ad-oxygen-literature-20261006/results/ad-oxygen-literature-20261006/original_files/R05213/evidence/source_evidence__17894ab410001846.xml</ns0:t>
        </ns0:is>
      </ns0:c>
    </ns0:row>
    <ns0:row r="88" ht="48" customHeight="1">
      <ns0:c r="A88" s="2" t="inlineStr">
        <ns0:is>
          <ns0:t>R12839</ns0:t>
        </ns0:is>
      </ns0:c>
      <ns0:c r="B88" s="2" t="inlineStr">
        <ns0:is>
          <ns0:t>Dose-dependent effects of micro-aeration on methane production and lignocellulose degradation during continuous anaerobic digestion of food waste</ns0:t>
        </ns0:is>
      </ns0:c>
      <ns0:c r="C88" s="2" t="inlineStr">
        <ns0:is>
          <ns0:t>10.1016/j.jece.2026.125159</ns0:t>
        </ns0:is>
      </ns0:c>
      <ns0:c r="D88" s="2" t="inlineStr">
        <ns0:is>
          <ns0:t>fulltext</ns0:t>
        </ns0:is>
      </ns0:c>
      <ns0:c r="E88" s="2" t="inlineStr">
        <ns0:is>
          <ns0:t>出版版（版式及版权文字）</ns0:t>
        </ns0:is>
      </ns0:c>
      <ns0:c r="F88" s="2" t="inlineStr">
        <ns0:is>
          <ns0:t>fulltext.pdf</ns0:t>
        </ns0:is>
      </ns0:c>
      <ns0:c r="G88" s="2" t="inlineStr">
        <ns0:is>
          <ns0:t>original_files/R12839/fulltext/fulltext__published__18781366720e0604.pdf</ns0:t>
        </ns0:is>
      </ns0:c>
      <ns0:c r="H88" s="2" t="inlineStr">
        <ns0:is>
          <ns0:t>local_upload</ns0:t>
        </ns0:is>
      </ns0:c>
      <ns0:c r="I88" s="2" t="inlineStr">
        <ns0:is>
          <ns0:t>localdownload/R12839/fulltext.pdf</ns0:t>
        </ns0:is>
      </ns0:c>
      <ns0:c r="J88" s="2" t="n">
        <ns0:v>6327872</ns0:v>
      </ns0:c>
      <ns0:c r="K88" s="2" t="inlineStr">
        <ns0:is>
          <ns0:t>18781366720e06042a07c8ed6b7333c8e7206826b2a438777985a5cd9b4e53d1</ns0:t>
        </ns0:is>
      </ns0:c>
      <ns0:c r="L88" s="2" t="inlineStr">
        <ns0:is>
          <ns0:t>identity_and_body_structure_verified</ns0:t>
        </ns0:is>
      </ns0:c>
      <ns0:c r="M88" s="2" t="inlineStr"/>
      <ns0:c r="N88" s="2" t="inlineStr">
        <ns0:is>
          <ns0:t>首页/前两页题名作者或目标DOI核对，全部页面解析及正文结构检查；不据文件名判全文。</ns0:t>
        </ns0:is>
      </ns0:c>
      <ns0:c r="O88" s="2" t="inlineStr">
        <ns0:is>
          <ns0:t>https://github.com/Colliam-Vermilion/FirstCodex/blob/results/ad-oxygen-literature-20261006/results/ad-oxygen-literature-20261006/original_files/R12839/fulltext/fulltext__published__18781366720e0604.pdf</ns0:t>
        </ns0:is>
      </ns0:c>
    </ns0:row>
    <ns0:row r="89" ht="48" customHeight="1">
      <ns0:c r="A89" s="3" t="inlineStr">
        <ns0:is>
          <ns0:t>R04092</ns0:t>
        </ns0:is>
      </ns0:c>
      <ns0:c r="B89" s="3" t="inlineStr">
        <ns0:is>
          <ns0:t>Mathematical modelling of in-situ microaerobic desulfurization of biogas from sewage sludge digestion</ns0:t>
        </ns0:is>
      </ns0:c>
      <ns0:c r="C89" s="3" t="inlineStr">
        <ns0:is>
          <ns0:t>10.1016/j.btre.2018.e00293</ns0:t>
        </ns0:is>
      </ns0:c>
      <ns0:c r="D89" s="3" t="inlineStr">
        <ns0:is>
          <ns0:t>fulltext</ns0:t>
        </ns0:is>
      </ns0:c>
      <ns0:c r="E89" s="3" t="inlineStr">
        <ns0:is>
          <ns0:t>出版版本（原页出版信息）</ns0:t>
        </ns0:is>
      </ns0:c>
      <ns0:c r="F89" s="3" t="inlineStr">
        <ns0:is>
          <ns0:t>R04092_2018_Mathematical_modelling_of_in-situ_microaerobic_desulfurization_of_biogas_from.pdf</ns0:t>
        </ns0:is>
      </ns0:c>
      <ns0:c r="G89" s="3" t="inlineStr">
        <ns0:is>
          <ns0:t>original_files/R04092/fulltext/fulltext__published__187b868956ed3e07.pdf</ns0:t>
        </ns0:is>
      </ns0:c>
      <ns0:c r="H89" s="3" t="inlineStr">
        <ns0:is>
          <ns0:t>cloud_existing</ns0:t>
        </ns0:is>
      </ns0:c>
      <ns0:c r="I89" s="3" t="inlineStr">
        <ns0:is>
          <ns0:t>original_files/fulltext/R04092_2018_Mathematical_modelling_of_in-situ_microaerobic_desulfurization_of_biogas_from.pdf</ns0:t>
        </ns0:is>
      </ns0:c>
      <ns0:c r="J89" s="3" t="n">
        <ns0:v>1344658</ns0:v>
      </ns0:c>
      <ns0:c r="K89" s="3" t="inlineStr">
        <ns0:is>
          <ns0:t>187b868956ed3e07456eb08dd523d037ffb342e17033c71274fc2618ce78b4ef</ns0:t>
        </ns0:is>
      </ns0:c>
      <ns0:c r="L89" s="3" t="inlineStr">
        <ns0:is>
          <ns0:t>identity_and_body_structure_verified</ns0:t>
        </ns0:is>
      </ns0:c>
      <ns0:c r="M89" s="3" t="inlineStr"/>
      <ns0:c r="N89" s="3" t="inlineStr">
        <ns0:is>
          <ns0:t>首页/前两页题名作者或目标DOI核对，全部页面解析及正文结构检查；不据文件名判全文。</ns0:t>
        </ns0:is>
      </ns0:c>
      <ns0:c r="O89" s="3" t="inlineStr">
        <ns0:is>
          <ns0:t>https://github.com/Colliam-Vermilion/FirstCodex/blob/results/ad-oxygen-literature-20261006/results/ad-oxygen-literature-20261006/original_files/R04092/fulltext/fulltext__published__187b868956ed3e07.pdf</ns0:t>
        </ns0:is>
      </ns0:c>
    </ns0:row>
    <ns0:row r="90" ht="48" customHeight="1">
      <ns0:c r="A90" s="2" t="inlineStr">
        <ns0:is>
          <ns0:t>R05839</ns0:t>
        </ns0:is>
      </ns0:c>
      <ns0:c r="B90" s="2" t="inlineStr">
        <ns0:is>
          <ns0:t>Micro-Oxygenation in Upflow Anaerobic Sludge Bed (UASB) Reactors Using a Silicon Membrane for Sulfide Oxidation</ns0:t>
        </ns0:is>
      </ns0:c>
      <ns0:c r="C90" s="2" t="inlineStr">
        <ns0:is>
          <ns0:t>10.3390/polym12091990</ns0:t>
        </ns0:is>
      </ns0:c>
      <ns0:c r="D90" s="2" t="inlineStr">
        <ns0:is>
          <ns0:t>source_evidence</ns0:t>
        </ns0:is>
      </ns0:c>
      <ns0:c r="E90" s="2" t="inlineStr"/>
      <ns0:c r="F90" s="2" t="inlineStr">
        <ns0:is>
          <ns0:t>PMC7566014_fullText.xml</ns0:t>
        </ns0:is>
      </ns0:c>
      <ns0:c r="G90" s="2" t="inlineStr">
        <ns0:is>
          <ns0:t>original_files/R05839/evidence/source_evidence__18ffd43dee955086.xml</ns0:t>
        </ns0:is>
      </ns0:c>
      <ns0:c r="H90" s="2" t="inlineStr">
        <ns0:is>
          <ns0:t>cloud_existing</ns0:t>
        </ns0:is>
      </ns0:c>
      <ns0:c r="I90" s="2" t="inlineStr">
        <ns0:is>
          <ns0:t>original_files/source_evidence/R05839/PMC7566014_fullText.xml</ns0:t>
        </ns0:is>
      </ns0:c>
      <ns0:c r="J90" s="2" t="n">
        <ns0:v>75205</ns0:v>
      </ns0:c>
      <ns0:c r="K90" s="2" t="inlineStr">
        <ns0:is>
          <ns0:t>18ffd43dee955086eae0947027dc85e1d765e181357143650e9fef0b0dfbef74</ns0:t>
        </ns0:is>
      </ns0:c>
      <ns0:c r="L90" s="2" t="inlineStr">
        <ns0:is>
          <ns0:t>text_readable</ns0:t>
        </ns0:is>
      </ns0:c>
      <ns0:c r="M90" s="2" t="inlineStr"/>
      <ns0:c r="N90" s="2" t="inlineStr"/>
      <ns0:c r="O90" s="2" t="inlineStr">
        <ns0:is>
          <ns0:t>https://github.com/Colliam-Vermilion/FirstCodex/blob/results/ad-oxygen-literature-20261006/results/ad-oxygen-literature-20261006/original_files/R05839/evidence/source_evidence__18ffd43dee955086.xml</ns0:t>
        </ns0:is>
      </ns0:c>
    </ns0:row>
    <ns0:row r="91" ht="48" customHeight="1">
      <ns0:c r="A91" s="3" t="inlineStr">
        <ns0:is>
          <ns0:t>R13899</ns0:t>
        </ns0:is>
      </ns0:c>
      <ns0:c r="B91" s="3" t="inlineStr">
        <ns0:is>
          <ns0:t>Effect of aerobic pretreatment of waste on the rate of anaerobic treatment processes</ns0:t>
        </ns0:is>
      </ns0:c>
      <ns0:c r="C91" s="3" t="inlineStr">
        <ns0:is>
          <ns0:t>10.1007/s10163-012-0100-y</ns0:t>
        </ns0:is>
      </ns0:c>
      <ns0:c r="D91" s="3" t="inlineStr">
        <ns0:is>
          <ns0:t>fulltext</ns0:t>
        </ns0:is>
      </ns0:c>
      <ns0:c r="E91" s="3" t="inlineStr">
        <ns0:is>
          <ns0:t>出版版本（原页出版信息）</ns0:t>
        </ns0:is>
      </ns0:c>
      <ns0:c r="F91" s="3" t="inlineStr">
        <ns0:is>
          <ns0:t>fulltext.pdf</ns0:t>
        </ns0:is>
      </ns0:c>
      <ns0:c r="G91" s="3" t="inlineStr">
        <ns0:is>
          <ns0:t>original_files/R13899/fulltext/fulltext__published__19143e56fa77ce99.pdf</ns0:t>
        </ns0:is>
      </ns0:c>
      <ns0:c r="H91" s="3" t="inlineStr">
        <ns0:is>
          <ns0:t>local_upload</ns0:t>
        </ns0:is>
      </ns0:c>
      <ns0:c r="I91" s="3" t="inlineStr">
        <ns0:is>
          <ns0:t>localdownload/R13899/fulltext.pdf</ns0:t>
        </ns0:is>
      </ns0:c>
      <ns0:c r="J91" s="3" t="n">
        <ns0:v>479092</ns0:v>
      </ns0:c>
      <ns0:c r="K91" s="3" t="inlineStr">
        <ns0:is>
          <ns0:t>19143e56fa77ce99639f652b53bde1b70f61a67b18f24b9686fc371215092714</ns0:t>
        </ns0:is>
      </ns0:c>
      <ns0:c r="L91" s="3" t="inlineStr">
        <ns0:is>
          <ns0:t>identity_and_body_structure_verified</ns0:t>
        </ns0:is>
      </ns0:c>
      <ns0:c r="M91" s="3" t="inlineStr"/>
      <ns0:c r="N91" s="3" t="inlineStr">
        <ns0:is>
          <ns0:t>首页/前两页题名作者或目标DOI核对，全部页面解析及正文结构检查；不据文件名判全文。</ns0:t>
        </ns0:is>
      </ns0:c>
      <ns0:c r="O91" s="3" t="inlineStr">
        <ns0:is>
          <ns0:t>https://github.com/Colliam-Vermilion/FirstCodex/blob/results/ad-oxygen-literature-20261006/results/ad-oxygen-literature-20261006/original_files/R13899/fulltext/fulltext__published__19143e56fa77ce99.pdf</ns0:t>
        </ns0:is>
      </ns0:c>
    </ns0:row>
    <ns0:row r="92" ht="48" customHeight="1">
      <ns0:c r="A92" s="2" t="inlineStr">
        <ns0:is>
          <ns0:t>R10605</ns0:t>
        </ns0:is>
      </ns0:c>
      <ns0:c r="B92" s="2" t="inlineStr">
        <ns0:is>
          <ns0:t>Non-targeted facilitation of primary sludge anaerobic fermentation by micro-aeration and the simultaneous nutrients transformations</ns0:t>
        </ns0:is>
      </ns0:c>
      <ns0:c r="C92" s="2" t="inlineStr">
        <ns0:is>
          <ns0:t>10.1016/j.cej.2024.151930</ns0:t>
        </ns0:is>
      </ns0:c>
      <ns0:c r="D92" s="2" t="inlineStr">
        <ns0:is>
          <ns0:t>supplementary</ns0:t>
        </ns0:is>
      </ns0:c>
      <ns0:c r="E92" s="2" t="inlineStr"/>
      <ns0:c r="F92" s="2" t="inlineStr">
        <ns0:is>
          <ns0:t>supplementary.docx</ns0:t>
        </ns0:is>
      </ns0:c>
      <ns0:c r="G92" s="2" t="inlineStr">
        <ns0:is>
          <ns0:t>original_files/R10605/supplementary/supplementary__192d3c369618c246.docx</ns0:t>
        </ns0:is>
      </ns0:c>
      <ns0:c r="H92" s="2" t="inlineStr">
        <ns0:is>
          <ns0:t>local_upload</ns0:t>
        </ns0:is>
      </ns0:c>
      <ns0:c r="I92" s="2" t="inlineStr">
        <ns0:is>
          <ns0:t>localdownload/R10605/supplementary.docx</ns0:t>
        </ns0:is>
      </ns0:c>
      <ns0:c r="J92" s="2" t="n">
        <ns0:v>1690982</ns0:v>
      </ns0:c>
      <ns0:c r="K92" s="2" t="inlineStr">
        <ns0:is>
          <ns0:t>192d3c369618c2464cfdcbebf6574f0e3e552aeaf79cd0c4ee653e66d8d30cc5</ns0:t>
        </ns0:is>
      </ns0:c>
      <ns0:c r="L92" s="2" t="inlineStr">
        <ns0:is>
          <ns0:t>container_crc_verified</ns0:t>
        </ns0:is>
      </ns0:c>
      <ns0:c r="M92" s="2" t="inlineStr">
        <ns0:is>
          <ns0:t>title_in_attachment_verified</ns0:t>
        </ns0:is>
      </ns0:c>
      <ns0:c r="N92" s="2" t="inlineStr"/>
      <ns0:c r="O92" s="2" t="inlineStr">
        <ns0:is>
          <ns0:t>https://github.com/Colliam-Vermilion/FirstCodex/blob/results/ad-oxygen-literature-20261006/results/ad-oxygen-literature-20261006/original_files/R10605/supplementary/supplementary__192d3c369618c246.docx</ns0:t>
        </ns0:is>
      </ns0:c>
    </ns0:row>
    <ns0:row r="93" ht="48" customHeight="1">
      <ns0:c r="A93" s="3" t="inlineStr">
        <ns0:is>
          <ns0:t>R13856</ns0:t>
        </ns0:is>
      </ns0:c>
      <ns0:c r="B93" s="3" t="inlineStr">
        <ns0:is>
          <ns0:t>Strategy to enhance semi-continuous anaerobic digestion of food waste by combined use of calcium peroxide and magnetite</ns0:t>
        </ns0:is>
      </ns0:c>
      <ns0:c r="C93" s="3" t="inlineStr">
        <ns0:is>
          <ns0:t>10.1016/j.watres.2022.118801</ns0:t>
        </ns0:is>
      </ns0:c>
      <ns0:c r="D93" s="3" t="inlineStr">
        <ns0:is>
          <ns0:t>supplementary</ns0:t>
        </ns0:is>
      </ns0:c>
      <ns0:c r="E93" s="3" t="inlineStr"/>
      <ns0:c r="F93" s="3" t="inlineStr">
        <ns0:is>
          <ns0:t>supplementary.docx</ns0:t>
        </ns0:is>
      </ns0:c>
      <ns0:c r="G93" s="3" t="inlineStr">
        <ns0:is>
          <ns0:t>original_files/R13856/supplementary/supplementary__196e8b38faedfc39.docx</ns0:t>
        </ns0:is>
      </ns0:c>
      <ns0:c r="H93" s="3" t="inlineStr">
        <ns0:is>
          <ns0:t>local_upload</ns0:t>
        </ns0:is>
      </ns0:c>
      <ns0:c r="I93" s="3" t="inlineStr">
        <ns0:is>
          <ns0:t>localdownload/R13856/supplementary.docx</ns0:t>
        </ns0:is>
      </ns0:c>
      <ns0:c r="J93" s="3" t="n">
        <ns0:v>390050</ns0:v>
      </ns0:c>
      <ns0:c r="K93" s="3" t="inlineStr">
        <ns0:is>
          <ns0:t>196e8b38faedfc398a13f54ff172294c4b292b38631f1de8f046b84870f129d2</ns0:t>
        </ns0:is>
      </ns0:c>
      <ns0:c r="L93" s="3" t="inlineStr">
        <ns0:is>
          <ns0:t>container_crc_verified</ns0:t>
        </ns0:is>
      </ns0:c>
      <ns0:c r="M93" s="3" t="inlineStr">
        <ns0:is>
          <ns0:t>title_in_attachment_verified</ns0:t>
        </ns0:is>
      </ns0:c>
      <ns0:c r="N93" s="3" t="inlineStr"/>
      <ns0:c r="O93" s="3" t="inlineStr">
        <ns0:is>
          <ns0:t>https://github.com/Colliam-Vermilion/FirstCodex/blob/results/ad-oxygen-literature-20261006/results/ad-oxygen-literature-20261006/original_files/R13856/supplementary/supplementary__196e8b38faedfc39.docx</ns0:t>
        </ns0:is>
      </ns0:c>
    </ns0:row>
    <ns0:row r="94" ht="48" customHeight="1">
      <ns0:c r="A94" s="2" t="inlineStr">
        <ns0:is>
          <ns0:t>R13926</ns0:t>
        </ns0:is>
      </ns0:c>
      <ns0:c r="B94" s="2" t="inlineStr">
        <ns0:is>
          <ns0:t>Comparison of biogas recovery from MSW using different aerobic-anaerobic operation modes</ns0:t>
        </ns0:is>
      </ns0:c>
      <ns0:c r="C94" s="2" t="inlineStr">
        <ns0:is>
          <ns0:t>10.1016/j.wasman.2016.07.005</ns0:t>
        </ns0:is>
      </ns0:c>
      <ns0:c r="D94" s="2" t="inlineStr">
        <ns0:is>
          <ns0:t>fulltext</ns0:t>
        </ns0:is>
      </ns0:c>
      <ns0:c r="E94" s="2" t="inlineStr">
        <ns0:is>
          <ns0:t>出版版（版式及版权文字）</ns0:t>
        </ns0:is>
      </ns0:c>
      <ns0:c r="F94" s="2" t="inlineStr">
        <ns0:is>
          <ns0:t>fulltext.pdf</ns0:t>
        </ns0:is>
      </ns0:c>
      <ns0:c r="G94" s="2" t="inlineStr">
        <ns0:is>
          <ns0:t>original_files/R13926/fulltext/fulltext__published__1a058a8e3ec39c95.pdf</ns0:t>
        </ns0:is>
      </ns0:c>
      <ns0:c r="H94" s="2" t="inlineStr">
        <ns0:is>
          <ns0:t>local_upload</ns0:t>
        </ns0:is>
      </ns0:c>
      <ns0:c r="I94" s="2" t="inlineStr">
        <ns0:is>
          <ns0:t>localdownload/R13926/fulltext.pdf</ns0:t>
        </ns0:is>
      </ns0:c>
      <ns0:c r="J94" s="2" t="n">
        <ns0:v>2060850</ns0:v>
      </ns0:c>
      <ns0:c r="K94" s="2" t="inlineStr">
        <ns0:is>
          <ns0:t>1a058a8e3ec39c95bbdeaa4a72d6c708b666d4ca07fd42b6d6e664d6f97a0aec</ns0:t>
        </ns0:is>
      </ns0:c>
      <ns0:c r="L94" s="2" t="inlineStr">
        <ns0:is>
          <ns0:t>identity_and_body_structure_verified</ns0:t>
        </ns0:is>
      </ns0:c>
      <ns0:c r="M94" s="2" t="inlineStr"/>
      <ns0:c r="N94" s="2" t="inlineStr">
        <ns0:is>
          <ns0:t>首页/前两页题名作者或目标DOI核对，全部页面解析及正文结构检查；不据文件名判全文。</ns0:t>
        </ns0:is>
      </ns0:c>
      <ns0:c r="O94" s="2" t="inlineStr">
        <ns0:is>
          <ns0:t>https://github.com/Colliam-Vermilion/FirstCodex/blob/results/ad-oxygen-literature-20261006/results/ad-oxygen-literature-20261006/original_files/R13926/fulltext/fulltext__published__1a058a8e3ec39c95.pdf</ns0:t>
        </ns0:is>
      </ns0:c>
    </ns0:row>
    <ns0:row r="95" ht="48" customHeight="1">
      <ns0:c r="A95" s="3" t="inlineStr">
        <ns0:is>
          <ns0:t>R10819</ns0:t>
        </ns0:is>
      </ns0:c>
      <ns0:c r="B95" s="3" t="inlineStr">
        <ns0:is>
          <ns0:t>Study on synergistic effect of carrier combined with micro-aeration on anaerobic digestion of food waste</ns0:t>
        </ns0:is>
      </ns0:c>
      <ns0:c r="C95" s="3" t="inlineStr">
        <ns0:is>
          <ns0:t>10.1016/j.cej.2024.155731</ns0:t>
        </ns0:is>
      </ns0:c>
      <ns0:c r="D95" s="3" t="inlineStr">
        <ns0:is>
          <ns0:t>fulltext</ns0:t>
        </ns0:is>
      </ns0:c>
      <ns0:c r="E95" s="3" t="inlineStr">
        <ns0:is>
          <ns0:t>出版版（版式及版权文字）</ns0:t>
        </ns0:is>
      </ns0:c>
      <ns0:c r="F95" s="3" t="inlineStr">
        <ns0:is>
          <ns0:t>fulltext.pdf</ns0:t>
        </ns0:is>
      </ns0:c>
      <ns0:c r="G95" s="3" t="inlineStr">
        <ns0:is>
          <ns0:t>original_files/R10819/fulltext/fulltext__published__1a0f26d4c217458e.pdf</ns0:t>
        </ns0:is>
      </ns0:c>
      <ns0:c r="H95" s="3" t="inlineStr">
        <ns0:is>
          <ns0:t>local_upload</ns0:t>
        </ns0:is>
      </ns0:c>
      <ns0:c r="I95" s="3" t="inlineStr">
        <ns0:is>
          <ns0:t>localdownload/R10819/fulltext.pdf</ns0:t>
        </ns0:is>
      </ns0:c>
      <ns0:c r="J95" s="3" t="n">
        <ns0:v>10031677</ns0:v>
      </ns0:c>
      <ns0:c r="K95" s="3" t="inlineStr">
        <ns0:is>
          <ns0:t>1a0f26d4c217458e95c9175c1faa79f97c73629ebd1c18e65a4c6b71a106c1ca</ns0:t>
        </ns0:is>
      </ns0:c>
      <ns0:c r="L95" s="3" t="inlineStr">
        <ns0:is>
          <ns0:t>identity_and_body_structure_verified</ns0:t>
        </ns0:is>
      </ns0:c>
      <ns0:c r="M95" s="3" t="inlineStr"/>
      <ns0:c r="N95" s="3" t="inlineStr">
        <ns0:is>
          <ns0:t>首页/前两页题名作者或目标DOI核对，全部页面解析及正文结构检查；不据文件名判全文。</ns0:t>
        </ns0:is>
      </ns0:c>
      <ns0:c r="O95" s="3" t="inlineStr">
        <ns0:is>
          <ns0:t>https://github.com/Colliam-Vermilion/FirstCodex/blob/results/ad-oxygen-literature-20261006/results/ad-oxygen-literature-20261006/original_files/R10819/fulltext/fulltext__published__1a0f26d4c217458e.pdf</ns0:t>
        </ns0:is>
      </ns0:c>
    </ns0:row>
    <ns0:row r="96" ht="48" customHeight="1">
      <ns0:c r="A96" s="2" t="inlineStr">
        <ns0:is>
          <ns0:t>R13833</ns0:t>
        </ns0:is>
      </ns0:c>
      <ns0:c r="B96" s="2" t="inlineStr">
        <ns0:is>
          <ns0:t>Insight into the Role of Facultative Bacteria Stimulated by Microaeration in Continuous Bioreactors Converting LCFA to Methane</ns0:t>
        </ns0:is>
      </ns0:c>
      <ns0:c r="C96" s="2" t="inlineStr">
        <ns0:is>
          <ns0:t>10.1021/acs.est.8b00894</ns0:t>
        </ns0:is>
      </ns0:c>
      <ns0:c r="D96" s="2" t="inlineStr">
        <ns0:is>
          <ns0:t>fulltext</ns0:t>
        </ns0:is>
      </ns0:c>
      <ns0:c r="E96" s="2" t="inlineStr">
        <ns0:is>
          <ns0:t>出版版本（原页出版信息）</ns0:t>
        </ns0:is>
      </ns0:c>
      <ns0:c r="F96" s="2" t="inlineStr">
        <ns0:is>
          <ns0:t>R13833_2018_Insight_into_the_Role_of_Facultative_Bacteria_Stimulated_by.pdf</ns0:t>
        </ns0:is>
      </ns0:c>
      <ns0:c r="G96" s="2" t="inlineStr">
        <ns0:is>
          <ns0:t>original_files/R13833/fulltext/fulltext__published__1a4a4d5f8fd45de9.pdf</ns0:t>
        </ns0:is>
      </ns0:c>
      <ns0:c r="H96" s="2" t="inlineStr">
        <ns0:is>
          <ns0:t>cloud_existing</ns0:t>
        </ns0:is>
      </ns0:c>
      <ns0:c r="I96" s="2" t="inlineStr">
        <ns0:is>
          <ns0:t>original_files/fulltext/R13833_2018_Insight_into_the_Role_of_Facultative_Bacteria_Stimulated_by.pdf</ns0:t>
        </ns0:is>
      </ns0:c>
      <ns0:c r="J96" s="2" t="n">
        <ns0:v>1463714</ns0:v>
      </ns0:c>
      <ns0:c r="K96" s="2" t="inlineStr">
        <ns0:is>
          <ns0:t>1a4a4d5f8fd45de924c78a7be11e1c032c630bd9341431d1d49135c8351cdaf7</ns0:t>
        </ns0:is>
      </ns0:c>
      <ns0:c r="L96" s="2" t="inlineStr">
        <ns0:is>
          <ns0:t>identity_and_body_structure_verified</ns0:t>
        </ns0:is>
      </ns0:c>
      <ns0:c r="M96" s="2" t="inlineStr"/>
      <ns0:c r="N96" s="2" t="inlineStr">
        <ns0:is>
          <ns0:t>首页/前两页题名作者或目标DOI核对，全部页面解析及正文结构检查；不据文件名判全文。</ns0:t>
        </ns0:is>
      </ns0:c>
      <ns0:c r="O96" s="2" t="inlineStr">
        <ns0:is>
          <ns0:t>https://github.com/Colliam-Vermilion/FirstCodex/blob/results/ad-oxygen-literature-20261006/results/ad-oxygen-literature-20261006/original_files/R13833/fulltext/fulltext__published__1a4a4d5f8fd45de9.pdf</ns0:t>
        </ns0:is>
      </ns0:c>
    </ns0:row>
    <ns0:row r="97" ht="48" customHeight="1">
      <ns0:c r="A97" s="3" t="inlineStr">
        <ns0:is>
          <ns0:t>R13913</ns0:t>
        </ns0:is>
      </ns0:c>
      <ns0:c r="B97" s="3" t="inlineStr">
        <ns0:is>
          <ns0:t>Microaerobic bio-pretreatment of straw with fermentation broth as inoculum: Enhancing hydrolysis-acidification efficiency</ns0:t>
        </ns0:is>
      </ns0:c>
      <ns0:c r="C97" s="3" t="inlineStr">
        <ns0:is>
          <ns0:t>10.1016/j.procbio.2026.01.005</ns0:t>
        </ns0:is>
      </ns0:c>
      <ns0:c r="D97" s="3" t="inlineStr">
        <ns0:is>
          <ns0:t>fulltext</ns0:t>
        </ns0:is>
      </ns0:c>
      <ns0:c r="E97" s="3" t="inlineStr">
        <ns0:is>
          <ns0:t>出版版（版式及版权文字）</ns0:t>
        </ns0:is>
      </ns0:c>
      <ns0:c r="F97" s="3" t="inlineStr">
        <ns0:is>
          <ns0:t>fulltext.pdf</ns0:t>
        </ns0:is>
      </ns0:c>
      <ns0:c r="G97" s="3" t="inlineStr">
        <ns0:is>
          <ns0:t>original_files/R13913/fulltext/fulltext__published__1a8a79e68ae38c5c.pdf</ns0:t>
        </ns0:is>
      </ns0:c>
      <ns0:c r="H97" s="3" t="inlineStr">
        <ns0:is>
          <ns0:t>local_upload</ns0:t>
        </ns0:is>
      </ns0:c>
      <ns0:c r="I97" s="3" t="inlineStr">
        <ns0:is>
          <ns0:t>localdownload/R13913/fulltext.pdf</ns0:t>
        </ns0:is>
      </ns0:c>
      <ns0:c r="J97" s="3" t="n">
        <ns0:v>5372941</ns0:v>
      </ns0:c>
      <ns0:c r="K97" s="3" t="inlineStr">
        <ns0:is>
          <ns0:t>1a8a79e68ae38c5c973b8467aed6fa86b7727a4794bb61091d45b07f9ff664eb</ns0:t>
        </ns0:is>
      </ns0:c>
      <ns0:c r="L97" s="3" t="inlineStr">
        <ns0:is>
          <ns0:t>identity_and_body_structure_verified</ns0:t>
        </ns0:is>
      </ns0:c>
      <ns0:c r="M97" s="3" t="inlineStr"/>
      <ns0:c r="N97" s="3" t="inlineStr">
        <ns0:is>
          <ns0:t>首页/前两页题名作者或目标DOI核对，全部页面解析及正文结构检查；不据文件名判全文。</ns0:t>
        </ns0:is>
      </ns0:c>
      <ns0:c r="O97" s="3" t="inlineStr">
        <ns0:is>
          <ns0:t>https://github.com/Colliam-Vermilion/FirstCodex/blob/results/ad-oxygen-literature-20261006/results/ad-oxygen-literature-20261006/original_files/R13913/fulltext/fulltext__published__1a8a79e68ae38c5c.pdf</ns0:t>
        </ns0:is>
      </ns0:c>
    </ns0:row>
    <ns0:row r="98" ht="48" customHeight="1">
      <ns0:c r="A98" s="2" t="inlineStr">
        <ns0:is>
          <ns0:t>R10090</ns0:t>
        </ns0:is>
      </ns0:c>
      <ns0:c r="B98" s="2" t="inlineStr">
        <ns0:is>
          <ns0:t>Effect of nanobubble water on medium chain carboxylic acids production in anaerobic digestion of cow manure</ns0:t>
        </ns0:is>
      </ns0:c>
      <ns0:c r="C98" s="2" t="inlineStr">
        <ns0:is>
          <ns0:t>10.1016/j.wasman.2024.05.029</ns0:t>
        </ns0:is>
      </ns0:c>
      <ns0:c r="D98" s="2" t="inlineStr">
        <ns0:is>
          <ns0:t>supplementary</ns0:t>
        </ns0:is>
      </ns0:c>
      <ns0:c r="E98" s="2" t="inlineStr"/>
      <ns0:c r="F98" s="2" t="inlineStr">
        <ns0:is>
          <ns0:t>supplementary.docx</ns0:t>
        </ns0:is>
      </ns0:c>
      <ns0:c r="G98" s="2" t="inlineStr">
        <ns0:is>
          <ns0:t>original_files/R10090/supplementary/supplementary__1ac57df885f552db.docx</ns0:t>
        </ns0:is>
      </ns0:c>
      <ns0:c r="H98" s="2" t="inlineStr">
        <ns0:is>
          <ns0:t>local_upload</ns0:t>
        </ns0:is>
      </ns0:c>
      <ns0:c r="I98" s="2" t="inlineStr">
        <ns0:is>
          <ns0:t>localdownload/R10090/supplementary.docx</ns0:t>
        </ns0:is>
      </ns0:c>
      <ns0:c r="J98" s="2" t="n">
        <ns0:v>4228501</ns0:v>
      </ns0:c>
      <ns0:c r="K98" s="2" t="inlineStr">
        <ns0:is>
          <ns0:t>1ac57df885f552dbe6b07b0b53392bc94ce24551a2f15ddd4ca94aed3768bf5e</ns0:t>
        </ns0:is>
      </ns0:c>
      <ns0:c r="L98" s="2" t="inlineStr">
        <ns0:is>
          <ns0:t>container_crc_verified</ns0:t>
        </ns0:is>
      </ns0:c>
      <ns0:c r="M98" s="2" t="inlineStr">
        <ns0:is>
          <ns0:t>title_in_attachment_verified</ns0:t>
        </ns0:is>
      </ns0:c>
      <ns0:c r="N98" s="2" t="inlineStr"/>
      <ns0:c r="O98" s="2" t="inlineStr">
        <ns0:is>
          <ns0:t>https://github.com/Colliam-Vermilion/FirstCodex/blob/results/ad-oxygen-literature-20261006/results/ad-oxygen-literature-20261006/original_files/R10090/supplementary/supplementary__1ac57df885f552db.docx</ns0:t>
        </ns0:is>
      </ns0:c>
    </ns0:row>
    <ns0:row r="99" ht="48" customHeight="1">
      <ns0:c r="A99" s="3" t="inlineStr">
        <ns0:is>
          <ns0:t>R11421</ns0:t>
        </ns0:is>
      </ns0:c>
      <ns0:c r="B99" s="3" t="inlineStr">
        <ns0:is>
          <ns0:t>Effects of nano-bubble water on anaerobic co-digestion of cabbage waste and cow manure under mesophilic and thermophilic conditions</ns0:t>
        </ns0:is>
      </ns0:c>
      <ns0:c r="C99" s="3" t="inlineStr">
        <ns0:is>
          <ns0:t>10.1080/09593330.2024.2405033</ns0:t>
        </ns0:is>
      </ns0:c>
      <ns0:c r="D99" s="3" t="inlineStr">
        <ns0:is>
          <ns0:t>fulltext</ns0:t>
        </ns0:is>
      </ns0:c>
      <ns0:c r="E99" s="3" t="inlineStr">
        <ns0:is>
          <ns0:t>出版版（版式及版权文字）</ns0:t>
        </ns0:is>
      </ns0:c>
      <ns0:c r="F99" s="3" t="inlineStr">
        <ns0:is>
          <ns0:t>fulltext.pdf</ns0:t>
        </ns0:is>
      </ns0:c>
      <ns0:c r="G99" s="3" t="inlineStr">
        <ns0:is>
          <ns0:t>original_files/R11421/fulltext/fulltext__published__1ad310f4f16dacf7.pdf</ns0:t>
        </ns0:is>
      </ns0:c>
      <ns0:c r="H99" s="3" t="inlineStr">
        <ns0:is>
          <ns0:t>local_upload</ns0:t>
        </ns0:is>
      </ns0:c>
      <ns0:c r="I99" s="3" t="inlineStr">
        <ns0:is>
          <ns0:t>localdownload/R11421/fulltext.pdf</ns0:t>
        </ns0:is>
      </ns0:c>
      <ns0:c r="J99" s="3" t="n">
        <ns0:v>1990012</ns0:v>
      </ns0:c>
      <ns0:c r="K99" s="3" t="inlineStr">
        <ns0:is>
          <ns0:t>1ad310f4f16dacf7289a6e16548f07cdd61a7c4e9bb1ef1a54765cce9123bf15</ns0:t>
        </ns0:is>
      </ns0:c>
      <ns0:c r="L99" s="3" t="inlineStr">
        <ns0:is>
          <ns0:t>identity_and_body_structure_verified</ns0:t>
        </ns0:is>
      </ns0:c>
      <ns0:c r="M99" s="3" t="inlineStr"/>
      <ns0:c r="N99" s="3" t="inlineStr">
        <ns0:is>
          <ns0:t>首页/前两页题名作者或目标DOI核对，全部页面解析及正文结构检查；不据文件名判全文。</ns0:t>
        </ns0:is>
      </ns0:c>
      <ns0:c r="O99" s="3" t="inlineStr">
        <ns0:is>
          <ns0:t>https://github.com/Colliam-Vermilion/FirstCodex/blob/results/ad-oxygen-literature-20261006/results/ad-oxygen-literature-20261006/original_files/R11421/fulltext/fulltext__published__1ad310f4f16dacf7.pdf</ns0:t>
        </ns0:is>
      </ns0:c>
    </ns0:row>
    <ns0:row r="100" ht="48" customHeight="1">
      <ns0:c r="A100" s="2" t="inlineStr">
        <ns0:is>
          <ns0:t>R02386</ns0:t>
        </ns0:is>
      </ns0:c>
      <ns0:c r="B100" s="2" t="inlineStr">
        <ns0:is>
          <ns0:t>Comparison of micro-aerobic and anaerobic fermentative hydrogen production from corn straw</ns0:t>
        </ns0:is>
      </ns0:c>
      <ns0:c r="C100" s="2" t="inlineStr">
        <ns0:is>
          <ns0:t>10.1016/j.ijhydene.2016.01.141</ns0:t>
        </ns0:is>
      </ns0:c>
      <ns0:c r="D100" s="2" t="inlineStr">
        <ns0:is>
          <ns0:t>fulltext</ns0:t>
        </ns0:is>
      </ns0:c>
      <ns0:c r="E100" s="2" t="inlineStr">
        <ns0:is>
          <ns0:t>出版版（版式及版权文字）</ns0:t>
        </ns0:is>
      </ns0:c>
      <ns0:c r="F100" s="2" t="inlineStr">
        <ns0:is>
          <ns0:t>fulltext.pdf</ns0:t>
        </ns0:is>
      </ns0:c>
      <ns0:c r="G100" s="2" t="inlineStr">
        <ns0:is>
          <ns0:t>original_files/R02386/fulltext/fulltext__published__1c804bc9cfc3b614.pdf</ns0:t>
        </ns0:is>
      </ns0:c>
      <ns0:c r="H100" t="inlineStr">
        <ns0:is>
          <ns0:t>local_upload; main@ab8353c误传副本</ns0:t>
        </ns0:is>
      </ns0:c>
      <ns0:c r="I100" t="inlineStr">
        <ns0:is>
          <ns0:t>localdownload/R02386/fulltext.pdf; main@ab8353c:R02386/fulltext.pdf</ns0:t>
        </ns0:is>
      </ns0:c>
      <ns0:c r="J100" s="2" t="n">
        <ns0:v>877670</ns0:v>
      </ns0:c>
      <ns0:c r="K100" s="2" t="inlineStr">
        <ns0:is>
          <ns0:t>1c804bc9cfc3b6148036c433a48c8ef76de04b3c9dd0b176b94621e28c6d1348</ns0:t>
        </ns0:is>
      </ns0:c>
      <ns0:c r="L100" s="2" t="inlineStr">
        <ns0:is>
          <ns0:t>identity_and_body_structure_verified</ns0:t>
        </ns0:is>
      </ns0:c>
      <ns0:c r="M100" s="2" t="inlineStr"/>
      <ns0:c r="N100" s="2" t="inlineStr">
        <ns0:is>
          <ns0:t>首页/前两页题名作者或目标DOI核对，全部页面解析及正文结构检查；不据文件名判全文。</ns0:t>
        </ns0:is>
      </ns0:c>
      <ns0:c r="O100" s="2" t="inlineStr">
        <ns0:is>
          <ns0:t>https://github.com/Colliam-Vermilion/FirstCodex/blob/results/ad-oxygen-literature-20261006/results/ad-oxygen-literature-20261006/original_files/R02386/fulltext/fulltext__published__1c804bc9cfc3b614.pdf</ns0:t>
        </ns0:is>
      </ns0:c>
    </ns0:row>
    <ns0:row r="101" ht="48" customHeight="1">
      <ns0:c r="A101" s="3" t="inlineStr">
        <ns0:is>
          <ns0:t>R11503</ns0:t>
        </ns0:is>
      </ns0:c>
      <ns0:c r="B101" s="3" t="inlineStr">
        <ns0:is>
          <ns0:t>Enhancing Anaerobic Digestion of Agricultural By-Products: Insights and Future Directions in Microaeration</ns0:t>
        </ns0:is>
      </ns0:c>
      <ns0:c r="C101" s="3" t="inlineStr">
        <ns0:is>
          <ns0:t>10.3390/bioengineering12101117</ns0:t>
        </ns0:is>
      </ns0:c>
      <ns0:c r="D101" s="3" t="inlineStr">
        <ns0:is>
          <ns0:t>fulltext</ns0:t>
        </ns0:is>
      </ns0:c>
      <ns0:c r="E101" s="3" t="inlineStr">
        <ns0:is>
          <ns0:t>出版版本（原页出版信息）</ns0:t>
        </ns0:is>
      </ns0:c>
      <ns0:c r="F101" s="3" t="inlineStr">
        <ns0:is>
          <ns0:t>R11503_2025_Enhancing_Anaerobic_Digestion_of_Agricultural_By-Products_Insights_and_Future.pdf</ns0:t>
        </ns0:is>
      </ns0:c>
      <ns0:c r="G101" s="3" t="inlineStr">
        <ns0:is>
          <ns0:t>original_files/R11503/fulltext/fulltext__published__1cad4ffe56ebb806.pdf</ns0:t>
        </ns0:is>
      </ns0:c>
      <ns0:c r="H101" s="3" t="inlineStr">
        <ns0:is>
          <ns0:t>cloud_existing</ns0:t>
        </ns0:is>
      </ns0:c>
      <ns0:c r="I101" s="3" t="inlineStr">
        <ns0:is>
          <ns0:t>original_files/fulltext/R11503_2025_Enhancing_Anaerobic_Digestion_of_Agricultural_By-Products_Insights_and_Future.pdf</ns0:t>
        </ns0:is>
      </ns0:c>
      <ns0:c r="J101" s="3" t="n">
        <ns0:v>784955</ns0:v>
      </ns0:c>
      <ns0:c r="K101" s="3" t="inlineStr">
        <ns0:is>
          <ns0:t>1cad4ffe56ebb806280511e4770d29928058e4a2c988f8aea2e3deef4e4b8cf8</ns0:t>
        </ns0:is>
      </ns0:c>
      <ns0:c r="L101" s="3" t="inlineStr">
        <ns0:is>
          <ns0:t>identity_and_body_structure_verified</ns0:t>
        </ns0:is>
      </ns0:c>
      <ns0:c r="M101" s="3" t="inlineStr"/>
      <ns0:c r="N101" s="3" t="inlineStr">
        <ns0:is>
          <ns0:t>首页/前两页题名作者或目标DOI核对，全部页面解析及正文结构检查；不据文件名判全文。</ns0:t>
        </ns0:is>
      </ns0:c>
      <ns0:c r="O101" s="3" t="inlineStr">
        <ns0:is>
          <ns0:t>https://github.com/Colliam-Vermilion/FirstCodex/blob/results/ad-oxygen-literature-20261006/results/ad-oxygen-literature-20261006/original_files/R11503/fulltext/fulltext__published__1cad4ffe56ebb806.pdf</ns0:t>
        </ns0:is>
      </ns0:c>
    </ns0:row>
    <ns0:row r="102" ht="48" customHeight="1">
      <ns0:c r="A102" s="2" t="inlineStr">
        <ns0:is>
          <ns0:t>R13826</ns0:t>
        </ns0:is>
      </ns0:c>
      <ns0:c r="B102" s="2" t="inlineStr">
        <ns0:is>
          <ns0:t>Semi-aerobic fermentation as a novel pre-treatment to obtain VFA and increase methane yield from primary sludge</ns0:t>
        </ns0:is>
      </ns0:c>
      <ns0:c r="C102" s="2" t="inlineStr">
        <ns0:is>
          <ns0:t>10.1016/j.biortech.2015.10.085</ns0:t>
        </ns0:is>
      </ns0:c>
      <ns0:c r="D102" s="2" t="inlineStr">
        <ns0:is>
          <ns0:t>fulltext</ns0:t>
        </ns0:is>
      </ns0:c>
      <ns0:c r="E102" s="2" t="inlineStr">
        <ns0:is>
          <ns0:t>出版版（版式及版权文字）</ns0:t>
        </ns0:is>
      </ns0:c>
      <ns0:c r="F102" s="2" t="inlineStr">
        <ns0:is>
          <ns0:t>fulltext.pdf</ns0:t>
        </ns0:is>
      </ns0:c>
      <ns0:c r="G102" s="2" t="inlineStr">
        <ns0:is>
          <ns0:t>original_files/R13826/fulltext/fulltext__published__1ccea8c1a44ca4f0.pdf</ns0:t>
        </ns0:is>
      </ns0:c>
      <ns0:c r="H102" s="2" t="inlineStr">
        <ns0:is>
          <ns0:t>local_upload</ns0:t>
        </ns0:is>
      </ns0:c>
      <ns0:c r="I102" s="2" t="inlineStr">
        <ns0:is>
          <ns0:t>localdownload/R13826/fulltext.pdf</ns0:t>
        </ns0:is>
      </ns0:c>
      <ns0:c r="J102" s="2" t="n">
        <ns0:v>2182610</ns0:v>
      </ns0:c>
      <ns0:c r="K102" s="2" t="inlineStr">
        <ns0:is>
          <ns0:t>1ccea8c1a44ca4f0e06e3484fa210b0f5dece6fbcec842b9f3ebe91e36142df1</ns0:t>
        </ns0:is>
      </ns0:c>
      <ns0:c r="L102" s="2" t="inlineStr">
        <ns0:is>
          <ns0:t>identity_and_body_structure_verified</ns0:t>
        </ns0:is>
      </ns0:c>
      <ns0:c r="M102" s="2" t="inlineStr"/>
      <ns0:c r="N102" s="2" t="inlineStr">
        <ns0:is>
          <ns0:t>首页/前两页题名作者或目标DOI核对，全部页面解析及正文结构检查；不据文件名判全文。</ns0:t>
        </ns0:is>
      </ns0:c>
      <ns0:c r="O102" s="2" t="inlineStr">
        <ns0:is>
          <ns0:t>https://github.com/Colliam-Vermilion/FirstCodex/blob/results/ad-oxygen-literature-20261006/results/ad-oxygen-literature-20261006/original_files/R13826/fulltext/fulltext__published__1ccea8c1a44ca4f0.pdf</ns0:t>
        </ns0:is>
      </ns0:c>
    </ns0:row>
    <ns0:row r="103" ht="48" customHeight="1">
      <ns0:c r="A103" s="3" t="inlineStr">
        <ns0:is>
          <ns0:t>R12985</ns0:t>
        </ns0:is>
      </ns0:c>
      <ns0:c r="B103" s="3" t="inlineStr">
        <ns0:is>
          <ns0:t>Evaluation of Anaerobic Digestion Amended with Micro-Aeration and/or Sound Treatment on the Resistome and Virulence Factor Gene Profiles in Poultry Litter</ns0:t>
        </ns0:is>
      </ns0:c>
      <ns0:c r="C103" s="3" t="inlineStr">
        <ns0:is>
          <ns0:t>10.3390/antibiotics15020153</ns0:t>
        </ns0:is>
      </ns0:c>
      <ns0:c r="D103" s="3" t="inlineStr">
        <ns0:is>
          <ns0:t>supplementary</ns0:t>
        </ns0:is>
      </ns0:c>
      <ns0:c r="E103" s="3" t="inlineStr"/>
      <ns0:c r="F103" s="3" t="inlineStr">
        <ns0:is>
          <ns0:t>antibiotics-15-00153-s001.zip</ns0:t>
        </ns0:is>
      </ns0:c>
      <ns0:c r="G103" s="3" t="inlineStr">
        <ns0:is>
          <ns0:t>original_files/R12985/supplementary/supplementary__1ce50822c9eab57d.zip</ns0:t>
        </ns0:is>
      </ns0:c>
      <ns0:c r="H103" s="3" t="inlineStr">
        <ns0:is>
          <ns0:t>cloud_existing</ns0:t>
        </ns0:is>
      </ns0:c>
      <ns0:c r="I103" s="3" t="inlineStr">
        <ns0:is>
          <ns0:t>original_files/supplementary/R12985/antibiotics-15-00153-s001.zip</ns0:t>
        </ns0:is>
      </ns0:c>
      <ns0:c r="J103" s="3" t="n">
        <ns0:v>240699</ns0:v>
      </ns0:c>
      <ns0:c r="K103" s="3" t="inlineStr">
        <ns0:is>
          <ns0:t>1ce50822c9eab57d4c6dd71388959b4e8d53a98108db5c1ec1c481164ce5fcea</ns0:t>
        </ns0:is>
      </ns0:c>
      <ns0:c r="L103" s="3" t="inlineStr">
        <ns0:is>
          <ns0:t>container_crc_verified</ns0:t>
        </ns0:is>
      </ns0:c>
      <ns0:c r="M103" s="3" t="inlineStr">
        <ns0:is>
          <ns0:t>existing_official_attachment_evidence_retained</ns0:t>
        </ns0:is>
      </ns0:c>
      <ns0:c r="N103" s="3" t="inlineStr"/>
      <ns0:c r="O103" s="3" t="inlineStr">
        <ns0:is>
          <ns0:t>https://github.com/Colliam-Vermilion/FirstCodex/blob/results/ad-oxygen-literature-20261006/results/ad-oxygen-literature-20261006/original_files/R12985/supplementary/supplementary__1ce50822c9eab57d.zip</ns0:t>
        </ns0:is>
      </ns0:c>
    </ns0:row>
    <ns0:row r="104" ht="48" customHeight="1">
      <ns0:c r="A104" s="2" t="inlineStr">
        <ns0:is>
          <ns0:t>R01917</ns0:t>
        </ns0:is>
      </ns0:c>
      <ns0:c r="B104" s="2" t="inlineStr">
        <ns0:is>
          <ns0:t>Improving hydrolysis acidification by limited aeration in the pretreatment of petrochemical wastewater</ns0:t>
        </ns0:is>
      </ns0:c>
      <ns0:c r="C104" s="2" t="inlineStr">
        <ns0:is>
          <ns0:t>10.1016/j.biortech.2015.06.072</ns0:t>
        </ns0:is>
      </ns0:c>
      <ns0:c r="D104" s="2" t="inlineStr">
        <ns0:is>
          <ns0:t>supplementary</ns0:t>
        </ns0:is>
      </ns0:c>
      <ns0:c r="E104" s="2" t="inlineStr"/>
      <ns0:c r="F104" s="2" t="inlineStr">
        <ns0:is>
          <ns0:t>supplementary.doc</ns0:t>
        </ns0:is>
      </ns0:c>
      <ns0:c r="G104" s="2" t="inlineStr">
        <ns0:is>
          <ns0:t>original_files/R01917/supplementary/supplementary__1cecc1f159878862.doc</ns0:t>
        </ns0:is>
      </ns0:c>
      <ns0:c r="H104" s="2" t="inlineStr">
        <ns0:is>
          <ns0:t>local_upload</ns0:t>
        </ns0:is>
      </ns0:c>
      <ns0:c r="I104" s="2" t="inlineStr">
        <ns0:is>
          <ns0:t>localdownload/R01917/supplementary.doc</ns0:t>
        </ns0:is>
      </ns0:c>
      <ns0:c r="J104" s="2" t="n">
        <ns0:v>761856</ns0:v>
      </ns0:c>
      <ns0:c r="K104" s="2" t="inlineStr">
        <ns0:is>
          <ns0:t>1cecc1f159878862165dd3daed50120cce8d494bc51e2578982bf28c2dde27a9</ns0:t>
        </ns0:is>
      </ns0:c>
      <ns0:c r="L104" s="2" t="inlineStr">
        <ns0:is>
          <ns0:t>legacy_word_decoded_with_antiword</ns0:t>
        </ns0:is>
      </ns0:c>
      <ns0:c r="M104" s="2" t="inlineStr">
        <ns0:is>
          <ns0:t>title_in_attachment_verified</ns0:t>
        </ns0:is>
      </ns0:c>
      <ns0:c r="N104" s="2" t="inlineStr"/>
      <ns0:c r="O104" s="2" t="inlineStr">
        <ns0:is>
          <ns0:t>https://github.com/Colliam-Vermilion/FirstCodex/blob/results/ad-oxygen-literature-20261006/results/ad-oxygen-literature-20261006/original_files/R01917/supplementary/supplementary__1cecc1f159878862.doc</ns0:t>
        </ns0:is>
      </ns0:c>
    </ns0:row>
    <ns0:row r="105" ht="48" customHeight="1">
      <ns0:c r="A105" s="3" t="inlineStr">
        <ns0:is>
          <ns0:t>R07641</ns0:t>
        </ns0:is>
      </ns0:c>
      <ns0:c r="B105" s="3" t="inlineStr">
        <ns0:is>
          <ns0:t>Determination of the biochemical methane potential of food waste after aerobic storage and aeration pretreatment</ns0:t>
        </ns0:is>
      </ns0:c>
      <ns0:c r="C105" s="3" t="inlineStr">
        <ns0:is>
          <ns0:t>10.1002/bbb.2414</ns0:t>
        </ns0:is>
      </ns0:c>
      <ns0:c r="D105" s="3" t="inlineStr">
        <ns0:is>
          <ns0:t>fulltext</ns0:t>
        </ns0:is>
      </ns0:c>
      <ns0:c r="E105" s="3" t="inlineStr">
        <ns0:is>
          <ns0:t>出版版（版式及版权文字）</ns0:t>
        </ns0:is>
      </ns0:c>
      <ns0:c r="F105" s="3" t="inlineStr">
        <ns0:is>
          <ns0:t>fulltext.pdf</ns0:t>
        </ns0:is>
      </ns0:c>
      <ns0:c r="G105" s="3" t="inlineStr">
        <ns0:is>
          <ns0:t>original_files/R07641/fulltext/fulltext__published__1d41d189d5d994e9.pdf</ns0:t>
        </ns0:is>
      </ns0:c>
      <ns0:c r="H105" s="3" t="inlineStr">
        <ns0:is>
          <ns0:t>local_upload</ns0:t>
        </ns0:is>
      </ns0:c>
      <ns0:c r="I105" s="3" t="inlineStr">
        <ns0:is>
          <ns0:t>localdownload/R07641/fulltext.pdf</ns0:t>
        </ns0:is>
      </ns0:c>
      <ns0:c r="J105" s="3" t="n">
        <ns0:v>2993031</ns0:v>
      </ns0:c>
      <ns0:c r="K105" s="3" t="inlineStr">
        <ns0:is>
          <ns0:t>1d41d189d5d994e9fbaa3e3fd20bcf623611e343c26a562734b64ffd5c8a138b</ns0:t>
        </ns0:is>
      </ns0:c>
      <ns0:c r="L105" s="3" t="inlineStr">
        <ns0:is>
          <ns0:t>identity_and_body_structure_verified</ns0:t>
        </ns0:is>
      </ns0:c>
      <ns0:c r="M105" s="3" t="inlineStr"/>
      <ns0:c r="N105" s="3" t="inlineStr">
        <ns0:is>
          <ns0:t>首页/前两页题名作者或目标DOI核对，全部页面解析及正文结构检查；不据文件名判全文。</ns0:t>
        </ns0:is>
      </ns0:c>
      <ns0:c r="O105" s="3" t="inlineStr">
        <ns0:is>
          <ns0:t>https://github.com/Colliam-Vermilion/FirstCodex/blob/results/ad-oxygen-literature-20261006/results/ad-oxygen-literature-20261006/original_files/R07641/fulltext/fulltext__published__1d41d189d5d994e9.pdf</ns0:t>
        </ns0:is>
      </ns0:c>
    </ns0:row>
    <ns0:row r="106" ht="48" customHeight="1">
      <ns0:c r="A106" s="2" t="inlineStr">
        <ns0:is>
          <ns0:t>R10163</ns0:t>
        </ns0:is>
      </ns0:c>
      <ns0:c r="B106" s="2" t="inlineStr">
        <ns0:is>
          <ns0:t>Enhanced anaerobic digestion performance and sludge filterability by membrane microaeration for anaerobic membrane bioreactor application</ns0:t>
        </ns0:is>
      </ns0:c>
      <ns0:c r="C106" s="2" t="inlineStr">
        <ns0:is>
          <ns0:t>10.1016/j.biortech.2024.130787</ns0:t>
        </ns0:is>
      </ns0:c>
      <ns0:c r="D106" s="2" t="inlineStr">
        <ns0:is>
          <ns0:t>fulltext</ns0:t>
        </ns0:is>
      </ns0:c>
      <ns0:c r="E106" s="2" t="inlineStr">
        <ns0:is>
          <ns0:t>出版版（版式及版权文字）</ns0:t>
        </ns0:is>
      </ns0:c>
      <ns0:c r="F106" s="2" t="inlineStr">
        <ns0:is>
          <ns0:t>fulltext.pdf</ns0:t>
        </ns0:is>
      </ns0:c>
      <ns0:c r="G106" s="2" t="inlineStr">
        <ns0:is>
          <ns0:t>original_files/R10163/fulltext/fulltext__published__1e165f6b6e3dc27b.pdf</ns0:t>
        </ns0:is>
      </ns0:c>
      <ns0:c r="H106" s="2" t="inlineStr">
        <ns0:is>
          <ns0:t>local_upload</ns0:t>
        </ns0:is>
      </ns0:c>
      <ns0:c r="I106" s="2" t="inlineStr">
        <ns0:is>
          <ns0:t>localdownload/R10163/fulltext.pdf</ns0:t>
        </ns0:is>
      </ns0:c>
      <ns0:c r="J106" s="2" t="n">
        <ns0:v>8115687</ns0:v>
      </ns0:c>
      <ns0:c r="K106" s="2" t="inlineStr">
        <ns0:is>
          <ns0:t>1e165f6b6e3dc27bc22e89751f51737b0979aa2b6a4c000db02641ab59e7b37b</ns0:t>
        </ns0:is>
      </ns0:c>
      <ns0:c r="L106" s="2" t="inlineStr">
        <ns0:is>
          <ns0:t>identity_and_body_structure_verified</ns0:t>
        </ns0:is>
      </ns0:c>
      <ns0:c r="M106" s="2" t="inlineStr"/>
      <ns0:c r="N106" s="2" t="inlineStr">
        <ns0:is>
          <ns0:t>首页/前两页题名作者或目标DOI核对，全部页面解析及正文结构检查；不据文件名判全文。</ns0:t>
        </ns0:is>
      </ns0:c>
      <ns0:c r="O106" s="2" t="inlineStr">
        <ns0:is>
          <ns0:t>https://github.com/Colliam-Vermilion/FirstCodex/blob/results/ad-oxygen-literature-20261006/results/ad-oxygen-literature-20261006/original_files/R10163/fulltext/fulltext__published__1e165f6b6e3dc27b.pdf</ns0:t>
        </ns0:is>
      </ns0:c>
    </ns0:row>
    <ns0:row r="107" ht="48" customHeight="1">
      <ns0:c r="A107" s="3" t="inlineStr">
        <ns0:is>
          <ns0:t>R10673</ns0:t>
        </ns0:is>
      </ns0:c>
      <ns0:c r="B107" s="3" t="inlineStr">
        <ns0:is>
          <ns0:t>Performance and mechanism of various microaerobic pretreatments on anaerobic digestion of tobacco straw</ns0:t>
        </ns0:is>
      </ns0:c>
      <ns0:c r="C107" s="3" t="inlineStr">
        <ns0:is>
          <ns0:t>10.1016/j.biortech.2023.130092</ns0:t>
        </ns0:is>
      </ns0:c>
      <ns0:c r="D107" s="3" t="inlineStr">
        <ns0:is>
          <ns0:t>fulltext</ns0:t>
        </ns0:is>
      </ns0:c>
      <ns0:c r="E107" s="3" t="inlineStr">
        <ns0:is>
          <ns0:t>出版版（版式及版权文字）</ns0:t>
        </ns0:is>
      </ns0:c>
      <ns0:c r="F107" s="3" t="inlineStr">
        <ns0:is>
          <ns0:t>fulltext.pdf</ns0:t>
        </ns0:is>
      </ns0:c>
      <ns0:c r="G107" s="3" t="inlineStr">
        <ns0:is>
          <ns0:t>original_files/R10673/fulltext/fulltext__published__1e69a66f1487f499.pdf</ns0:t>
        </ns0:is>
      </ns0:c>
      <ns0:c r="H107" s="3" t="inlineStr">
        <ns0:is>
          <ns0:t>local_upload</ns0:t>
        </ns0:is>
      </ns0:c>
      <ns0:c r="I107" s="3" t="inlineStr">
        <ns0:is>
          <ns0:t>localdownload/R10673/fulltext.pdf</ns0:t>
        </ns0:is>
      </ns0:c>
      <ns0:c r="J107" s="3" t="n">
        <ns0:v>8697514</ns0:v>
      </ns0:c>
      <ns0:c r="K107" s="3" t="inlineStr">
        <ns0:is>
          <ns0:t>1e69a66f1487f4992c04578e02ab569d320e442aa774cb5d25a45300d5018012</ns0:t>
        </ns0:is>
      </ns0:c>
      <ns0:c r="L107" s="3" t="inlineStr">
        <ns0:is>
          <ns0:t>identity_and_body_structure_verified</ns0:t>
        </ns0:is>
      </ns0:c>
      <ns0:c r="M107" s="3" t="inlineStr"/>
      <ns0:c r="N107" s="3" t="inlineStr">
        <ns0:is>
          <ns0:t>首页/前两页题名作者或目标DOI核对，全部页面解析及正文结构检查；不据文件名判全文。</ns0:t>
        </ns0:is>
      </ns0:c>
      <ns0:c r="O107" s="3" t="inlineStr">
        <ns0:is>
          <ns0:t>https://github.com/Colliam-Vermilion/FirstCodex/blob/results/ad-oxygen-literature-20261006/results/ad-oxygen-literature-20261006/original_files/R10673/fulltext/fulltext__published__1e69a66f1487f499.pdf</ns0:t>
        </ns0:is>
      </ns0:c>
    </ns0:row>
    <ns0:row r="108" ht="48" customHeight="1">
      <ns0:c r="A108" s="2" t="inlineStr">
        <ns0:is>
          <ns0:t>R12384</ns0:t>
        </ns0:is>
      </ns0:c>
      <ns0:c r="B108" s="2" t="inlineStr">
        <ns0:is>
          <ns0:t>Toxicity and biodegradation of two different hydrothermal liquefaction process waters for anaerobic digestion and the effect of microaeration</ns0:t>
        </ns0:is>
      </ns0:c>
      <ns0:c r="C108" s="2" t="inlineStr">
        <ns0:is>
          <ns0:t>10.1016/j.cej.2025.165540</ns0:t>
        </ns0:is>
      </ns0:c>
      <ns0:c r="D108" s="2" t="inlineStr">
        <ns0:is>
          <ns0:t>fulltext</ns0:t>
        </ns0:is>
      </ns0:c>
      <ns0:c r="E108" s="2" t="inlineStr">
        <ns0:is>
          <ns0:t>出版版本（原页出版信息）</ns0:t>
        </ns0:is>
      </ns0:c>
      <ns0:c r="F108" s="2" t="inlineStr">
        <ns0:is>
          <ns0:t>R12384_2025_Toxicity_and_biodegradation_of_two_different_hydrothermal_liquefaction_process.pdf</ns0:t>
        </ns0:is>
      </ns0:c>
      <ns0:c r="G108" s="2" t="inlineStr">
        <ns0:is>
          <ns0:t>original_files/R12384/fulltext/fulltext__published__1e948fa711216475.pdf</ns0:t>
        </ns0:is>
      </ns0:c>
      <ns0:c r="H108" s="2" t="inlineStr">
        <ns0:is>
          <ns0:t>cloud_existing</ns0:t>
        </ns0:is>
      </ns0:c>
      <ns0:c r="I108" s="2" t="inlineStr">
        <ns0:is>
          <ns0:t>original_files/fulltext/R12384_2025_Toxicity_and_biodegradation_of_two_different_hydrothermal_liquefaction_process.pdf</ns0:t>
        </ns0:is>
      </ns0:c>
      <ns0:c r="J108" s="2" t="n">
        <ns0:v>6419337</ns0:v>
      </ns0:c>
      <ns0:c r="K108" s="2" t="inlineStr">
        <ns0:is>
          <ns0:t>1e948fa711216475e59f2aa9f4bfc93db00e1013c1ec1d2f8a70661e341e7633</ns0:t>
        </ns0:is>
      </ns0:c>
      <ns0:c r="L108" s="2" t="inlineStr">
        <ns0:is>
          <ns0:t>identity_and_body_structure_verified</ns0:t>
        </ns0:is>
      </ns0:c>
      <ns0:c r="M108" s="2" t="inlineStr"/>
      <ns0:c r="N108" s="2" t="inlineStr">
        <ns0:is>
          <ns0:t>首页/前两页题名作者或目标DOI核对，全部页面解析及正文结构检查；不据文件名判全文。</ns0:t>
        </ns0:is>
      </ns0:c>
      <ns0:c r="O108" s="2" t="inlineStr">
        <ns0:is>
          <ns0:t>https://github.com/Colliam-Vermilion/FirstCodex/blob/results/ad-oxygen-literature-20261006/results/ad-oxygen-literature-20261006/original_files/R12384/fulltext/fulltext__published__1e948fa711216475.pdf</ns0:t>
        </ns0:is>
      </ns0:c>
    </ns0:row>
    <ns0:row r="109" ht="48" customHeight="1">
      <ns0:c r="A109" s="3" t="inlineStr">
        <ns0:is>
          <ns0:t>R13855</ns0:t>
        </ns0:is>
      </ns0:c>
      <ns0:c r="B109" s="3" t="inlineStr">
        <ns0:is>
          <ns0:t>Micro-aerated fermentation enhances acetate production from high-rate activated sludge to supply carbon source for heterotrophic denitratation</ns0:t>
        </ns0:is>
      </ns0:c>
      <ns0:c r="C109" s="3" t="inlineStr">
        <ns0:is>
          <ns0:t>10.1016/j.cej.2022.136894</ns0:t>
        </ns0:is>
      </ns0:c>
      <ns0:c r="D109" s="3" t="inlineStr">
        <ns0:is>
          <ns0:t>fulltext</ns0:t>
        </ns0:is>
      </ns0:c>
      <ns0:c r="E109" s="3" t="inlineStr">
        <ns0:is>
          <ns0:t>出版版（版式及版权文字）</ns0:t>
        </ns0:is>
      </ns0:c>
      <ns0:c r="F109" s="3" t="inlineStr">
        <ns0:is>
          <ns0:t>fulltext.pdf</ns0:t>
        </ns0:is>
      </ns0:c>
      <ns0:c r="G109" s="3" t="inlineStr">
        <ns0:is>
          <ns0:t>original_files/R13855/fulltext/fulltext__published__1ee56be1dd88d737.pdf</ns0:t>
        </ns0:is>
      </ns0:c>
      <ns0:c r="H109" s="3" t="inlineStr">
        <ns0:is>
          <ns0:t>local_upload</ns0:t>
        </ns0:is>
      </ns0:c>
      <ns0:c r="I109" s="3" t="inlineStr">
        <ns0:is>
          <ns0:t>localdownload/R13855/fulltext.pdf</ns0:t>
        </ns0:is>
      </ns0:c>
      <ns0:c r="J109" s="3" t="n">
        <ns0:v>8651018</ns0:v>
      </ns0:c>
      <ns0:c r="K109" s="3" t="inlineStr">
        <ns0:is>
          <ns0:t>1ee56be1dd88d737729071709919d97ccead067974a9fe98406fc1891bb85975</ns0:t>
        </ns0:is>
      </ns0:c>
      <ns0:c r="L109" s="3" t="inlineStr">
        <ns0:is>
          <ns0:t>identity_and_body_structure_verified</ns0:t>
        </ns0:is>
      </ns0:c>
      <ns0:c r="M109" s="3" t="inlineStr"/>
      <ns0:c r="N109" s="3" t="inlineStr">
        <ns0:is>
          <ns0:t>首页/前两页题名作者或目标DOI核对，全部页面解析及正文结构检查；不据文件名判全文。</ns0:t>
        </ns0:is>
      </ns0:c>
      <ns0:c r="O109" s="3" t="inlineStr">
        <ns0:is>
          <ns0:t>https://github.com/Colliam-Vermilion/FirstCodex/blob/results/ad-oxygen-literature-20261006/results/ad-oxygen-literature-20261006/original_files/R13855/fulltext/fulltext__published__1ee56be1dd88d737.pdf</ns0:t>
        </ns0:is>
      </ns0:c>
    </ns0:row>
    <ns0:row r="110" ht="48" customHeight="1">
      <ns0:c r="A110" s="2" t="inlineStr">
        <ns0:is>
          <ns0:t>R13968</ns0:t>
        </ns0:is>
      </ns0:c>
      <ns0:c r="B110" s="2" t="inlineStr">
        <ns0:is>
          <ns0:t>Enhancement of separate hydrogen and methane production from ethanol wastewater by Microaeration</ns0:t>
        </ns0:is>
      </ns0:c>
      <ns0:c r="C110" s="2" t="inlineStr">
        <ns0:is>
          <ns0:t>10.58837/chula.the.2015.1957</ns0:t>
        </ns0:is>
      </ns0:c>
      <ns0:c r="D110" s="2" t="inlineStr">
        <ns0:is>
          <ns0:t>fulltext</ns0:t>
        </ns0:is>
      </ns0:c>
      <ns0:c r="E110" s="2" t="inlineStr">
        <ns0:is>
          <ns0:t>学位/学生报告原稿（分章节者按组）</ns0:t>
        </ns0:is>
      </ns0:c>
      <ns0:c r="F110" s="2" t="inlineStr">
        <ns0:is>
          <ns0:t>R13968_Nhatthaphon_sr_back_p.pdf</ns0:t>
        </ns0:is>
      </ns0:c>
      <ns0:c r="G110" s="2" t="inlineStr">
        <ns0:is>
          <ns0:t>original_files/R13968/fulltext/fulltext__thesis__1eeabd66eb09e704.pdf</ns0:t>
        </ns0:is>
      </ns0:c>
      <ns0:c r="H110" s="2" t="inlineStr">
        <ns0:is>
          <ns0:t>cloud_existing</ns0:t>
        </ns0:is>
      </ns0:c>
      <ns0:c r="I110" s="2" t="inlineStr">
        <ns0:is>
          <ns0:t>original_files/fulltext/R13968_Nhatthaphon_sr_back_p.pdf</ns0:t>
        </ns0:is>
      </ns0:c>
      <ns0:c r="J110" s="2" t="n">
        <ns0:v>1492934</ns0:v>
      </ns0:c>
      <ns0:c r="K110" s="2" t="inlineStr">
        <ns0:is>
          <ns0:t>1eeabd66eb09e7047569c92f557035bd252ce64d3d8a5cf08cc1dd8d56d27c31</ns0:t>
        </ns0:is>
      </ns0:c>
      <ns0:c r="L110" s="2" t="inlineStr">
        <ns0:is>
          <ns0:t>complete_multipart_thesis_group_verified</ns0:t>
        </ns0:is>
      </ns0:c>
      <ns0:c r="M110" s="2" t="inlineStr"/>
      <ns0:c r="N110" s="2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110" s="2" t="inlineStr">
        <ns0:is>
          <ns0:t>https://github.com/Colliam-Vermilion/FirstCodex/blob/results/ad-oxygen-literature-20261006/results/ad-oxygen-literature-20261006/original_files/R13968/fulltext/fulltext__thesis__1eeabd66eb09e704.pdf</ns0:t>
        </ns0:is>
      </ns0:c>
    </ns0:row>
    <ns0:row r="111" ht="48" customHeight="1">
      <ns0:c r="A111" s="3" t="inlineStr">
        <ns0:is>
          <ns0:t>R00273</ns0:t>
        </ns0:is>
      </ns0:c>
      <ns0:c r="B111" s="3" t="inlineStr">
        <ns0:is>
          <ns0:t>Management of hydrogen sulfide in anaerobic digestion of enzyme pretreated marine macro-algae</ns0:t>
        </ns0:is>
      </ns0:c>
      <ns0:c r="C111" s="3" t="inlineStr"/>
      <ns0:c r="D111" s="3" t="inlineStr">
        <ns0:is>
          <ns0:t>fulltext</ns0:t>
        </ns0:is>
      </ns0:c>
      <ns0:c r="E111" s="3" t="inlineStr">
        <ns0:is>
          <ns0:t>学位/机构存档原稿</ns0:t>
        </ns0:is>
      </ns0:c>
      <ns0:c r="F111" s="3" t="inlineStr">
        <ns0:is>
          <ns0:t>R00273_2012_Management_of_hydrogen_sulfide_in_anaerobic_digestion_of_enzyme.pdf</ns0:t>
        </ns0:is>
      </ns0:c>
      <ns0:c r="G111" s="3" t="inlineStr">
        <ns0:is>
          <ns0:t>original_files/R00273/fulltext/fulltext__thesis__2059ae72be92bd0e.pdf</ns0:t>
        </ns0:is>
      </ns0:c>
      <ns0:c r="H111" s="3" t="inlineStr">
        <ns0:is>
          <ns0:t>cloud_existing</ns0:t>
        </ns0:is>
      </ns0:c>
      <ns0:c r="I111" s="3" t="inlineStr">
        <ns0:is>
          <ns0:t>original_files/fulltext/R00273_2012_Management_of_hydrogen_sulfide_in_anaerobic_digestion_of_enzyme.pdf</ns0:t>
        </ns0:is>
      </ns0:c>
      <ns0:c r="J111" s="3" t="n">
        <ns0:v>5372083</ns0:v>
      </ns0:c>
      <ns0:c r="K111" s="3" t="inlineStr">
        <ns0:is>
          <ns0:t>2059ae72be92bd0e0928b31eb73f27d1f92ac15865050966ba9369eae1ac9c0c</ns0:t>
        </ns0:is>
      </ns0:c>
      <ns0:c r="L111" s="3" t="inlineStr">
        <ns0:is>
          <ns0:t>identity_and_body_structure_verified</ns0:t>
        </ns0:is>
      </ns0:c>
      <ns0:c r="M111" s="3" t="inlineStr"/>
      <ns0:c r="N111" s="3" t="inlineStr">
        <ns0:is>
          <ns0:t>首页/前两页题名作者或目标DOI核对，全部页面解析及正文结构检查；不据文件名判全文。</ns0:t>
        </ns0:is>
      </ns0:c>
      <ns0:c r="O111" s="3" t="inlineStr">
        <ns0:is>
          <ns0:t>https://github.com/Colliam-Vermilion/FirstCodex/blob/results/ad-oxygen-literature-20261006/results/ad-oxygen-literature-20261006/original_files/R00273/fulltext/fulltext__thesis__2059ae72be92bd0e.pdf</ns0:t>
        </ns0:is>
      </ns0:c>
    </ns0:row>
    <ns0:row r="112" ht="48" customHeight="1">
      <ns0:c r="A112" s="2" t="inlineStr">
        <ns0:is>
          <ns0:t>R13820</ns0:t>
        </ns0:is>
      </ns0:c>
      <ns0:c r="B112" s="2" t="inlineStr">
        <ns0:is>
          <ns0:t>Oxygen-limited aeration for relieving the impact of phenolic compounds in anaerobic treatment of coal gasification wastewater</ns0:t>
        </ns0:is>
      </ns0:c>
      <ns0:c r="C112" s="2" t="inlineStr">
        <ns0:is>
          <ns0:t>10.1016/j.ibiod.2014.06.009</ns0:t>
        </ns0:is>
      </ns0:c>
      <ns0:c r="D112" s="2" t="inlineStr">
        <ns0:is>
          <ns0:t>fulltext</ns0:t>
        </ns0:is>
      </ns0:c>
      <ns0:c r="E112" s="2" t="inlineStr">
        <ns0:is>
          <ns0:t>出版版（版式及版权文字）</ns0:t>
        </ns0:is>
      </ns0:c>
      <ns0:c r="F112" s="2" t="inlineStr">
        <ns0:is>
          <ns0:t>fulltext.pdf</ns0:t>
        </ns0:is>
      </ns0:c>
      <ns0:c r="G112" s="2" t="inlineStr">
        <ns0:is>
          <ns0:t>original_files/R13820/fulltext/fulltext__published__21ab0f9c0e59298c.pdf</ns0:t>
        </ns0:is>
      </ns0:c>
      <ns0:c r="H112" s="2" t="inlineStr">
        <ns0:is>
          <ns0:t>local_upload</ns0:t>
        </ns0:is>
      </ns0:c>
      <ns0:c r="I112" s="2" t="inlineStr">
        <ns0:is>
          <ns0:t>localdownload/R13820/fulltext.pdf</ns0:t>
        </ns0:is>
      </ns0:c>
      <ns0:c r="J112" s="2" t="n">
        <ns0:v>1382491</ns0:v>
      </ns0:c>
      <ns0:c r="K112" s="2" t="inlineStr">
        <ns0:is>
          <ns0:t>21ab0f9c0e59298c3db5f03205a194588d15fc72d8fe9d9a11bf7ac771018591</ns0:t>
        </ns0:is>
      </ns0:c>
      <ns0:c r="L112" s="2" t="inlineStr">
        <ns0:is>
          <ns0:t>identity_and_body_structure_verified</ns0:t>
        </ns0:is>
      </ns0:c>
      <ns0:c r="M112" s="2" t="inlineStr"/>
      <ns0:c r="N112" s="2" t="inlineStr">
        <ns0:is>
          <ns0:t>首页/前两页题名作者或目标DOI核对，全部页面解析及正文结构检查；不据文件名判全文。</ns0:t>
        </ns0:is>
      </ns0:c>
      <ns0:c r="O112" s="2" t="inlineStr">
        <ns0:is>
          <ns0:t>https://github.com/Colliam-Vermilion/FirstCodex/blob/results/ad-oxygen-literature-20261006/results/ad-oxygen-literature-20261006/original_files/R13820/fulltext/fulltext__published__21ab0f9c0e59298c.pdf</ns0:t>
        </ns0:is>
      </ns0:c>
    </ns0:row>
    <ns0:row r="113" ht="48" customHeight="1">
      <ns0:c r="A113" s="3" t="inlineStr">
        <ns0:is>
          <ns0:t>R07390</ns0:t>
        </ns0:is>
      </ns0:c>
      <ns0:c r="B113" s="3" t="inlineStr">
        <ns0:is>
          <ns0:t>A review of the practical application of micro-aeration and oxygenation for hydrogen sulfide management in anaerobic digesters</ns0:t>
        </ns0:is>
      </ns0:c>
      <ns0:c r="C113" s="3" t="inlineStr">
        <ns0:is>
          <ns0:t>10.1016/j.psep.2022.07.009</ns0:t>
        </ns0:is>
      </ns0:c>
      <ns0:c r="D113" s="3" t="inlineStr">
        <ns0:is>
          <ns0:t>fulltext</ns0:t>
        </ns0:is>
      </ns0:c>
      <ns0:c r="E113" s="3" t="inlineStr">
        <ns0:is>
          <ns0:t>出版版（版式及版权文字）</ns0:t>
        </ns0:is>
      </ns0:c>
      <ns0:c r="F113" s="3" t="inlineStr">
        <ns0:is>
          <ns0:t>fulltext.pdf</ns0:t>
        </ns0:is>
      </ns0:c>
      <ns0:c r="G113" s="3" t="inlineStr">
        <ns0:is>
          <ns0:t>original_files/R07390/fulltext/fulltext__published__21d00283cd95d763.pdf</ns0:t>
        </ns0:is>
      </ns0:c>
      <ns0:c r="H113" s="3" t="inlineStr">
        <ns0:is>
          <ns0:t>local_upload</ns0:t>
        </ns0:is>
      </ns0:c>
      <ns0:c r="I113" s="3" t="inlineStr">
        <ns0:is>
          <ns0:t>localdownload/R07390/fulltext.pdf</ns0:t>
        </ns0:is>
      </ns0:c>
      <ns0:c r="J113" s="3" t="n">
        <ns0:v>1180968</ns0:v>
      </ns0:c>
      <ns0:c r="K113" s="3" t="inlineStr">
        <ns0:is>
          <ns0:t>21d00283cd95d763b78d41334f6e964f113db662f360417e2c6cc1133f5c575b</ns0:t>
        </ns0:is>
      </ns0:c>
      <ns0:c r="L113" s="3" t="inlineStr">
        <ns0:is>
          <ns0:t>identity_and_body_structure_verified</ns0:t>
        </ns0:is>
      </ns0:c>
      <ns0:c r="M113" s="3" t="inlineStr"/>
      <ns0:c r="N113" s="3" t="inlineStr">
        <ns0:is>
          <ns0:t>首页/前两页题名作者或目标DOI核对，全部页面解析及正文结构检查；不据文件名判全文。</ns0:t>
        </ns0:is>
      </ns0:c>
      <ns0:c r="O113" s="3" t="inlineStr">
        <ns0:is>
          <ns0:t>https://github.com/Colliam-Vermilion/FirstCodex/blob/results/ad-oxygen-literature-20261006/results/ad-oxygen-literature-20261006/original_files/R07390/fulltext/fulltext__published__21d00283cd95d763.pdf</ns0:t>
        </ns0:is>
      </ns0:c>
    </ns0:row>
    <ns0:row r="114" ht="48" customHeight="1">
      <ns0:c r="A114" s="2" t="inlineStr">
        <ns0:is>
          <ns0:t>R10086</ns0:t>
        </ns0:is>
      </ns0:c>
      <ns0:c r="B114" s="2" t="inlineStr">
        <ns0:is>
          <ns0:t>Effect of micro-aeration on syntrophic and methanogenic activity in anaerobic sludge</ns0:t>
        </ns0:is>
      </ns0:c>
      <ns0:c r="C114" s="2" t="inlineStr">
        <ns0:is>
          <ns0:t>10.1007/s00253-023-12969-4</ns0:t>
        </ns0:is>
      </ns0:c>
      <ns0:c r="D114" s="2" t="inlineStr">
        <ns0:is>
          <ns0:t>fulltext</ns0:t>
        </ns0:is>
      </ns0:c>
      <ns0:c r="E114" s="2" t="inlineStr">
        <ns0:is>
          <ns0:t>Version of Record / publisher-formatted final journal PDF</ns0:t>
        </ns0:is>
      </ns0:c>
      <ns0:c r="F114" s="2" t="inlineStr">
        <ns0:is>
          <ns0:t>R10086_2024_Effect_of_micro-aeration_on_syntrophic_and_methanogenic_activity_in__20261015_21edae5d714c.pdf</ns0:t>
        </ns0:is>
      </ns0:c>
      <ns0:c r="G114" s="2" t="inlineStr">
        <ns0:is>
          <ns0:t>original_files/R10086/fulltext/fulltext__version_unverified__21edae5d714c52e2.pdf</ns0:t>
        </ns0:is>
      </ns0:c>
      <ns0:c r="H114" s="2" t="inlineStr">
        <ns0:is>
          <ns0:t>cloud_existing</ns0:t>
        </ns0:is>
      </ns0:c>
      <ns0:c r="I114" s="2" t="inlineStr">
        <ns0:is>
          <ns0:t>original_files/fulltext/R10086_2024_Effect_of_micro-aeration_on_syntrophic_and_methanogenic_activity_in__20261015_21edae5d714c.pdf</ns0:t>
        </ns0:is>
      </ns0:c>
      <ns0:c r="J114" s="2" t="n">
        <ns0:v>985902</ns0:v>
      </ns0:c>
      <ns0:c r="K114" s="2" t="inlineStr">
        <ns0:is>
          <ns0:t>21edae5d714c52e25084de82ff68cd25d4701e624a3e74f18532b67f84573d37</ns0:t>
        </ns0:is>
      </ns0:c>
      <ns0:c r="L114" s="2" t="inlineStr">
        <ns0:is>
          <ns0:t>identity_and_body_structure_verified</ns0:t>
        </ns0:is>
      </ns0:c>
      <ns0:c r="M114" s="2" t="inlineStr"/>
      <ns0:c r="N114" s="2" t="inlineStr">
        <ns0:is>
          <ns0:t>首页/前两页题名作者或目标DOI核对，全部页面解析及正文结构检查；不据文件名判全文。</ns0:t>
        </ns0:is>
      </ns0:c>
      <ns0:c r="O114" s="2" t="inlineStr">
        <ns0:is>
          <ns0:t>https://github.com/Colliam-Vermilion/FirstCodex/blob/results/ad-oxygen-literature-20261006/results/ad-oxygen-literature-20261006/original_files/R10086/fulltext/fulltext__version_unverified__21edae5d714c52e2.pdf</ns0:t>
        </ns0:is>
      </ns0:c>
    </ns0:row>
    <ns0:row r="115" ht="48" customHeight="1">
      <ns0:c r="A115" s="3" t="inlineStr">
        <ns0:is>
          <ns0:t>R13855</ns0:t>
        </ns0:is>
      </ns0:c>
      <ns0:c r="B115" s="3" t="inlineStr">
        <ns0:is>
          <ns0:t>Micro-aerated fermentation enhances acetate production from high-rate activated sludge to supply carbon source for heterotrophic denitratation</ns0:t>
        </ns0:is>
      </ns0:c>
      <ns0:c r="C115" s="3" t="inlineStr">
        <ns0:is>
          <ns0:t>10.1016/j.cej.2022.136894</ns0:t>
        </ns0:is>
      </ns0:c>
      <ns0:c r="D115" s="3" t="inlineStr">
        <ns0:is>
          <ns0:t>supplementary</ns0:t>
        </ns0:is>
      </ns0:c>
      <ns0:c r="E115" s="3" t="inlineStr"/>
      <ns0:c r="F115" s="3" t="inlineStr">
        <ns0:is>
          <ns0:t>supplementary.docx</ns0:t>
        </ns0:is>
      </ns0:c>
      <ns0:c r="G115" s="3" t="inlineStr">
        <ns0:is>
          <ns0:t>original_files/R13855/supplementary/supplementary__2243848843d992d3.docx</ns0:t>
        </ns0:is>
      </ns0:c>
      <ns0:c r="H115" s="3" t="inlineStr">
        <ns0:is>
          <ns0:t>local_upload</ns0:t>
        </ns0:is>
      </ns0:c>
      <ns0:c r="I115" s="3" t="inlineStr">
        <ns0:is>
          <ns0:t>localdownload/R13855/supplementary.docx</ns0:t>
        </ns0:is>
      </ns0:c>
      <ns0:c r="J115" s="3" t="n">
        <ns0:v>4440424</ns0:v>
      </ns0:c>
      <ns0:c r="K115" s="3" t="inlineStr">
        <ns0:is>
          <ns0:t>2243848843d992d36bac253069a21468221d33745d3424001e0d2448e05a19f3</ns0:t>
        </ns0:is>
      </ns0:c>
      <ns0:c r="L115" s="3" t="inlineStr">
        <ns0:is>
          <ns0:t>container_crc_verified</ns0:t>
        </ns0:is>
      </ns0:c>
      <ns0:c r="M115" s="3" t="inlineStr">
        <ns0:is>
          <ns0:t>title_in_attachment_verified</ns0:t>
        </ns0:is>
      </ns0:c>
      <ns0:c r="N115" s="3" t="inlineStr"/>
      <ns0:c r="O115" s="3" t="inlineStr">
        <ns0:is>
          <ns0:t>https://github.com/Colliam-Vermilion/FirstCodex/blob/results/ad-oxygen-literature-20261006/results/ad-oxygen-literature-20261006/original_files/R13855/supplementary/supplementary__2243848843d992d3.docx</ns0:t>
        </ns0:is>
      </ns0:c>
    </ns0:row>
    <ns0:row r="116" ht="48" customHeight="1">
      <ns0:c r="A116" s="2" t="inlineStr">
        <ns0:is>
          <ns0:t>R13928</ns0:t>
        </ns0:is>
      </ns0:c>
      <ns0:c r="B116" s="2" t="inlineStr">
        <ns0:is>
          <ns0:t>The impact of aerobic pretreatment of agro and industrial wastes on their biomethanation potential in Nisargruna technology</ns0:t>
        </ns0:is>
      </ns0:c>
      <ns0:c r="C116" s="2" t="inlineStr">
        <ns0:is>
          <ns0:t>10.38150/sajeb.11(5).p548-556</ns0:t>
        </ns0:is>
      </ns0:c>
      <ns0:c r="D116" s="2" t="inlineStr">
        <ns0:is>
          <ns0:t>uncertain</ns0:t>
        </ns0:is>
      </ns0:c>
      <ns0:c r="E116" s="2" t="inlineStr"/>
      <ns0:c r="F116" s="2" t="inlineStr">
        <ns0:is>
          <ns0:t>R13928_2021_The_impact_of_aerobic_pretreatment_of_agro_and_industrial_wastes_on_their_biomethanation_potential_i_2243d14b51d8.pdf</ns0:t>
        </ns0:is>
      </ns0:c>
      <ns0:c r="G116" s="2" t="inlineStr">
        <ns0:is>
          <ns0:t>original_files/R13928/uncertain/uncertain__2243d14b51d82a02.pdf</ns0:t>
        </ns0:is>
      </ns0:c>
      <ns0:c r="H116" s="2" t="inlineStr">
        <ns0:is>
          <ns0:t>cloud_existing</ns0:t>
        </ns0:is>
      </ns0:c>
      <ns0:c r="I116" s="2" t="inlineStr">
        <ns0:is>
          <ns0:t>original_files/continuation_20261017/candidates/R13928_2021_The_impact_of_aerobic_pretreatment_of_agro_and_industrial_wastes_on_their_biomethanation_potential_i_2243d14b51d8.pdf</ns0:t>
        </ns0:is>
      </ns0:c>
      <ns0:c r="J116" s="2" t="n">
        <ns0:v>343415</ns0:v>
      </ns0:c>
      <ns0:c r="K116" s="2" t="inlineStr">
        <ns0:is>
          <ns0:t>2243d14b51d82a0225c2c646a4d6ffe8929093e245ea9df13b4168d5e02c2936</ns0:t>
        </ns0:is>
      </ns0:c>
      <ns0:c r="L116" s="2" t="inlineStr">
        <ns0:is>
          <ns0:t>historical_candidate_not_target_fulltext</ns0:t>
        </ns0:is>
      </ns0:c>
      <ns0:c r="M116" s="2" t="inlineStr"/>
      <ns0:c r="N116" s="2" t="inlineStr">
        <ns0:is>
          <ns0:t>历史候选抓取物：出版商目录/广告、期刊索引或检索页等，目标身份及正文不成立；原件保留，不计全文或科研补充材料。</ns0:t>
        </ns0:is>
      </ns0:c>
      <ns0:c r="O116" s="2" t="inlineStr">
        <ns0:is>
          <ns0:t>https://github.com/Colliam-Vermilion/FirstCodex/blob/results/ad-oxygen-literature-20261006/results/ad-oxygen-literature-20261006/original_files/R13928/uncertain/uncertain__2243d14b51d82a02.pdf</ns0:t>
        </ns0:is>
      </ns0:c>
    </ns0:row>
    <ns0:row r="117" ht="48" customHeight="1">
      <ns0:c r="A117" s="3" t="inlineStr">
        <ns0:is>
          <ns0:t>R13943</ns0:t>
        </ns0:is>
      </ns0:c>
      <ns0:c r="B117" s="3" t="inlineStr">
        <ns0:is>
          <ns0:t>Aerobic biological pretreatment of municipal solid waste with a high content of putrescibles: effect on landfill emissions</ns0:t>
        </ns0:is>
      </ns0:c>
      <ns0:c r="C117" s="3" t="inlineStr">
        <ns0:is>
          <ns0:t>10.1177/0734242x13493959</ns0:t>
        </ns0:is>
      </ns0:c>
      <ns0:c r="D117" s="3" t="inlineStr">
        <ns0:is>
          <ns0:t>fulltext</ns0:t>
        </ns0:is>
      </ns0:c>
      <ns0:c r="E117" s="3" t="inlineStr">
        <ns0:is>
          <ns0:t>出版版（版式及版权文字）</ns0:t>
        </ns0:is>
      </ns0:c>
      <ns0:c r="F117" s="3" t="inlineStr">
        <ns0:is>
          <ns0:t>fulltext.pdf</ns0:t>
        </ns0:is>
      </ns0:c>
      <ns0:c r="G117" s="3" t="inlineStr">
        <ns0:is>
          <ns0:t>original_files/R13943/fulltext/fulltext__published__22a5c16f1546a545.pdf</ns0:t>
        </ns0:is>
      </ns0:c>
      <ns0:c r="H117" s="3" t="inlineStr">
        <ns0:is>
          <ns0:t>local_upload</ns0:t>
        </ns0:is>
      </ns0:c>
      <ns0:c r="I117" s="3" t="inlineStr">
        <ns0:is>
          <ns0:t>localdownload/R13943/fulltext.pdf</ns0:t>
        </ns0:is>
      </ns0:c>
      <ns0:c r="J117" s="3" t="n">
        <ns0:v>472842</ns0:v>
      </ns0:c>
      <ns0:c r="K117" s="3" t="inlineStr">
        <ns0:is>
          <ns0:t>22a5c16f1546a5454e91ed05f1ed8c70d845952b85fa9fe5f6655755b4b6eed5</ns0:t>
        </ns0:is>
      </ns0:c>
      <ns0:c r="L117" s="3" t="inlineStr">
        <ns0:is>
          <ns0:t>identity_and_body_structure_verified</ns0:t>
        </ns0:is>
      </ns0:c>
      <ns0:c r="M117" s="3" t="inlineStr"/>
      <ns0:c r="N117" s="3" t="inlineStr">
        <ns0:is>
          <ns0:t>首页/前两页题名作者或目标DOI核对，全部页面解析及正文结构检查；不据文件名判全文。</ns0:t>
        </ns0:is>
      </ns0:c>
      <ns0:c r="O117" s="3" t="inlineStr">
        <ns0:is>
          <ns0:t>https://github.com/Colliam-Vermilion/FirstCodex/blob/results/ad-oxygen-literature-20261006/results/ad-oxygen-literature-20261006/original_files/R13943/fulltext/fulltext__published__22a5c16f1546a545.pdf</ns0:t>
        </ns0:is>
      </ns0:c>
    </ns0:row>
    <ns0:row r="118" ht="48" customHeight="1">
      <ns0:c r="A118" s="2" t="inlineStr">
        <ns0:is>
          <ns0:t>R09902</ns0:t>
        </ns0:is>
      </ns0:c>
      <ns0:c r="B118" s="2" t="inlineStr">
        <ns0:is>
          <ns0:t>Biological desulfurization of biogas by a controlled aeration system</ns0:t>
        </ns0:is>
      </ns0:c>
      <ns0:c r="C118" s="2" t="inlineStr">
        <ns0:is>
          <ns0:t>10.55905/cuadv16n2-063</ns0:t>
        </ns0:is>
      </ns0:c>
      <ns0:c r="D118" s="2" t="inlineStr">
        <ns0:is>
          <ns0:t>fulltext</ns0:t>
        </ns0:is>
      </ns0:c>
      <ns0:c r="E118" s="2" t="inlineStr">
        <ns0:is>
          <ns0:t>版本待核实</ns0:t>
        </ns0:is>
      </ns0:c>
      <ns0:c r="F118" s="2" t="inlineStr">
        <ns0:is>
          <ns0:t>fulltext.pdf</ns0:t>
        </ns0:is>
      </ns0:c>
      <ns0:c r="G118" s="2" t="inlineStr">
        <ns0:is>
          <ns0:t>original_files/R09902/fulltext/fulltext__version_unverified__22ec9f0c43b02d82.pdf</ns0:t>
        </ns0:is>
      </ns0:c>
      <ns0:c r="H118" s="2" t="inlineStr">
        <ns0:is>
          <ns0:t>local_upload</ns0:t>
        </ns0:is>
      </ns0:c>
      <ns0:c r="I118" s="2" t="inlineStr">
        <ns0:is>
          <ns0:t>localdownload/R09902/fulltext.pdf</ns0:t>
        </ns0:is>
      </ns0:c>
      <ns0:c r="J118" s="2" t="n">
        <ns0:v>745213</ns0:v>
      </ns0:c>
      <ns0:c r="K118" s="2" t="inlineStr">
        <ns0:is>
          <ns0:t>22ec9f0c43b02d82fb1547a86926fed4569f3f4f7f3ce7bb75d00aa12faf636c</ns0:t>
        </ns0:is>
      </ns0:c>
      <ns0:c r="L118" s="2" t="inlineStr">
        <ns0:is>
          <ns0:t>identity_and_body_structure_verified</ns0:t>
        </ns0:is>
      </ns0:c>
      <ns0:c r="M118" s="2" t="inlineStr"/>
      <ns0:c r="N118" s="2" t="inlineStr">
        <ns0:is>
          <ns0:t>首页/前两页题名作者或目标DOI核对，全部页面解析及正文结构检查；不据文件名判全文。</ns0:t>
        </ns0:is>
      </ns0:c>
      <ns0:c r="O118" s="2" t="inlineStr">
        <ns0:is>
          <ns0:t>https://github.com/Colliam-Vermilion/FirstCodex/blob/results/ad-oxygen-literature-20261006/results/ad-oxygen-literature-20261006/original_files/R09902/fulltext/fulltext__version_unverified__22ec9f0c43b02d82.pdf</ns0:t>
        </ns0:is>
      </ns0:c>
    </ns0:row>
    <ns0:row r="119" ht="48" customHeight="1">
      <ns0:c r="A119" s="3" t="inlineStr">
        <ns0:is>
          <ns0:t>R13850</ns0:t>
        </ns0:is>
      </ns0:c>
      <ns0:c r="B119" s="3" t="inlineStr">
        <ns0:is>
          <ns0:t>Microaerophilic treatment enhanced organic matter removal and methane production rates during swine wastewater treatment: A long-term engineering evaluation</ns0:t>
        </ns0:is>
      </ns0:c>
      <ns0:c r="C119" s="3" t="inlineStr">
        <ns0:is>
          <ns0:t>10.1016/j.renene.2021.08.120</ns0:t>
        </ns0:is>
      </ns0:c>
      <ns0:c r="D119" s="3" t="inlineStr">
        <ns0:is>
          <ns0:t>fulltext</ns0:t>
        </ns0:is>
      </ns0:c>
      <ns0:c r="E119" s="3" t="inlineStr">
        <ns0:is>
          <ns0:t>出版版（版式及版权文字）</ns0:t>
        </ns0:is>
      </ns0:c>
      <ns0:c r="F119" s="3" t="inlineStr">
        <ns0:is>
          <ns0:t>fulltext.pdf</ns0:t>
        </ns0:is>
      </ns0:c>
      <ns0:c r="G119" s="3" t="inlineStr">
        <ns0:is>
          <ns0:t>original_files/R13850/fulltext/fulltext__published__2331de22c4e2d3a5.pdf</ns0:t>
        </ns0:is>
      </ns0:c>
      <ns0:c r="H119" s="3" t="inlineStr">
        <ns0:is>
          <ns0:t>local_upload</ns0:t>
        </ns0:is>
      </ns0:c>
      <ns0:c r="I119" s="3" t="inlineStr">
        <ns0:is>
          <ns0:t>localdownload/R13850/fulltext.pdf</ns0:t>
        </ns0:is>
      </ns0:c>
      <ns0:c r="J119" s="3" t="n">
        <ns0:v>1571443</ns0:v>
      </ns0:c>
      <ns0:c r="K119" s="3" t="inlineStr">
        <ns0:is>
          <ns0:t>2331de22c4e2d3a542c3d40f0e6df0293b12a7de4fa8c230c89d6bcb2ef16341</ns0:t>
        </ns0:is>
      </ns0:c>
      <ns0:c r="L119" s="3" t="inlineStr">
        <ns0:is>
          <ns0:t>identity_and_body_structure_verified</ns0:t>
        </ns0:is>
      </ns0:c>
      <ns0:c r="M119" s="3" t="inlineStr"/>
      <ns0:c r="N119" s="3" t="inlineStr">
        <ns0:is>
          <ns0:t>首页/前两页题名作者或目标DOI核对，全部页面解析及正文结构检查；不据文件名判全文。</ns0:t>
        </ns0:is>
      </ns0:c>
      <ns0:c r="O119" s="3" t="inlineStr">
        <ns0:is>
          <ns0:t>https://github.com/Colliam-Vermilion/FirstCodex/blob/results/ad-oxygen-literature-20261006/results/ad-oxygen-literature-20261006/original_files/R13850/fulltext/fulltext__published__2331de22c4e2d3a5.pdf</ns0:t>
        </ns0:is>
      </ns0:c>
    </ns0:row>
    <ns0:row r="120" ht="48" customHeight="1">
      <ns0:c r="A120" s="2" t="inlineStr">
        <ns0:is>
          <ns0:t>R04605</ns0:t>
        </ns0:is>
      </ns0:c>
      <ns0:c r="B120" s="2" t="inlineStr">
        <ns0:is>
          <ns0:t>Characteristics of Ultra-Fine Bubble Water and Its Effects on Anaerobic Digestion of Waste Activated Sludge</ns0:t>
        </ns0:is>
      </ns0:c>
      <ns0:c r="C120" s="2" t="inlineStr">
        <ns0:is>
          <ns0:t>10.15068/00158028</ns0:t>
        </ns0:is>
      </ns0:c>
      <ns0:c r="D120" s="2" t="inlineStr">
        <ns0:is>
          <ns0:t>uncertain</ns0:t>
        </ns0:is>
      </ns0:c>
      <ns0:c r="E120" s="2" t="inlineStr">
        <ns0:is>
          <ns0:t>出版版（版式及版权文字）</ns0:t>
        </ns0:is>
      </ns0:c>
      <ns0:c r="F120" s="2" t="inlineStr">
        <ns0:is>
          <ns0:t>fulltext.pdf</ns0:t>
        </ns0:is>
      </ns0:c>
      <ns0:c r="G120" s="2" t="inlineStr">
        <ns0:is>
          <ns0:t>original_files/R04605/uncertain/uncertain__23467bce618a72ea.pdf</ns0:t>
        </ns0:is>
      </ns0:c>
      <ns0:c r="H120" s="2" t="inlineStr">
        <ns0:is>
          <ns0:t>local_upload</ns0:t>
        </ns0:is>
      </ns0:c>
      <ns0:c r="I120" s="2" t="inlineStr">
        <ns0:is>
          <ns0:t>localdownload/R04605/fulltext.pdf</ns0:t>
        </ns0:is>
      </ns0:c>
      <ns0:c r="J120" s="2" t="n">
        <ns0:v>1548614</ns0:v>
      </ns0:c>
      <ns0:c r="K120" s="2" t="inlineStr">
        <ns0:is>
          <ns0:t>23467bce618a72ea0d82927f37b78058db7af1387f5617136b62fe83f7078247</ns0:t>
        </ns0:is>
      </ns0:c>
      <ns0:c r="L120" s="2" t="inlineStr">
        <ns0:is>
          <ns0:t>identity_conflict_not_target_fulltext</ns0:t>
        </ns0:is>
      </ns0:c>
      <ns0:c r="M120" s="2" t="inlineStr"/>
      <ns0:c r="N120" s="2" t="inlineStr">
        <ns0:is>
          <ns0:t>上传7页Bioresource Technology 273 (2019) 63–69期刊文章，不是目标Wang Di博士学位全文；同研究关联待核实，未另增文献ID</ns0:t>
        </ns0:is>
      </ns0:c>
      <ns0:c r="O120" s="2" t="inlineStr">
        <ns0:is>
          <ns0:t>https://github.com/Colliam-Vermilion/FirstCodex/blob/results/ad-oxygen-literature-20261006/results/ad-oxygen-literature-20261006/original_files/R04605/uncertain/uncertain__23467bce618a72ea.pdf</ns0:t>
        </ns0:is>
      </ns0:c>
    </ns0:row>
    <ns0:row r="121" ht="48" customHeight="1">
      <ns0:c r="A121" s="3" t="inlineStr">
        <ns0:is>
          <ns0:t>R09649</ns0:t>
        </ns0:is>
      </ns0:c>
      <ns0:c r="B121" s="3" t="inlineStr">
        <ns0:is>
          <ns0:t>Use of nanobubble water bioaugmented anaerobically digested sludge for high-efficacy energy production from high-solids anaerobic digestion of corn straw</ns0:t>
        </ns0:is>
      </ns0:c>
      <ns0:c r="C121" s="3" t="inlineStr">
        <ns0:is>
          <ns0:t>10.1016/j.scitotenv.2022.160825</ns0:t>
        </ns0:is>
      </ns0:c>
      <ns0:c r="D121" s="3" t="inlineStr">
        <ns0:is>
          <ns0:t>fulltext</ns0:t>
        </ns0:is>
      </ns0:c>
      <ns0:c r="E121" s="3" t="inlineStr">
        <ns0:is>
          <ns0:t>出版版（版式及版权文字）</ns0:t>
        </ns0:is>
      </ns0:c>
      <ns0:c r="F121" s="3" t="inlineStr">
        <ns0:is>
          <ns0:t>fulltext.pdf</ns0:t>
        </ns0:is>
      </ns0:c>
      <ns0:c r="G121" s="3" t="inlineStr">
        <ns0:is>
          <ns0:t>original_files/R09649/fulltext/fulltext__published__234b96574d200967.pdf</ns0:t>
        </ns0:is>
      </ns0:c>
      <ns0:c r="H121" s="3" t="inlineStr">
        <ns0:is>
          <ns0:t>local_upload</ns0:t>
        </ns0:is>
      </ns0:c>
      <ns0:c r="I121" s="3" t="inlineStr">
        <ns0:is>
          <ns0:t>localdownload/R09649/fulltext.pdf</ns0:t>
        </ns0:is>
      </ns0:c>
      <ns0:c r="J121" s="3" t="n">
        <ns0:v>1312540</ns0:v>
      </ns0:c>
      <ns0:c r="K121" s="3" t="inlineStr">
        <ns0:is>
          <ns0:t>234b96574d2009674b6e6f546857077f9e4e0fe7b8555c3854fc3480f0deedc9</ns0:t>
        </ns0:is>
      </ns0:c>
      <ns0:c r="L121" s="3" t="inlineStr">
        <ns0:is>
          <ns0:t>identity_and_body_structure_verified</ns0:t>
        </ns0:is>
      </ns0:c>
      <ns0:c r="M121" s="3" t="inlineStr"/>
      <ns0:c r="N121" s="3" t="inlineStr">
        <ns0:is>
          <ns0:t>首页/前两页题名作者或目标DOI核对，全部页面解析及正文结构检查；不据文件名判全文。</ns0:t>
        </ns0:is>
      </ns0:c>
      <ns0:c r="O121" s="3" t="inlineStr">
        <ns0:is>
          <ns0:t>https://github.com/Colliam-Vermilion/FirstCodex/blob/results/ad-oxygen-literature-20261006/results/ad-oxygen-literature-20261006/original_files/R09649/fulltext/fulltext__published__234b96574d200967.pdf</ns0:t>
        </ns0:is>
      </ns0:c>
    </ns0:row>
    <ns0:row r="122" ht="48" customHeight="1">
      <ns0:c r="A122" s="2" t="inlineStr">
        <ns0:is>
          <ns0:t>R13969</ns0:t>
        </ns0:is>
      </ns0:c>
      <ns0:c r="B122" s="2" t="inlineStr">
        <ns0:is>
          <ns0:t>Effects of microaeration on hydrogen and methane production from cassava wastewater using a two-stage UASB system</ns0:t>
        </ns0:is>
      </ns0:c>
      <ns0:c r="C122" s="2" t="inlineStr">
        <ns0:is>
          <ns0:t>10.58837/chula.the.2015.1953</ns0:t>
        </ns0:is>
      </ns0:c>
      <ns0:c r="D122" s="2" t="inlineStr">
        <ns0:is>
          <ns0:t>fulltext</ns0:t>
        </ns0:is>
      </ns0:c>
      <ns0:c r="E122" s="2" t="inlineStr">
        <ns0:is>
          <ns0:t>学位/学生报告原稿（分章节者按组）</ns0:t>
        </ns0:is>
      </ns0:c>
      <ns0:c r="F122" s="2" t="inlineStr">
        <ns0:is>
          <ns0:t>R13969_Pairin_tu_ch1_p.pdf</ns0:t>
        </ns0:is>
      </ns0:c>
      <ns0:c r="G122" s="2" t="inlineStr">
        <ns0:is>
          <ns0:t>original_files/R13969/fulltext/fulltext__thesis__239995a5c23d7580.pdf</ns0:t>
        </ns0:is>
      </ns0:c>
      <ns0:c r="H122" s="2" t="inlineStr">
        <ns0:is>
          <ns0:t>cloud_existing</ns0:t>
        </ns0:is>
      </ns0:c>
      <ns0:c r="I122" s="2" t="inlineStr">
        <ns0:is>
          <ns0:t>original_files/fulltext/R13969_Pairin_tu_ch1_p.pdf</ns0:t>
        </ns0:is>
      </ns0:c>
      <ns0:c r="J122" s="2" t="n">
        <ns0:v>649972</ns0:v>
      </ns0:c>
      <ns0:c r="K122" s="2" t="inlineStr">
        <ns0:is>
          <ns0:t>239995a5c23d758049b99db0ca8aa1752790e940bee916370a0b9ad22becc3ea</ns0:t>
        </ns0:is>
      </ns0:c>
      <ns0:c r="L122" s="2" t="inlineStr">
        <ns0:is>
          <ns0:t>complete_multipart_thesis_group_verified</ns0:t>
        </ns0:is>
      </ns0:c>
      <ns0:c r="M122" s="2" t="inlineStr"/>
      <ns0:c r="N122" s="2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122" s="2" t="inlineStr">
        <ns0:is>
          <ns0:t>https://github.com/Colliam-Vermilion/FirstCodex/blob/results/ad-oxygen-literature-20261006/results/ad-oxygen-literature-20261006/original_files/R13969/fulltext/fulltext__thesis__239995a5c23d7580.pdf</ns0:t>
        </ns0:is>
      </ns0:c>
    </ns0:row>
    <ns0:row r="123" ht="48" customHeight="1">
      <ns0:c r="A123" s="3" t="inlineStr">
        <ns0:is>
          <ns0:t>R05065</ns0:t>
        </ns0:is>
      </ns0:c>
      <ns0:c r="B123" s="3" t="inlineStr">
        <ns0:is>
          <ns0:t>Performance of microaeration hydrolytic acidification process in the pretreatment of 2-butenal manufacture wastewater</ns0:t>
        </ns0:is>
      </ns0:c>
      <ns0:c r="C123" s="3" t="inlineStr">
        <ns0:is>
          <ns0:t>10.1016/j.jhazmat.2019.02.034</ns0:t>
        </ns0:is>
      </ns0:c>
      <ns0:c r="D123" s="3" t="inlineStr">
        <ns0:is>
          <ns0:t>fulltext</ns0:t>
        </ns0:is>
      </ns0:c>
      <ns0:c r="E123" s="3" t="inlineStr">
        <ns0:is>
          <ns0:t>出版版（版式及版权文字）</ns0:t>
        </ns0:is>
      </ns0:c>
      <ns0:c r="F123" s="3" t="inlineStr">
        <ns0:is>
          <ns0:t>fulltext.pdf</ns0:t>
        </ns0:is>
      </ns0:c>
      <ns0:c r="G123" s="3" t="inlineStr">
        <ns0:is>
          <ns0:t>original_files/R05065/fulltext/fulltext__published__239adeaf9a5df55a.pdf</ns0:t>
        </ns0:is>
      </ns0:c>
      <ns0:c r="H123" s="3" t="inlineStr">
        <ns0:is>
          <ns0:t>local_upload</ns0:t>
        </ns0:is>
      </ns0:c>
      <ns0:c r="I123" s="3" t="inlineStr">
        <ns0:is>
          <ns0:t>localdownload/R05065/fulltext.pdf</ns0:t>
        </ns0:is>
      </ns0:c>
      <ns0:c r="J123" s="3" t="n">
        <ns0:v>6249834</ns0:v>
      </ns0:c>
      <ns0:c r="K123" s="3" t="inlineStr">
        <ns0:is>
          <ns0:t>239adeaf9a5df55a383ba454cf2811563b710d89e446a0af02062140664e382e</ns0:t>
        </ns0:is>
      </ns0:c>
      <ns0:c r="L123" s="3" t="inlineStr">
        <ns0:is>
          <ns0:t>identity_and_body_structure_verified</ns0:t>
        </ns0:is>
      </ns0:c>
      <ns0:c r="M123" s="3" t="inlineStr"/>
      <ns0:c r="N123" s="3" t="inlineStr">
        <ns0:is>
          <ns0:t>首页/前两页题名作者或目标DOI核对，全部页面解析及正文结构检查；不据文件名判全文。</ns0:t>
        </ns0:is>
      </ns0:c>
      <ns0:c r="O123" s="3" t="inlineStr">
        <ns0:is>
          <ns0:t>https://github.com/Colliam-Vermilion/FirstCodex/blob/results/ad-oxygen-literature-20261006/results/ad-oxygen-literature-20261006/original_files/R05065/fulltext/fulltext__published__239adeaf9a5df55a.pdf</ns0:t>
        </ns0:is>
      </ns0:c>
    </ns0:row>
    <ns0:row r="124" ht="48" customHeight="1">
      <ns0:c r="A124" s="2" t="inlineStr">
        <ns0:is>
          <ns0:t>R13966</ns0:t>
        </ns0:is>
      </ns0:c>
      <ns0:c r="B124" s="2" t="inlineStr">
        <ns0:is>
          <ns0:t>Recent Progress on Dry Anaerobic Digestion of Organic Solid Wastes: Achievements and Challenges</ns0:t>
        </ns0:is>
      </ns0:c>
      <ns0:c r="C124" s="2" t="inlineStr">
        <ns0:is>
          <ns0:t>10.2174/1385272819666150119222633</ns0:t>
        </ns0:is>
      </ns0:c>
      <ns0:c r="D124" s="2" t="inlineStr">
        <ns0:is>
          <ns0:t>uncertain</ns0:t>
        </ns0:is>
      </ns0:c>
      <ns0:c r="E124" s="2" t="inlineStr"/>
      <ns0:c r="F124" s="2" t="inlineStr">
        <ns0:is>
          <ns0:t>R13966_2015_Recent_Progress_on_Dry_Anaerobic_Digestion_of_Organic_Solid_Wastes_Achievements_and_Challenges_241323b4bf27.pdf; R04721_2019_Effects_of_Gas_Supplying_Patterns_on_Aerobic_Anaerobic_Biogas_Production_of_Rice_Straw_241323b4bf27.pdf; R02863_2016_Transformations_Inhibition_and_Inhibition_Control_Methods_of_Sulfur_in_Sludge_Anaerobic_Digestion_A__241323b4bf27.pdf</ns0:t>
        </ns0:is>
      </ns0:c>
      <ns0:c r="G124" s="2" t="inlineStr">
        <ns0:is>
          <ns0:t>original_files/R13966/uncertain/uncertain__241323b4bf27ebf0.pdf</ns0:t>
        </ns0:is>
      </ns0:c>
      <ns0:c r="H124" s="2" t="inlineStr">
        <ns0:is>
          <ns0:t>cloud_existing</ns0:t>
        </ns0:is>
      </ns0:c>
      <ns0:c r="I124" s="2" t="inlineStr">
        <ns0:is>
          <ns0:t>original_files/continuation_20261017/candidates/R13966_2015_Recent_Progress_on_Dry_Anaerobic_Digestion_of_Organic_Solid_Wastes_Achievements_and_Challenges_241323b4bf27.pdf; original_files/continuation_20261017/candidates/R04721_2019_Effects_of_Gas_Supplying_Patterns_on_Aerobic_Anaerobic_Biogas_Production_of_Rice_Straw_241323b4bf27.pdf; original_files/continuation_20261017/candidates/R02863_2016_Transformations_Inhibition_and_Inhibition_Control_Methods_of_Sulfur_in_Sludge_Anaerobic_Digestion_A__241323b4bf27.pdf</ns0:t>
        </ns0:is>
      </ns0:c>
      <ns0:c r="J124" s="2" t="n">
        <ns0:v>1886927</ns0:v>
      </ns0:c>
      <ns0:c r="K124" s="2" t="inlineStr">
        <ns0:is>
          <ns0:t>241323b4bf27ebf0b5120f242474f621cfa41e14822ba1ea0cffa3dee49e7e2e</ns0:t>
        </ns0:is>
      </ns0:c>
      <ns0:c r="L124" s="2" t="inlineStr">
        <ns0:is>
          <ns0:t>historical_candidate_not_target_fulltext</ns0:t>
        </ns0:is>
      </ns0:c>
      <ns0:c r="M124" s="2" t="inlineStr"/>
      <ns0:c r="N124" s="2" t="inlineStr">
        <ns0:is>
          <ns0:t>历史候选抓取物：出版商目录/广告、期刊索引或检索页等，目标身份及正文不成立；原件保留，不计全文或科研补充材料。</ns0:t>
        </ns0:is>
      </ns0:c>
      <ns0:c r="O124" s="2" t="inlineStr">
        <ns0:is>
          <ns0:t>https://github.com/Colliam-Vermilion/FirstCodex/blob/results/ad-oxygen-literature-20261006/results/ad-oxygen-literature-20261006/original_files/R13966/uncertain/uncertain__241323b4bf27ebf0.pdf</ns0:t>
        </ns0:is>
      </ns0:c>
    </ns0:row>
    <ns0:row r="125" ht="48" customHeight="1">
      <ns0:c r="A125" s="3" t="inlineStr">
        <ns0:is>
          <ns0:t>R13946</ns0:t>
        </ns0:is>
      </ns0:c>
      <ns0:c r="B125" s="3" t="inlineStr">
        <ns0:is>
          <ns0:t>Review of the Effects of Microaeration on Methanogens in the Anaerobic Digestion Systems</ns0:t>
        </ns0:is>
      </ns0:c>
      <ns0:c r="C125" s="3" t="inlineStr">
        <ns0:is>
          <ns0:t>10.1007/978-3-031-28193-8_5</ns0:t>
        </ns0:is>
      </ns0:c>
      <ns0:c r="D125" s="3" t="inlineStr">
        <ns0:is>
          <ns0:t>fulltext</ns0:t>
        </ns0:is>
      </ns0:c>
      <ns0:c r="E125" s="3" t="inlineStr">
        <ns0:is>
          <ns0:t>出版版会议论文集（包含完整目标章节）</ns0:t>
        </ns0:is>
      </ns0:c>
      <ns0:c r="F125" s="3" t="inlineStr">
        <ns0:is>
          <ns0:t>fulltext.pdf</ns0:t>
        </ns0:is>
      </ns0:c>
      <ns0:c r="G125" s="3" t="inlineStr">
        <ns0:is>
          <ns0:t>original_files/R13946/fulltext/fulltext__book_chapter__243ae302f0c89f50.pdf</ns0:t>
        </ns0:is>
      </ns0:c>
      <ns0:c r="H125" s="3" t="inlineStr">
        <ns0:is>
          <ns0:t>local_upload</ns0:t>
        </ns0:is>
      </ns0:c>
      <ns0:c r="I125" s="3" t="inlineStr">
        <ns0:is>
          <ns0:t>localdownload/R13946/fulltext.pdf</ns0:t>
        </ns0:is>
      </ns0:c>
      <ns0:c r="J125" s="3" t="n">
        <ns0:v>5962318</ns0:v>
      </ns0:c>
      <ns0:c r="K125" s="3" t="inlineStr">
        <ns0:is>
          <ns0:t>243ae302f0c89f5069a02c7deec5cc9a47522f01f99379d65567cd927900dbf7</ns0:t>
        </ns0:is>
      </ns0:c>
      <ns0:c r="L125" s="3" t="inlineStr">
        <ns0:is>
          <ns0:t>manual_identity_and_completeness_verified</ns0:t>
        </ns0:is>
      </ns0:c>
      <ns0:c r="M125" s="3" t="inlineStr"/>
      <ns0:c r="N125" s="3" t="inlineStr">
        <ns0:is>
          <ns0:t>上传整本Springer会议论文集207页。目标Chapter 5在PDF pp.46–53（印刷页35–42），该章节首有题名/Ziqi Fan/DOI，末有参考文献，PDF p.54开始第6章；按1篇已获完整章节计，不计为期刊论文。未把其他章节另增文献。</ns0:t>
        </ns0:is>
      </ns0:c>
      <ns0:c r="O125" s="3" t="inlineStr">
        <ns0:is>
          <ns0:t>https://github.com/Colliam-Vermilion/FirstCodex/blob/results/ad-oxygen-literature-20261006/results/ad-oxygen-literature-20261006/original_files/R13946/fulltext/fulltext__book_chapter__243ae302f0c89f50.pdf</ns0:t>
        </ns0:is>
      </ns0:c>
    </ns0:row>
    <ns0:row r="126" ht="48" customHeight="1">
      <ns0:c r="A126" s="2" t="inlineStr">
        <ns0:is>
          <ns0:t>R08911</ns0:t>
        </ns0:is>
      </ns0:c>
      <ns0:c r="B126" s="2" t="inlineStr">
        <ns0:is>
          <ns0:t>Employing micro-aeration in anaerobic digestion of poultry litter and wheat straw: Batch kinetics and continuous performance</ns0:t>
        </ns0:is>
      </ns0:c>
      <ns0:c r="C126" s="2" t="inlineStr">
        <ns0:is>
          <ns0:t>10.1016/j.biortech.2022.128351</ns0:t>
        </ns0:is>
      </ns0:c>
      <ns0:c r="D126" s="2" t="inlineStr">
        <ns0:is>
          <ns0:t>fulltext</ns0:t>
        </ns0:is>
      </ns0:c>
      <ns0:c r="E126" s="2" t="inlineStr">
        <ns0:is>
          <ns0:t>出版版（版式及版权文字）</ns0:t>
        </ns0:is>
      </ns0:c>
      <ns0:c r="F126" s="2" t="inlineStr">
        <ns0:is>
          <ns0:t>fultext.pdf</ns0:t>
        </ns0:is>
      </ns0:c>
      <ns0:c r="G126" s="2" t="inlineStr">
        <ns0:is>
          <ns0:t>original_files/R08911/fulltext/fulltext__published__24c23746bbcc6419.pdf</ns0:t>
        </ns0:is>
      </ns0:c>
      <ns0:c r="H126" s="2" t="inlineStr">
        <ns0:is>
          <ns0:t>local_upload</ns0:t>
        </ns0:is>
      </ns0:c>
      <ns0:c r="I126" s="2" t="inlineStr">
        <ns0:is>
          <ns0:t>localdownload/R08911/fultext.pdf</ns0:t>
        </ns0:is>
      </ns0:c>
      <ns0:c r="J126" s="2" t="n">
        <ns0:v>4482780</ns0:v>
      </ns0:c>
      <ns0:c r="K126" s="2" t="inlineStr">
        <ns0:is>
          <ns0:t>24c23746bbcc641907250b6c483f1fbbcff0a97dda3f178745544b5745a2ed76</ns0:t>
        </ns0:is>
      </ns0:c>
      <ns0:c r="L126" s="2" t="inlineStr">
        <ns0:is>
          <ns0:t>identity_and_body_structure_verified</ns0:t>
        </ns0:is>
      </ns0:c>
      <ns0:c r="M126" s="2" t="inlineStr"/>
      <ns0:c r="N126" s="2" t="inlineStr">
        <ns0:is>
          <ns0:t>首页/前两页题名作者或目标DOI核对，全部页面解析及正文结构检查；不据文件名判全文。</ns0:t>
        </ns0:is>
      </ns0:c>
      <ns0:c r="O126" s="2" t="inlineStr">
        <ns0:is>
          <ns0:t>https://github.com/Colliam-Vermilion/FirstCodex/blob/results/ad-oxygen-literature-20261006/results/ad-oxygen-literature-20261006/original_files/R08911/fulltext/fulltext__published__24c23746bbcc6419.pdf</ns0:t>
        </ns0:is>
      </ns0:c>
    </ns0:row>
    <ns0:row r="127" ht="48" customHeight="1">
      <ns0:c r="A127" s="3" t="inlineStr">
        <ns0:is>
          <ns0:t>R05544</ns0:t>
        </ns0:is>
      </ns0:c>
      <ns0:c r="B127" s="3" t="inlineStr">
        <ns0:is>
          <ns0:t>Effect of nano-bubble water on high solid anaerobic digestion of pig manure: Focus on digestion stability, methanogenesis performance and related mechanisms</ns0:t>
        </ns0:is>
      </ns0:c>
      <ns0:c r="C127" s="3" t="inlineStr">
        <ns0:is>
          <ns0:t>10.1016/j.biortech.2020.123793</ns0:t>
        </ns0:is>
      </ns0:c>
      <ns0:c r="D127" s="3" t="inlineStr">
        <ns0:is>
          <ns0:t>fulltext</ns0:t>
        </ns0:is>
      </ns0:c>
      <ns0:c r="E127" s="3" t="inlineStr">
        <ns0:is>
          <ns0:t>出版版（版式及版权文字）</ns0:t>
        </ns0:is>
      </ns0:c>
      <ns0:c r="F127" s="3" t="inlineStr">
        <ns0:is>
          <ns0:t>fulltext.pdf</ns0:t>
        </ns0:is>
      </ns0:c>
      <ns0:c r="G127" s="3" t="inlineStr">
        <ns0:is>
          <ns0:t>original_files/R05544/fulltext/fulltext__published__24c76324a7cd3191.pdf</ns0:t>
        </ns0:is>
      </ns0:c>
      <ns0:c r="H127" s="3" t="inlineStr">
        <ns0:is>
          <ns0:t>local_upload</ns0:t>
        </ns0:is>
      </ns0:c>
      <ns0:c r="I127" s="3" t="inlineStr">
        <ns0:is>
          <ns0:t>localdownload/R05544/fulltext.pdf</ns0:t>
        </ns0:is>
      </ns0:c>
      <ns0:c r="J127" s="3" t="n">
        <ns0:v>594149</ns0:v>
      </ns0:c>
      <ns0:c r="K127" s="3" t="inlineStr">
        <ns0:is>
          <ns0:t>24c76324a7cd319136713fab50e62f23646cac5f5f6a8abb0a4ca9560a4173f8</ns0:t>
        </ns0:is>
      </ns0:c>
      <ns0:c r="L127" s="3" t="inlineStr">
        <ns0:is>
          <ns0:t>identity_and_body_structure_verified</ns0:t>
        </ns0:is>
      </ns0:c>
      <ns0:c r="M127" s="3" t="inlineStr"/>
      <ns0:c r="N127" s="3" t="inlineStr">
        <ns0:is>
          <ns0:t>首页/前两页题名作者或目标DOI核对，全部页面解析及正文结构检查；不据文件名判全文。</ns0:t>
        </ns0:is>
      </ns0:c>
      <ns0:c r="O127" s="3" t="inlineStr">
        <ns0:is>
          <ns0:t>https://github.com/Colliam-Vermilion/FirstCodex/blob/results/ad-oxygen-literature-20261006/results/ad-oxygen-literature-20261006/original_files/R05544/fulltext/fulltext__published__24c76324a7cd3191.pdf</ns0:t>
        </ns0:is>
      </ns0:c>
    </ns0:row>
    <ns0:row r="128" ht="48" customHeight="1">
      <ns0:c r="A128" s="2" t="inlineStr">
        <ns0:is>
          <ns0:t>R03900</ns0:t>
        </ns0:is>
      </ns0:c>
      <ns0:c r="B128" s="2" t="inlineStr">
        <ns0:is>
          <ns0:t>Efficiency, granulation, and bacterial populations related to pollutant removal in an upflow microaerobic sludge reactor treating wastewater with low COD/TN ratio</ns0:t>
        </ns0:is>
      </ns0:c>
      <ns0:c r="C128" s="2" t="inlineStr">
        <ns0:is>
          <ns0:t>10.1016/j.biortech.2018.08.016</ns0:t>
        </ns0:is>
      </ns0:c>
      <ns0:c r="D128" s="2" t="inlineStr">
        <ns0:is>
          <ns0:t>fulltext</ns0:t>
        </ns0:is>
      </ns0:c>
      <ns0:c r="E128" s="2" t="inlineStr">
        <ns0:is>
          <ns0:t>出版版（版式及版权文字）</ns0:t>
        </ns0:is>
      </ns0:c>
      <ns0:c r="F128" s="2" t="inlineStr">
        <ns0:is>
          <ns0:t>fulltext.pdf</ns0:t>
        </ns0:is>
      </ns0:c>
      <ns0:c r="G128" s="2" t="inlineStr">
        <ns0:is>
          <ns0:t>original_files/R03900/fulltext/fulltext__published__254540c6f1846351.pdf</ns0:t>
        </ns0:is>
      </ns0:c>
      <ns0:c r="H128" s="2" t="inlineStr">
        <ns0:is>
          <ns0:t>local_upload</ns0:t>
        </ns0:is>
      </ns0:c>
      <ns0:c r="I128" s="2" t="inlineStr">
        <ns0:is>
          <ns0:t>localdownload/R03900/fulltext.pdf</ns0:t>
        </ns0:is>
      </ns0:c>
      <ns0:c r="J128" s="2" t="n">
        <ns0:v>2944469</ns0:v>
      </ns0:c>
      <ns0:c r="K128" s="2" t="inlineStr">
        <ns0:is>
          <ns0:t>254540c6f1846351c168ff143b23a9032a3d0d2ea7dfa538972b5679d47155fc</ns0:t>
        </ns0:is>
      </ns0:c>
      <ns0:c r="L128" s="2" t="inlineStr">
        <ns0:is>
          <ns0:t>identity_and_body_structure_verified</ns0:t>
        </ns0:is>
      </ns0:c>
      <ns0:c r="M128" s="2" t="inlineStr"/>
      <ns0:c r="N128" s="2" t="inlineStr">
        <ns0:is>
          <ns0:t>首页/前两页题名作者或目标DOI核对，全部页面解析及正文结构检查；不据文件名判全文。</ns0:t>
        </ns0:is>
      </ns0:c>
      <ns0:c r="O128" s="2" t="inlineStr">
        <ns0:is>
          <ns0:t>https://github.com/Colliam-Vermilion/FirstCodex/blob/results/ad-oxygen-literature-20261006/results/ad-oxygen-literature-20261006/original_files/R03900/fulltext/fulltext__published__254540c6f1846351.pdf</ns0:t>
        </ns0:is>
      </ns0:c>
    </ns0:row>
    <ns0:row r="129" ht="48" customHeight="1">
      <ns0:c r="A129" s="3" t="inlineStr">
        <ns0:is>
          <ns0:t>R11773</ns0:t>
        </ns0:is>
      </ns0:c>
      <ns0:c r="B129" s="3" t="inlineStr">
        <ns0:is>
          <ns0:t>Lab to large-scale applications of microaeration in anaerobic digestion: Biowaste digestibility, microbiome nexus, and reactor stability</ns0:t>
        </ns0:is>
      </ns0:c>
      <ns0:c r="C129" s="3" t="inlineStr">
        <ns0:is>
          <ns0:t>10.1016/j.jece.2025.117766</ns0:t>
        </ns0:is>
      </ns0:c>
      <ns0:c r="D129" s="3" t="inlineStr">
        <ns0:is>
          <ns0:t>administrative_attachment</ns0:t>
        </ns0:is>
      </ns0:c>
      <ns0:c r="E129" s="3" t="inlineStr"/>
      <ns0:c r="F129" s="3" t="inlineStr">
        <ns0:is>
          <ns0:t>supplementary.pdf</ns0:t>
        </ns0:is>
      </ns0:c>
      <ns0:c r="G129" s="3" t="inlineStr">
        <ns0:is>
          <ns0:t>original_files/R11773/administrative/administrative_attachment__2678b792270b6843.pdf</ns0:t>
        </ns0:is>
      </ns0:c>
      <ns0:c r="H129" s="3" t="inlineStr">
        <ns0:is>
          <ns0:t>local_upload</ns0:t>
        </ns0:is>
      </ns0:c>
      <ns0:c r="I129" s="3" t="inlineStr">
        <ns0:is>
          <ns0:t>localdownload/R11773/supplementary.pdf</ns0:t>
        </ns0:is>
      </ns0:c>
      <ns0:c r="J129" s="3" t="n">
        <ns0:v>754591</ns0:v>
      </ns0:c>
      <ns0:c r="K129" s="3" t="inlineStr">
        <ns0:is>
          <ns0:t>2678b792270b6843ed3cf2d5fec1e0436311b3ef1208805a09ddabb155ee5c5e</ns0:t>
        </ns0:is>
      </ns0:c>
      <ns0:c r="L129" s="3" t="inlineStr">
        <ns0:is>
          <ns0:t>administrative_form_identified</ns0:t>
        </ns0:is>
      </ns0:c>
      <ns0:c r="M129" s="3" t="inlineStr"/>
      <ns0:c r="N129" s="3" t="inlineStr">
        <ns0:is>
          <ns0:t>内容为Authorship change request（作者变更申请表）；有关联论文题名，但不是科研补充材料。</ns0:t>
        </ns0:is>
      </ns0:c>
      <ns0:c r="O129" s="3" t="inlineStr">
        <ns0:is>
          <ns0:t>https://github.com/Colliam-Vermilion/FirstCodex/blob/results/ad-oxygen-literature-20261006/results/ad-oxygen-literature-20261006/original_files/R11773/administrative/administrative_attachment__2678b792270b6843.pdf</ns0:t>
        </ns0:is>
      </ns0:c>
    </ns0:row>
    <ns0:row r="130" ht="48" customHeight="1">
      <ns0:c r="A130" s="2" t="inlineStr">
        <ns0:is>
          <ns0:t>R06744</ns0:t>
        </ns0:is>
      </ns0:c>
      <ns0:c r="B130" s="2" t="inlineStr">
        <ns0:is>
          <ns0:t>High-Solid Anaerobic Digestion: Reviewing Strategies for Increasing Reactor Performance</ns0:t>
        </ns0:is>
      </ns0:c>
      <ns0:c r="C130" s="2" t="inlineStr">
        <ns0:is>
          <ns0:t>10.3390/environments8080080</ns0:t>
        </ns0:is>
      </ns0:c>
      <ns0:c r="D130" s="2" t="inlineStr">
        <ns0:is>
          <ns0:t>source_evidence</ns0:t>
        </ns0:is>
      </ns0:c>
      <ns0:c r="E130" s="2" t="inlineStr"/>
      <ns0:c r="F130" s="2" t="inlineStr">
        <ns0:is>
          <ns0:t>publisher_article_page_20261017.html</ns0:t>
        </ns0:is>
      </ns0:c>
      <ns0:c r="G130" s="2" t="inlineStr">
        <ns0:is>
          <ns0:t>original_files/R06744/evidence/source_evidence__26a0785475a33cde.html</ns0:t>
        </ns0:is>
      </ns0:c>
      <ns0:c r="H130" s="2" t="inlineStr">
        <ns0:is>
          <ns0:t>cloud_existing</ns0:t>
        </ns0:is>
      </ns0:c>
      <ns0:c r="I130" s="2" t="inlineStr">
        <ns0:is>
          <ns0:t>original_files/source_evidence/R06744/publisher_article_page_20261017.html</ns0:t>
        </ns0:is>
      </ns0:c>
      <ns0:c r="J130" s="2" t="n">
        <ns0:v>1065030</ns0:v>
      </ns0:c>
      <ns0:c r="K130" s="2" t="inlineStr">
        <ns0:is>
          <ns0:t>26a0785475a33cdedabc57126926ca680c2eeeee5581bb43605199d998dd7bdd</ns0:t>
        </ns0:is>
      </ns0:c>
      <ns0:c r="L130" s="2" t="inlineStr">
        <ns0:is>
          <ns0:t>text_readable</ns0:t>
        </ns0:is>
      </ns0:c>
      <ns0:c r="M130" s="2" t="inlineStr"/>
      <ns0:c r="N130" s="2" t="inlineStr"/>
      <ns0:c r="O130" s="2" t="inlineStr">
        <ns0:is>
          <ns0:t>https://github.com/Colliam-Vermilion/FirstCodex/blob/results/ad-oxygen-literature-20261006/results/ad-oxygen-literature-20261006/original_files/R06744/evidence/source_evidence__26a0785475a33cde.html</ns0:t>
        </ns0:is>
      </ns0:c>
    </ns0:row>
    <ns0:row r="131" ht="48" customHeight="1">
      <ns0:c r="A131" s="3" t="inlineStr">
        <ns0:is>
          <ns0:t>R07238</ns0:t>
        </ns0:is>
      </ns0:c>
      <ns0:c r="B131" s="3" t="inlineStr">
        <ns0:is>
          <ns0:t>The influence of combined low-strength ultrasonics and micro-aerobic pretreatment process on methane generation and sludge digestion: Lipase enzyme, microbial activation, and energy yield</ns0:t>
        </ns0:is>
      </ns0:c>
      <ns0:c r="C131" s="3" t="inlineStr">
        <ns0:is>
          <ns0:t>10.1016/j.ultsonch.2021.105531</ns0:t>
        </ns0:is>
      </ns0:c>
      <ns0:c r="D131" s="3" t="inlineStr">
        <ns0:is>
          <ns0:t>fulltext</ns0:t>
        </ns0:is>
      </ns0:c>
      <ns0:c r="E131" s="3" t="inlineStr">
        <ns0:is>
          <ns0:t>出版版本（原页出版信息）</ns0:t>
        </ns0:is>
      </ns0:c>
      <ns0:c r="F131" s="3" t="inlineStr">
        <ns0:is>
          <ns0:t>R07238_2021_The_influence_of_combined_low-strength_ultrasonics_and_micro-aerobic_pretreatment.pdf</ns0:t>
        </ns0:is>
      </ns0:c>
      <ns0:c r="G131" s="3" t="inlineStr">
        <ns0:is>
          <ns0:t>original_files/R07238/fulltext/fulltext__published__26c38d1631747ddc.pdf</ns0:t>
        </ns0:is>
      </ns0:c>
      <ns0:c r="H131" s="3" t="inlineStr">
        <ns0:is>
          <ns0:t>cloud_existing</ns0:t>
        </ns0:is>
      </ns0:c>
      <ns0:c r="I131" s="3" t="inlineStr">
        <ns0:is>
          <ns0:t>original_files/fulltext/R07238_2021_The_influence_of_combined_low-strength_ultrasonics_and_micro-aerobic_pretreatment.pdf</ns0:t>
        </ns0:is>
      </ns0:c>
      <ns0:c r="J131" s="3" t="n">
        <ns0:v>4532295</ns0:v>
      </ns0:c>
      <ns0:c r="K131" s="3" t="inlineStr">
        <ns0:is>
          <ns0:t>26c38d1631747ddcb443b8d80d0070145f1968ff0f4b8e86dc2f69cc2bb968d8</ns0:t>
        </ns0:is>
      </ns0:c>
      <ns0:c r="L131" s="3" t="inlineStr">
        <ns0:is>
          <ns0:t>identity_and_body_structure_verified</ns0:t>
        </ns0:is>
      </ns0:c>
      <ns0:c r="M131" s="3" t="inlineStr"/>
      <ns0:c r="N131" s="3" t="inlineStr">
        <ns0:is>
          <ns0:t>首页/前两页题名作者或目标DOI核对，全部页面解析及正文结构检查；不据文件名判全文。</ns0:t>
        </ns0:is>
      </ns0:c>
      <ns0:c r="O131" s="3" t="inlineStr">
        <ns0:is>
          <ns0:t>https://github.com/Colliam-Vermilion/FirstCodex/blob/results/ad-oxygen-literature-20261006/results/ad-oxygen-literature-20261006/original_files/R07238/fulltext/fulltext__published__26c38d1631747ddc.pdf</ns0:t>
        </ns0:is>
      </ns0:c>
    </ns0:row>
    <ns0:row r="132" ht="48" customHeight="1">
      <ns0:c r="A132" s="2" t="inlineStr">
        <ns0:is>
          <ns0:t>R04796</ns0:t>
        </ns0:is>
      </ns0:c>
      <ns0:c r="B132" s="2" t="inlineStr">
        <ns0:is>
          <ns0:t>Evaluation of Hydrogen Sulfide Scrubbing Systems for Anaerobic Digesters on Two U.S. Dairy Farms</ns0:t>
        </ns0:is>
      </ns0:c>
      <ns0:c r="C132" s="2" t="inlineStr">
        <ns0:is>
          <ns0:t>10.3390/en12244605</ns0:t>
        </ns0:is>
      </ns0:c>
      <ns0:c r="D132" s="2" t="inlineStr">
        <ns0:is>
          <ns0:t>source_evidence</ns0:t>
        </ns0:is>
      </ns0:c>
      <ns0:c r="E132" s="2" t="inlineStr"/>
      <ns0:c r="F132" s="2" t="inlineStr">
        <ns0:is>
          <ns0:t>publisher_article_page_20261017.html</ns0:t>
        </ns0:is>
      </ns0:c>
      <ns0:c r="G132" s="2" t="inlineStr">
        <ns0:is>
          <ns0:t>original_files/R04796/evidence/source_evidence__27a9ab55f7ca4ae1.html</ns0:t>
        </ns0:is>
      </ns0:c>
      <ns0:c r="H132" s="2" t="inlineStr">
        <ns0:is>
          <ns0:t>cloud_existing</ns0:t>
        </ns0:is>
      </ns0:c>
      <ns0:c r="I132" s="2" t="inlineStr">
        <ns0:is>
          <ns0:t>original_files/source_evidence/R04796/publisher_article_page_20261017.html</ns0:t>
        </ns0:is>
      </ns0:c>
      <ns0:c r="J132" s="2" t="n">
        <ns0:v>393193</ns0:v>
      </ns0:c>
      <ns0:c r="K132" s="2" t="inlineStr">
        <ns0:is>
          <ns0:t>27a9ab55f7ca4ae1789e52e4f54e9f29a8bd986f1e2ef37b8d15e766d0848c24</ns0:t>
        </ns0:is>
      </ns0:c>
      <ns0:c r="L132" s="2" t="inlineStr">
        <ns0:is>
          <ns0:t>text_readable</ns0:t>
        </ns0:is>
      </ns0:c>
      <ns0:c r="M132" s="2" t="inlineStr"/>
      <ns0:c r="N132" s="2" t="inlineStr"/>
      <ns0:c r="O132" s="2" t="inlineStr">
        <ns0:is>
          <ns0:t>https://github.com/Colliam-Vermilion/FirstCodex/blob/results/ad-oxygen-literature-20261006/results/ad-oxygen-literature-20261006/original_files/R04796/evidence/source_evidence__27a9ab55f7ca4ae1.html</ns0:t>
        </ns0:is>
      </ns0:c>
    </ns0:row>
    <ns0:row r="133" ht="48" customHeight="1">
      <ns0:c r="A133" s="3" t="inlineStr">
        <ns0:is>
          <ns0:t>R11041</ns0:t>
        </ns0:is>
      </ns0:c>
      <ns0:c r="B133" s="3" t="inlineStr">
        <ns0:is>
          <ns0:t>A novel microbubbles-assisted Fe-C micro-electrolysis system to bridge the anaerobic digestion and microalgae cultivation: the dual drive of electron transfer and coagulation</ns0:t>
        </ns0:is>
      </ns0:c>
      <ns0:c r="C133" s="3" t="inlineStr">
        <ns0:is>
          <ns0:t>10.1016/j.cej.2025.164185</ns0:t>
        </ns0:is>
      </ns0:c>
      <ns0:c r="D133" s="3" t="inlineStr">
        <ns0:is>
          <ns0:t>supplementary</ns0:t>
        </ns0:is>
      </ns0:c>
      <ns0:c r="E133" s="3" t="inlineStr"/>
      <ns0:c r="F133" s="3" t="inlineStr">
        <ns0:is>
          <ns0:t>supplementary.docx</ns0:t>
        </ns0:is>
      </ns0:c>
      <ns0:c r="G133" s="3" t="inlineStr">
        <ns0:is>
          <ns0:t>original_files/R11041/supplementary/supplementary__27ac08f29794d037.docx</ns0:t>
        </ns0:is>
      </ns0:c>
      <ns0:c r="H133" s="3" t="inlineStr">
        <ns0:is>
          <ns0:t>local_upload</ns0:t>
        </ns0:is>
      </ns0:c>
      <ns0:c r="I133" s="3" t="inlineStr">
        <ns0:is>
          <ns0:t>localdownload/R11041/supplementary.docx</ns0:t>
        </ns0:is>
      </ns0:c>
      <ns0:c r="J133" s="3" t="n">
        <ns0:v>3984179</ns0:v>
      </ns0:c>
      <ns0:c r="K133" s="3" t="inlineStr">
        <ns0:is>
          <ns0:t>27ac08f29794d037077bf644db2c1d98e838f62caf5d546c99b02f4bbcbc8232</ns0:t>
        </ns0:is>
      </ns0:c>
      <ns0:c r="L133" s="3" t="inlineStr">
        <ns0:is>
          <ns0:t>container_crc_verified</ns0:t>
        </ns0:is>
      </ns0:c>
      <ns0:c r="M133" s="3" t="inlineStr">
        <ns0:is>
          <ns0:t>title_in_attachment_verified</ns0:t>
        </ns0:is>
      </ns0:c>
      <ns0:c r="N133" s="3" t="inlineStr"/>
      <ns0:c r="O133" s="3" t="inlineStr">
        <ns0:is>
          <ns0:t>https://github.com/Colliam-Vermilion/FirstCodex/blob/results/ad-oxygen-literature-20261006/results/ad-oxygen-literature-20261006/original_files/R11041/supplementary/supplementary__27ac08f29794d037.docx</ns0:t>
        </ns0:is>
      </ns0:c>
    </ns0:row>
    <ns0:row r="134" ht="48" customHeight="1">
      <ns0:c r="A134" s="2" t="inlineStr">
        <ns0:is>
          <ns0:t>R10199</ns0:t>
        </ns0:is>
      </ns0:c>
      <ns0:c r="B134" s="2" t="inlineStr">
        <ns0:is>
          <ns0:t>Enhancing anaerobic digestion Efficiency: A comprehensive review on innovative intensification technologies</ns0:t>
        </ns0:is>
      </ns0:c>
      <ns0:c r="C134" s="2" t="inlineStr">
        <ns0:is>
          <ns0:t>10.1016/j.enconman.2024.118979</ns0:t>
        </ns0:is>
      </ns0:c>
      <ns0:c r="D134" s="2" t="inlineStr">
        <ns0:is>
          <ns0:t>supplementary</ns0:t>
        </ns0:is>
      </ns0:c>
      <ns0:c r="E134" s="2" t="inlineStr"/>
      <ns0:c r="F134" s="2" t="inlineStr">
        <ns0:is>
          <ns0:t>supplementary.docx</ns0:t>
        </ns0:is>
      </ns0:c>
      <ns0:c r="G134" s="2" t="inlineStr">
        <ns0:is>
          <ns0:t>original_files/R10199/supplementary/supplementary__27f4e95ca4af6636.docx</ns0:t>
        </ns0:is>
      </ns0:c>
      <ns0:c r="H134" s="2" t="inlineStr">
        <ns0:is>
          <ns0:t>local_upload</ns0:t>
        </ns0:is>
      </ns0:c>
      <ns0:c r="I134" s="2" t="inlineStr">
        <ns0:is>
          <ns0:t>localdownload/R10199/supplementary.docx</ns0:t>
        </ns0:is>
      </ns0:c>
      <ns0:c r="J134" s="2" t="n">
        <ns0:v>24981</ns0:v>
      </ns0:c>
      <ns0:c r="K134" s="2" t="inlineStr">
        <ns0:is>
          <ns0:t>27f4e95ca4af6636855d1b3fb73a69a4317c8a0e95397aaa2dbf716dec412688</ns0:t>
        </ns0:is>
      </ns0:c>
      <ns0:c r="L134" s="2" t="inlineStr">
        <ns0:is>
          <ns0:t>container_crc_verified</ns0:t>
        </ns0:is>
      </ns0:c>
      <ns0:c r="M134" s="2" t="inlineStr">
        <ns0:is>
          <ns0:t>title_in_attachment_verified</ns0:t>
        </ns0:is>
      </ns0:c>
      <ns0:c r="N134" s="2" t="inlineStr"/>
      <ns0:c r="O134" s="2" t="inlineStr">
        <ns0:is>
          <ns0:t>https://github.com/Colliam-Vermilion/FirstCodex/blob/results/ad-oxygen-literature-20261006/results/ad-oxygen-literature-20261006/original_files/R10199/supplementary/supplementary__27f4e95ca4af6636.docx</ns0:t>
        </ns0:is>
      </ns0:c>
    </ns0:row>
    <ns0:row r="135" ht="48" customHeight="1">
      <ns0:c r="A135" s="3" t="inlineStr">
        <ns0:is>
          <ns0:t>R03220</ns0:t>
        </ns0:is>
      </ns0:c>
      <ns0:c r="B135" s="3" t="inlineStr">
        <ns0:is>
          <ns0:t>Enhanced volatile fatty acids production during anaerobic digestion of lignocellulosic biomass via micro-oxygenation</ns0:t>
        </ns0:is>
      </ns0:c>
      <ns0:c r="C135" s="3" t="inlineStr">
        <ns0:is>
          <ns0:t>10.1016/j.biortech.2017.02.029</ns0:t>
        </ns0:is>
      </ns0:c>
      <ns0:c r="D135" s="3" t="inlineStr">
        <ns0:is>
          <ns0:t>supplementary</ns0:t>
        </ns0:is>
      </ns0:c>
      <ns0:c r="E135" s="3" t="inlineStr"/>
      <ns0:c r="F135" s="3" t="inlineStr">
        <ns0:is>
          <ns0:t>supplementary2.docx</ns0:t>
        </ns0:is>
      </ns0:c>
      <ns0:c r="G135" s="3" t="inlineStr">
        <ns0:is>
          <ns0:t>original_files/R03220/supplementary/supplementary__285191e1fb2e2380.docx</ns0:t>
        </ns0:is>
      </ns0:c>
      <ns0:c r="H135" t="inlineStr">
        <ns0:is>
          <ns0:t>local_upload; main@ab8353c误传副本</ns0:t>
        </ns0:is>
      </ns0:c>
      <ns0:c r="I135" t="inlineStr">
        <ns0:is>
          <ns0:t>localdownload/R03220/supplementary2.docx; main@ab8353c:R03220/supplementary2.docx</ns0:t>
        </ns0:is>
      </ns0:c>
      <ns0:c r="J135" s="3" t="n">
        <ns0:v>14580</ns0:v>
      </ns0:c>
      <ns0:c r="K135" s="3" t="inlineStr">
        <ns0:is>
          <ns0:t>285191e1fb2e2380af580874c7bc1fe0511fdeacc29d469b2a65533c413cef1b</ns0:t>
        </ns0:is>
      </ns0:c>
      <ns0:c r="L135" s="3" t="inlineStr">
        <ns0:is>
          <ns0:t>container_crc_verified</ns0:t>
        </ns0:is>
      </ns0:c>
      <ns0:c r="M135" s="3" t="inlineStr">
        <ns0:is>
          <ns0:t>directory_and_content_consistent_identity_pending</ns0:t>
        </ns0:is>
      </ns0:c>
      <ns0:c r="N135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135" s="3" t="inlineStr">
        <ns0:is>
          <ns0:t>https://github.com/Colliam-Vermilion/FirstCodex/blob/results/ad-oxygen-literature-20261006/results/ad-oxygen-literature-20261006/original_files/R03220/supplementary/supplementary__285191e1fb2e2380.docx</ns0:t>
        </ns0:is>
      </ns0:c>
    </ns0:row>
    <ns0:row r="136" ht="48" customHeight="1">
      <ns0:c r="A136" s="2" t="inlineStr"/>
      <ns0:c r="B136" s="2" t="inlineStr"/>
      <ns0:c r="C136" s="2" t="inlineStr"/>
      <ns0:c r="D136" s="2" t="inlineStr">
        <ns0:is>
          <ns0:t>source_evidence</ns0:t>
        </ns0:is>
      </ns0:c>
      <ns0:c r="E136" s="2" t="inlineStr"/>
      <ns0:c r="F136" s="2" t="inlineStr">
        <ns0:is>
          <ns0:t>existing_included_access.jsonl</ns0:t>
        </ns0:is>
      </ns0:c>
      <ns0:c r="G136" s="2" t="inlineStr">
        <ns0:is>
          <ns0:t>original_files/_project_evidence/evidence/source_evidence__28cbfce2122f6c5b.jsonl</ns0:t>
        </ns0:is>
      </ns0:c>
      <ns0:c r="H136" s="2" t="inlineStr">
        <ns0:is>
          <ns0:t>cloud_existing</ns0:t>
        </ns0:is>
      </ns0:c>
      <ns0:c r="I136" s="2" t="inlineStr">
        <ns0:is>
          <ns0:t>original_files/continuation_20261017/existing_included_access.jsonl</ns0:t>
        </ns0:is>
      </ns0:c>
      <ns0:c r="J136" s="2" t="n">
        <ns0:v>125556</ns0:v>
      </ns0:c>
      <ns0:c r="K136" s="2" t="inlineStr">
        <ns0:is>
          <ns0:t>28cbfce2122f6c5b90bf7a8252937d2f80ee8875f152f54227bcaa594e062028</ns0:t>
        </ns0:is>
      </ns0:c>
      <ns0:c r="L136" s="2" t="inlineStr">
        <ns0:is>
          <ns0:t>text_readable</ns0:t>
        </ns0:is>
      </ns0:c>
      <ns0:c r="M136" s="2" t="inlineStr"/>
      <ns0:c r="N136" s="2" t="inlineStr"/>
      <ns0:c r="O136" s="2" t="inlineStr">
        <ns0:is>
          <ns0:t>https://github.com/Colliam-Vermilion/FirstCodex/blob/results/ad-oxygen-literature-20261006/results/ad-oxygen-literature-20261006/original_files/_project_evidence/evidence/source_evidence__28cbfce2122f6c5b.jsonl</ns0:t>
        </ns0:is>
      </ns0:c>
    </ns0:row>
    <ns0:row r="137" ht="48" customHeight="1">
      <ns0:c r="A137" s="3" t="inlineStr">
        <ns0:is>
          <ns0:t>R01050</ns0:t>
        </ns0:is>
      </ns0:c>
      <ns0:c r="B137" s="3" t="inlineStr">
        <ns0:is>
          <ns0:t>A micro-aerobic hydrolysis process for sludge in situ reduction: Performance and microbial community structure</ns0:t>
        </ns0:is>
      </ns0:c>
      <ns0:c r="C137" s="3" t="inlineStr">
        <ns0:is>
          <ns0:t>10.1016/j.biortech.2014.09.119</ns0:t>
        </ns0:is>
      </ns0:c>
      <ns0:c r="D137" s="3" t="inlineStr">
        <ns0:is>
          <ns0:t>fulltext</ns0:t>
        </ns0:is>
      </ns0:c>
      <ns0:c r="E137" s="3" t="inlineStr">
        <ns0:is>
          <ns0:t>出版版（版式及版权文字）</ns0:t>
        </ns0:is>
      </ns0:c>
      <ns0:c r="F137" s="3" t="inlineStr">
        <ns0:is>
          <ns0:t>fulltext.pdf</ns0:t>
        </ns0:is>
      </ns0:c>
      <ns0:c r="G137" s="3" t="inlineStr">
        <ns0:is>
          <ns0:t>original_files/R01050/fulltext/fulltext__published__298873049e96fe61.pdf</ns0:t>
        </ns0:is>
      </ns0:c>
      <ns0:c r="H137" s="3" t="inlineStr">
        <ns0:is>
          <ns0:t>local_upload</ns0:t>
        </ns0:is>
      </ns0:c>
      <ns0:c r="I137" s="3" t="inlineStr">
        <ns0:is>
          <ns0:t>localdownload/R01050/fulltext.pdf</ns0:t>
        </ns0:is>
      </ns0:c>
      <ns0:c r="J137" s="3" t="n">
        <ns0:v>575563</ns0:v>
      </ns0:c>
      <ns0:c r="K137" s="3" t="inlineStr">
        <ns0:is>
          <ns0:t>298873049e96fe61afba7fc6e9deeacb187d9a753e0da86d1bcf05b15a1f69ef</ns0:t>
        </ns0:is>
      </ns0:c>
      <ns0:c r="L137" s="3" t="inlineStr">
        <ns0:is>
          <ns0:t>identity_and_body_structure_verified</ns0:t>
        </ns0:is>
      </ns0:c>
      <ns0:c r="M137" s="3" t="inlineStr"/>
      <ns0:c r="N137" s="3" t="inlineStr">
        <ns0:is>
          <ns0:t>首页/前两页题名作者或目标DOI核对，全部页面解析及正文结构检查；不据文件名判全文。</ns0:t>
        </ns0:is>
      </ns0:c>
      <ns0:c r="O137" s="3" t="inlineStr">
        <ns0:is>
          <ns0:t>https://github.com/Colliam-Vermilion/FirstCodex/blob/results/ad-oxygen-literature-20261006/results/ad-oxygen-literature-20261006/original_files/R01050/fulltext/fulltext__published__298873049e96fe61.pdf</ns0:t>
        </ns0:is>
      </ns0:c>
    </ns0:row>
    <ns0:row r="138" ht="48" customHeight="1">
      <ns0:c r="A138" s="2" t="inlineStr">
        <ns0:is>
          <ns0:t>R10761</ns0:t>
        </ns0:is>
      </ns0:c>
      <ns0:c r="B138" s="2" t="inlineStr">
        <ns0:is>
          <ns0:t>Role of polylactic acid microplastics during anaerobic co-digestion of cow manure and Chinese cabbage waste enhanced by nanobubble</ns0:t>
        </ns0:is>
      </ns0:c>
      <ns0:c r="C138" s="2" t="inlineStr">
        <ns0:is>
          <ns0:t>10.1016/j.chemosphere.2024.143639</ns0:t>
        </ns0:is>
      </ns0:c>
      <ns0:c r="D138" s="2" t="inlineStr">
        <ns0:is>
          <ns0:t>fulltext</ns0:t>
        </ns0:is>
      </ns0:c>
      <ns0:c r="E138" s="2" t="inlineStr">
        <ns0:is>
          <ns0:t>出版版（版式及版权文字）</ns0:t>
        </ns0:is>
      </ns0:c>
      <ns0:c r="F138" s="2" t="inlineStr">
        <ns0:is>
          <ns0:t>fulltext.pdf</ns0:t>
        </ns0:is>
      </ns0:c>
      <ns0:c r="G138" s="2" t="inlineStr">
        <ns0:is>
          <ns0:t>original_files/R10761/fulltext/fulltext__published__29a4d8ee7e26c7d4.pdf</ns0:t>
        </ns0:is>
      </ns0:c>
      <ns0:c r="H138" s="2" t="inlineStr">
        <ns0:is>
          <ns0:t>local_upload</ns0:t>
        </ns0:is>
      </ns0:c>
      <ns0:c r="I138" s="2" t="inlineStr">
        <ns0:is>
          <ns0:t>localdownload/R10761/fulltext.pdf</ns0:t>
        </ns0:is>
      </ns0:c>
      <ns0:c r="J138" s="2" t="n">
        <ns0:v>9048155</ns0:v>
      </ns0:c>
      <ns0:c r="K138" s="2" t="inlineStr">
        <ns0:is>
          <ns0:t>29a4d8ee7e26c7d43b466588df6914989bb94edca2e20ab7f23ccba8e7c2acbf</ns0:t>
        </ns0:is>
      </ns0:c>
      <ns0:c r="L138" s="2" t="inlineStr">
        <ns0:is>
          <ns0:t>identity_and_body_structure_verified</ns0:t>
        </ns0:is>
      </ns0:c>
      <ns0:c r="M138" s="2" t="inlineStr"/>
      <ns0:c r="N138" s="2" t="inlineStr">
        <ns0:is>
          <ns0:t>首页/前两页题名作者或目标DOI核对，全部页面解析及正文结构检查；不据文件名判全文。</ns0:t>
        </ns0:is>
      </ns0:c>
      <ns0:c r="O138" s="2" t="inlineStr">
        <ns0:is>
          <ns0:t>https://github.com/Colliam-Vermilion/FirstCodex/blob/results/ad-oxygen-literature-20261006/results/ad-oxygen-literature-20261006/original_files/R10761/fulltext/fulltext__published__29a4d8ee7e26c7d4.pdf</ns0:t>
        </ns0:is>
      </ns0:c>
    </ns0:row>
    <ns0:row r="139" ht="48" customHeight="1">
      <ns0:c r="A139" s="3" t="inlineStr">
        <ns0:is>
          <ns0:t>R03965</ns0:t>
        </ns0:is>
      </ns0:c>
      <ns0:c r="B139" s="3" t="inlineStr">
        <ns0:is>
          <ns0:t>Fate of ammonia, solids, sterols, pharmaceuticals and polycyclic aromatic hydrocarbons in anaerobic digestion and intermittent aeration of mixed sludge</ns0:t>
        </ns0:is>
      </ns0:c>
      <ns0:c r="C139" s="3" t="inlineStr">
        <ns0:is>
          <ns0:t>10.2175/193864718824828948</ns0:t>
        </ns0:is>
      </ns0:c>
      <ns0:c r="D139" s="3" t="inlineStr">
        <ns0:is>
          <ns0:t>supplementary</ns0:t>
        </ns0:is>
      </ns0:c>
      <ns0:c r="E139" s="3" t="inlineStr"/>
      <ns0:c r="F139" s="3" t="inlineStr">
        <ns0:is>
          <ns0:t>supplementary.docx</ns0:t>
        </ns0:is>
      </ns0:c>
      <ns0:c r="G139" s="3" t="inlineStr">
        <ns0:is>
          <ns0:t>original_files/R03965/supplementary/supplementary__2a701df2118e05e1.docx</ns0:t>
        </ns0:is>
      </ns0:c>
      <ns0:c r="H139" s="3" t="inlineStr">
        <ns0:is>
          <ns0:t>local_upload</ns0:t>
        </ns0:is>
      </ns0:c>
      <ns0:c r="I139" s="3" t="inlineStr">
        <ns0:is>
          <ns0:t>localdownload/R03965/supplementary.docx</ns0:t>
        </ns0:is>
      </ns0:c>
      <ns0:c r="J139" s="3" t="n">
        <ns0:v>59157</ns0:v>
      </ns0:c>
      <ns0:c r="K139" s="3" t="inlineStr">
        <ns0:is>
          <ns0:t>2a701df2118e05e17cf2282a3ab7b4c53d78a54e47228c7ee6b21e1f803e4a82</ns0:t>
        </ns0:is>
      </ns0:c>
      <ns0:c r="L139" s="3" t="inlineStr">
        <ns0:is>
          <ns0:t>container_crc_verified</ns0:t>
        </ns0:is>
      </ns0:c>
      <ns0:c r="M139" s="3" t="inlineStr">
        <ns0:is>
          <ns0:t>related_journal_version_supplement_not_target_conference_verified</ns0:t>
        </ns0:is>
      </ns0:c>
      <ns0:c r="N139" s="3" t="inlineStr">
        <ns0:is>
          <ns0:t xml:space="preserve"> 文件可打开且内容为表格/数据/图等补充材料；缺题名/DOI等唯一关联凭据，仅保留目录及内容关联，不能声称已核实附件身份或已收齐全部附件。 与该目录中的不同DOI期刊版相关，未核实属于目标会议文献。</ns0:t>
        </ns0:is>
      </ns0:c>
      <ns0:c r="O139" s="3" t="inlineStr">
        <ns0:is>
          <ns0:t>https://github.com/Colliam-Vermilion/FirstCodex/blob/results/ad-oxygen-literature-20261006/results/ad-oxygen-literature-20261006/original_files/R03965/supplementary/supplementary__2a701df2118e05e1.docx</ns0:t>
        </ns0:is>
      </ns0:c>
    </ns0:row>
    <ns0:row r="140" ht="48" customHeight="1">
      <ns0:c r="A140" s="2" t="inlineStr">
        <ns0:is>
          <ns0:t>R05213</ns0:t>
        </ns0:is>
      </ns0:c>
      <ns0:c r="B140" s="2" t="inlineStr">
        <ns0:is>
          <ns0:t>The use of lytic polysaccharide monooxygenases in anaerobic digestion of lignocellulosic materials</ns0:t>
        </ns0:is>
      </ns0:c>
      <ns0:c r="C140" s="2" t="inlineStr">
        <ns0:is>
          <ns0:t>10.1186/s13068-019-1611-8</ns0:t>
        </ns0:is>
      </ns0:c>
      <ns0:c r="D140" s="2" t="inlineStr">
        <ns0:is>
          <ns0:t>supplementary</ns0:t>
        </ns0:is>
      </ns0:c>
      <ns0:c r="E140" s="2" t="inlineStr"/>
      <ns0:c r="F140" s="2" t="inlineStr">
        <ns0:is>
          <ns0:t>13068_2019_1611_MOESM1_ESM.docx</ns0:t>
        </ns0:is>
      </ns0:c>
      <ns0:c r="G140" s="2" t="inlineStr">
        <ns0:is>
          <ns0:t>original_files/R05213/supplementary/supplementary__2a8184a309e33621.docx</ns0:t>
        </ns0:is>
      </ns0:c>
      <ns0:c r="H140" s="2" t="inlineStr">
        <ns0:is>
          <ns0:t>cloud_existing</ns0:t>
        </ns0:is>
      </ns0:c>
      <ns0:c r="I140" s="2" t="inlineStr">
        <ns0:is>
          <ns0:t>original_files/supplementary/R05213/13068_2019_1611_MOESM1_ESM.docx</ns0:t>
        </ns0:is>
      </ns0:c>
      <ns0:c r="J140" s="2" t="n">
        <ns0:v>1524862</ns0:v>
      </ns0:c>
      <ns0:c r="K140" s="2" t="inlineStr">
        <ns0:is>
          <ns0:t>2a8184a309e3362192b49457a6cae5f0da5f682d39e48fee2b3dcbfc67a87853</ns0:t>
        </ns0:is>
      </ns0:c>
      <ns0:c r="L140" s="2" t="inlineStr">
        <ns0:is>
          <ns0:t>container_crc_verified</ns0:t>
        </ns0:is>
      </ns0:c>
      <ns0:c r="M140" s="2" t="inlineStr">
        <ns0:is>
          <ns0:t>existing_official_attachment_evidence_retained</ns0:t>
        </ns0:is>
      </ns0:c>
      <ns0:c r="N140" s="2" t="inlineStr"/>
      <ns0:c r="O140" s="2" t="inlineStr">
        <ns0:is>
          <ns0:t>https://github.com/Colliam-Vermilion/FirstCodex/blob/results/ad-oxygen-literature-20261006/results/ad-oxygen-literature-20261006/original_files/R05213/supplementary/supplementary__2a8184a309e33621.docx</ns0:t>
        </ns0:is>
      </ns0:c>
    </ns0:row>
    <ns0:row r="141" ht="48" customHeight="1">
      <ns0:c r="A141" s="3" t="inlineStr">
        <ns0:is>
          <ns0:t>R13236</ns0:t>
        </ns0:is>
      </ns0:c>
      <ns0:c r="B141" s="3" t="inlineStr">
        <ns0:is>
          <ns0:t>Mechanism of anaerobic digestion of cattle manure enhanced by oxygen and hydrogen nano-bubble water</ns0:t>
        </ns0:is>
      </ns0:c>
      <ns0:c r="C141" s="3" t="inlineStr">
        <ns0:is>
          <ns0:t>10.1016/j.cej.2025.171515</ns0:t>
        </ns0:is>
      </ns0:c>
      <ns0:c r="D141" s="3" t="inlineStr">
        <ns0:is>
          <ns0:t>supplementary</ns0:t>
        </ns0:is>
      </ns0:c>
      <ns0:c r="E141" s="3" t="inlineStr"/>
      <ns0:c r="F141" s="3" t="inlineStr">
        <ns0:is>
          <ns0:t>supplementary.docx</ns0:t>
        </ns0:is>
      </ns0:c>
      <ns0:c r="G141" s="3" t="inlineStr">
        <ns0:is>
          <ns0:t>original_files/R13236/supplementary/supplementary__2b3b61f915ed917b.docx</ns0:t>
        </ns0:is>
      </ns0:c>
      <ns0:c r="H141" s="3" t="inlineStr">
        <ns0:is>
          <ns0:t>local_upload</ns0:t>
        </ns0:is>
      </ns0:c>
      <ns0:c r="I141" s="3" t="inlineStr">
        <ns0:is>
          <ns0:t>localdownload/R13236/supplementary.docx</ns0:t>
        </ns0:is>
      </ns0:c>
      <ns0:c r="J141" s="3" t="n">
        <ns0:v>11052544</ns0:v>
      </ns0:c>
      <ns0:c r="K141" s="3" t="inlineStr">
        <ns0:is>
          <ns0:t>2b3b61f915ed917b3e153e9e95f5780d65c091f3631d4c0af9fda1276d7986e3</ns0:t>
        </ns0:is>
      </ns0:c>
      <ns0:c r="L141" s="3" t="inlineStr">
        <ns0:is>
          <ns0:t>container_crc_verified</ns0:t>
        </ns0:is>
      </ns0:c>
      <ns0:c r="M141" s="3" t="inlineStr">
        <ns0:is>
          <ns0:t>title_in_attachment_verified</ns0:t>
        </ns0:is>
      </ns0:c>
      <ns0:c r="N141" s="3" t="inlineStr"/>
      <ns0:c r="O141" s="3" t="inlineStr">
        <ns0:is>
          <ns0:t>https://github.com/Colliam-Vermilion/FirstCodex/blob/results/ad-oxygen-literature-20261006/results/ad-oxygen-literature-20261006/original_files/R13236/supplementary/supplementary__2b3b61f915ed917b.docx</ns0:t>
        </ns0:is>
      </ns0:c>
    </ns0:row>
    <ns0:row r="142" ht="48" customHeight="1">
      <ns0:c r="A142" s="2" t="inlineStr">
        <ns0:is>
          <ns0:t>R11094</ns0:t>
        </ns0:is>
      </ns0:c>
      <ns0:c r="B142" s="2" t="inlineStr">
        <ns0:is>
          <ns0:t>Aeration promotes Proteobacteria over Firmicutes in macerated food waste, resulting in superior anaerobic digestion efficiency</ns0:t>
        </ns0:is>
      </ns0:c>
      <ns0:c r="C142" s="2" t="inlineStr">
        <ns0:is>
          <ns0:t>10.1093/femsle/fnaf001</ns0:t>
        </ns0:is>
      </ns0:c>
      <ns0:c r="D142" s="2" t="inlineStr">
        <ns0:is>
          <ns0:t>supplementary</ns0:t>
        </ns0:is>
      </ns0:c>
      <ns0:c r="E142" s="2" t="inlineStr"/>
      <ns0:c r="F142" s="2" t="inlineStr">
        <ns0:is>
          <ns0:t>Supp figure 1.jpg</ns0:t>
        </ns0:is>
      </ns0:c>
      <ns0:c r="G142" s="2" t="inlineStr">
        <ns0:is>
          <ns0:t>original_files/R11094/supplementary/supplementary__2b58ff09571434e8.jpg</ns0:t>
        </ns0:is>
      </ns0:c>
      <ns0:c r="H142" s="2" t="inlineStr">
        <ns0:is>
          <ns0:t>local_upload</ns0:t>
        </ns0:is>
      </ns0:c>
      <ns0:c r="I142" s="2" t="inlineStr">
        <ns0:is>
          <ns0:t>localdownload/R11094/Supp figure 1.jpg</ns0:t>
        </ns0:is>
      </ns0:c>
      <ns0:c r="J142" s="2" t="n">
        <ns0:v>137584</ns0:v>
      </ns0:c>
      <ns0:c r="K142" s="2" t="inlineStr">
        <ns0:is>
          <ns0:t>2b58ff09571434e871c35a081df19da29061a340377bb127a5a676504b80ce2a</ns0:t>
        </ns0:is>
      </ns0:c>
      <ns0:c r="L142" s="2" t="inlineStr">
        <ns0:is>
          <ns0:t>image_decode_verified</ns0:t>
        </ns0:is>
      </ns0:c>
      <ns0:c r="M142" s="2" t="inlineStr">
        <ns0:is>
          <ns0:t>directory_and_content_consistent_identity_pending</ns0:t>
        </ns0:is>
      </ns0:c>
      <ns0:c r="N142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142" s="2" t="inlineStr">
        <ns0:is>
          <ns0:t>https://github.com/Colliam-Vermilion/FirstCodex/blob/results/ad-oxygen-literature-20261006/results/ad-oxygen-literature-20261006/original_files/R11094/supplementary/supplementary__2b58ff09571434e8.jpg</ns0:t>
        </ns0:is>
      </ns0:c>
    </ns0:row>
    <ns0:row r="143" ht="48" customHeight="1">
      <ns0:c r="A143" s="3" t="inlineStr">
        <ns0:is>
          <ns0:t>R13293</ns0:t>
        </ns0:is>
      </ns0:c>
      <ns0:c r="B143" s="3" t="inlineStr">
        <ns0:is>
          <ns0:t>Microbial Dynamics during the Removal of Linear Alkylbenzenesulfonate (LAS) under Anaerobic and Microaerobic Conditions with Different Co-substrates</ns0:t>
        </ns0:is>
      </ns0:c>
      <ns0:c r="C143" s="3" t="inlineStr">
        <ns0:is>
          <ns0:t>10.1021/acsomega.6c01030</ns0:t>
        </ns0:is>
      </ns0:c>
      <ns0:c r="D143" s="3" t="inlineStr">
        <ns0:is>
          <ns0:t>supplementary</ns0:t>
        </ns0:is>
      </ns0:c>
      <ns0:c r="E143" s="3" t="inlineStr"/>
      <ns0:c r="F143" s="3" t="inlineStr">
        <ns0:is>
          <ns0:t>supplementary.pdf</ns0:t>
        </ns0:is>
      </ns0:c>
      <ns0:c r="G143" s="3" t="inlineStr">
        <ns0:is>
          <ns0:t>original_files/R13293/supplementary/supplementary__2b5ee774e3af875c.pdf</ns0:t>
        </ns0:is>
      </ns0:c>
      <ns0:c r="H143" s="3" t="inlineStr">
        <ns0:is>
          <ns0:t>local_upload</ns0:t>
        </ns0:is>
      </ns0:c>
      <ns0:c r="I143" s="3" t="inlineStr">
        <ns0:is>
          <ns0:t>localdownload/R13293/supplementary.pdf</ns0:t>
        </ns0:is>
      </ns0:c>
      <ns0:c r="J143" s="3" t="n">
        <ns0:v>894084</ns0:v>
      </ns0:c>
      <ns0:c r="K143" s="3" t="inlineStr">
        <ns0:is>
          <ns0:t>2b5ee774e3af875c4f162f5e63ff17e2a7004c4a9a42e2816899d051ee21e253</ns0:t>
        </ns0:is>
      </ns0:c>
      <ns0:c r="L143" s="3" t="inlineStr">
        <ns0:is>
          <ns0:t>pdf_readable_requires_role_review</ns0:t>
        </ns0:is>
      </ns0:c>
      <ns0:c r="M143" s="3" t="inlineStr">
        <ns0:is>
          <ns0:t>title_in_attachment_verified</ns0:t>
        </ns0:is>
      </ns0:c>
      <ns0:c r="N143" s="3" t="inlineStr"/>
      <ns0:c r="O143" s="3" t="inlineStr">
        <ns0:is>
          <ns0:t>https://github.com/Colliam-Vermilion/FirstCodex/blob/results/ad-oxygen-literature-20261006/results/ad-oxygen-literature-20261006/original_files/R13293/supplementary/supplementary__2b5ee774e3af875c.pdf</ns0:t>
        </ns0:is>
      </ns0:c>
    </ns0:row>
    <ns0:row r="144" ht="48" customHeight="1">
      <ns0:c r="A144" s="2" t="inlineStr">
        <ns0:is>
          <ns0:t>R01727</ns0:t>
        </ns0:is>
      </ns0:c>
      <ns0:c r="B144" s="2" t="inlineStr">
        <ns0:is>
          <ns0:t>Comparison of thermophilic microaerobic and alkali pretreatment of sugarcane bagasse for anaerobic digestion</ns0:t>
        </ns0:is>
      </ns0:c>
      <ns0:c r="C144" s="2" t="inlineStr">
        <ns0:is>
          <ns0:t>10.1039/c5ra10717b</ns0:t>
        </ns0:is>
      </ns0:c>
      <ns0:c r="D144" s="2" t="inlineStr">
        <ns0:is>
          <ns0:t>supplementary</ns0:t>
        </ns0:is>
      </ns0:c>
      <ns0:c r="E144" s="2" t="inlineStr"/>
      <ns0:c r="F144" s="2" t="inlineStr">
        <ns0:is>
          <ns0:t>supplementary.pdf</ns0:t>
        </ns0:is>
      </ns0:c>
      <ns0:c r="G144" s="2" t="inlineStr">
        <ns0:is>
          <ns0:t>original_files/R01727/supplementary/supplementary__2b717bb2226270b6.pdf</ns0:t>
        </ns0:is>
      </ns0:c>
      <ns0:c r="H144" s="2" t="inlineStr">
        <ns0:is>
          <ns0:t>local_upload</ns0:t>
        </ns0:is>
      </ns0:c>
      <ns0:c r="I144" s="2" t="inlineStr">
        <ns0:is>
          <ns0:t>localdownload/R01727/supplementary.pdf</ns0:t>
        </ns0:is>
      </ns0:c>
      <ns0:c r="J144" s="2" t="n">
        <ns0:v>1126599</ns0:v>
      </ns0:c>
      <ns0:c r="K144" s="2" t="inlineStr">
        <ns0:is>
          <ns0:t>2b717bb2226270b60ed76548490ad50d935cb973cc5017cc2b19aa287c870488</ns0:t>
        </ns0:is>
      </ns0:c>
      <ns0:c r="L144" s="2" t="inlineStr">
        <ns0:is>
          <ns0:t>pdf_readable_requires_role_review</ns0:t>
        </ns0:is>
      </ns0:c>
      <ns0:c r="M144" s="2" t="inlineStr">
        <ns0:is>
          <ns0:t>directory_and_content_consistent_identity_pending</ns0:t>
        </ns0:is>
      </ns0:c>
      <ns0:c r="N144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144" s="2" t="inlineStr">
        <ns0:is>
          <ns0:t>https://github.com/Colliam-Vermilion/FirstCodex/blob/results/ad-oxygen-literature-20261006/results/ad-oxygen-literature-20261006/original_files/R01727/supplementary/supplementary__2b717bb2226270b6.pdf</ns0:t>
        </ns0:is>
      </ns0:c>
    </ns0:row>
    <ns0:row r="145" ht="48" customHeight="1">
      <ns0:c r="A145" s="3" t="inlineStr">
        <ns0:is>
          <ns0:t>R13950</ns0:t>
        </ns0:is>
      </ns0:c>
      <ns0:c r="B145" s="3" t="inlineStr">
        <ns0:is>
          <ns0:t>Enhancement of hydrogen and methane production through anaerobic digestion using pre-treatments</ns0:t>
        </ns0:is>
      </ns0:c>
      <ns0:c r="C145" s="3" t="inlineStr"/>
      <ns0:c r="D145" s="3" t="inlineStr">
        <ns0:is>
          <ns0:t>fulltext</ns0:t>
        </ns0:is>
      </ns0:c>
      <ns0:c r="E145" s="3" t="inlineStr">
        <ns0:is>
          <ns0:t>学位/学生报告原稿（分章节者按组）</ns0:t>
        </ns0:is>
      </ns0:c>
      <ns0:c r="F145" s="3" t="inlineStr">
        <ns0:is>
          <ns0:t>R13950_2019_Enhancement_of_hydrogen_and_methane_production_through_anaerobic_digestion.pdf</ns0:t>
        </ns0:is>
      </ns0:c>
      <ns0:c r="G145" s="3" t="inlineStr">
        <ns0:is>
          <ns0:t>original_files/R13950/fulltext/fulltext__thesis__2bf9b46c448685b9.pdf</ns0:t>
        </ns0:is>
      </ns0:c>
      <ns0:c r="H145" s="3" t="inlineStr">
        <ns0:is>
          <ns0:t>cloud_existing</ns0:t>
        </ns0:is>
      </ns0:c>
      <ns0:c r="I145" s="3" t="inlineStr">
        <ns0:is>
          <ns0:t>original_files/fulltext/R13950_2019_Enhancement_of_hydrogen_and_methane_production_through_anaerobic_digestion.pdf</ns0:t>
        </ns0:is>
      </ns0:c>
      <ns0:c r="J145" s="3" t="n">
        <ns0:v>3508852</ns0:v>
      </ns0:c>
      <ns0:c r="K145" s="3" t="inlineStr">
        <ns0:is>
          <ns0:t>2bf9b46c448685b9e66f4064245c5840dc28ded79ee4d613ddd9efeb4805812e</ns0:t>
        </ns0:is>
      </ns0:c>
      <ns0:c r="L145" s="3" t="inlineStr">
        <ns0:is>
          <ns0:t>identity_and_body_structure_verified</ns0:t>
        </ns0:is>
      </ns0:c>
      <ns0:c r="M145" s="3" t="inlineStr"/>
      <ns0:c r="N145" s="3" t="inlineStr">
        <ns0:is>
          <ns0:t>首页/前两页题名作者或目标DOI核对，全部页面解析及正文结构检查；不据文件名判全文。</ns0:t>
        </ns0:is>
      </ns0:c>
      <ns0:c r="O145" s="3" t="inlineStr">
        <ns0:is>
          <ns0:t>https://github.com/Colliam-Vermilion/FirstCodex/blob/results/ad-oxygen-literature-20261006/results/ad-oxygen-literature-20261006/original_files/R13950/fulltext/fulltext__thesis__2bf9b46c448685b9.pdf</ns0:t>
        </ns0:is>
      </ns0:c>
    </ns0:row>
    <ns0:row r="146" ht="48" customHeight="1">
      <ns0:c r="A146" s="2" t="inlineStr">
        <ns0:is>
          <ns0:t>R01126</ns0:t>
        </ns0:is>
      </ns0:c>
      <ns0:c r="B146" s="2" t="inlineStr">
        <ns0:is>
          <ns0:t>Biogas Potential from Vetiveria Zizaniodes (L.) Planted for Ecological Restoration in China</ns0:t>
        </ns0:is>
      </ns0:c>
      <ns0:c r="C146" s="2" t="inlineStr">
        <ns0:is>
          <ns0:t>10.1016/j.egypro.2014.12.291</ns0:t>
        </ns0:is>
      </ns0:c>
      <ns0:c r="D146" s="2" t="inlineStr">
        <ns0:is>
          <ns0:t>fulltext</ns0:t>
        </ns0:is>
      </ns0:c>
      <ns0:c r="E146" s="2" t="inlineStr">
        <ns0:is>
          <ns0:t>出版版（版式及版权文字）</ns0:t>
        </ns0:is>
      </ns0:c>
      <ns0:c r="F146" s="2" t="inlineStr">
        <ns0:is>
          <ns0:t>fulltext.pdf</ns0:t>
        </ns0:is>
      </ns0:c>
      <ns0:c r="G146" s="2" t="inlineStr">
        <ns0:is>
          <ns0:t>original_files/R01126/fulltext/fulltext__published__2c4123486329aa07.pdf</ns0:t>
        </ns0:is>
      </ns0:c>
      <ns0:c r="H146" s="2" t="inlineStr">
        <ns0:is>
          <ns0:t>local_upload</ns0:t>
        </ns0:is>
      </ns0:c>
      <ns0:c r="I146" s="2" t="inlineStr">
        <ns0:is>
          <ns0:t>localdownload/R01126/fulltext.pdf</ns0:t>
        </ns0:is>
      </ns0:c>
      <ns0:c r="J146" s="2" t="n">
        <ns0:v>495590</ns0:v>
      </ns0:c>
      <ns0:c r="K146" s="2" t="inlineStr">
        <ns0:is>
          <ns0:t>2c4123486329aa078e3b1db35f4b069383f4ae72a4541abcf6a9709eb4e7375c</ns0:t>
        </ns0:is>
      </ns0:c>
      <ns0:c r="L146" s="2" t="inlineStr">
        <ns0:is>
          <ns0:t>identity_and_body_structure_verified</ns0:t>
        </ns0:is>
      </ns0:c>
      <ns0:c r="M146" s="2" t="inlineStr"/>
      <ns0:c r="N146" s="2" t="inlineStr">
        <ns0:is>
          <ns0:t>首页/前两页题名作者或目标DOI核对，全部页面解析及正文结构检查；不据文件名判全文。</ns0:t>
        </ns0:is>
      </ns0:c>
      <ns0:c r="O146" s="2" t="inlineStr">
        <ns0:is>
          <ns0:t>https://github.com/Colliam-Vermilion/FirstCodex/blob/results/ad-oxygen-literature-20261006/results/ad-oxygen-literature-20261006/original_files/R01126/fulltext/fulltext__published__2c4123486329aa07.pdf</ns0:t>
        </ns0:is>
      </ns0:c>
    </ns0:row>
    <ns0:row r="147" ht="48" customHeight="1">
      <ns0:c r="A147" s="3" t="inlineStr">
        <ns0:is>
          <ns0:t>R09804</ns0:t>
        </ns0:is>
      </ns0:c>
      <ns0:c r="B147" s="3" t="inlineStr">
        <ns0:is>
          <ns0:t>Anaerobic digestion of process water from hydrothermal treatment processes: a review of inhibitors and detoxification approaches</ns0:t>
        </ns0:is>
      </ns0:c>
      <ns0:c r="C147" s="3" t="inlineStr">
        <ns0:is>
          <ns0:t>10.1186/s40643-024-00756-6</ns0:t>
        </ns0:is>
      </ns0:c>
      <ns0:c r="D147" s="3" t="inlineStr">
        <ns0:is>
          <ns0:t>source_evidence</ns0:t>
        </ns0:is>
      </ns0:c>
      <ns0:c r="E147" s="3" t="inlineStr"/>
      <ns0:c r="F147" s="3" t="inlineStr">
        <ns0:is>
          <ns0:t>PMC11076452_fullText.xml</ns0:t>
        </ns0:is>
      </ns0:c>
      <ns0:c r="G147" s="3" t="inlineStr">
        <ns0:is>
          <ns0:t>original_files/R09804/evidence/source_evidence__2ca7af24c486ae9e.xml</ns0:t>
        </ns0:is>
      </ns0:c>
      <ns0:c r="H147" s="3" t="inlineStr">
        <ns0:is>
          <ns0:t>cloud_existing</ns0:t>
        </ns0:is>
      </ns0:c>
      <ns0:c r="I147" s="3" t="inlineStr">
        <ns0:is>
          <ns0:t>original_files/source_evidence/R09804/PMC11076452_fullText.xml</ns0:t>
        </ns0:is>
      </ns0:c>
      <ns0:c r="J147" s="3" t="n">
        <ns0:v>211630</ns0:v>
      </ns0:c>
      <ns0:c r="K147" s="3" t="inlineStr">
        <ns0:is>
          <ns0:t>2ca7af24c486ae9eb9c65682356964011c985b22a4a36f4ee07ea3a705c38951</ns0:t>
        </ns0:is>
      </ns0:c>
      <ns0:c r="L147" s="3" t="inlineStr">
        <ns0:is>
          <ns0:t>text_readable</ns0:t>
        </ns0:is>
      </ns0:c>
      <ns0:c r="M147" s="3" t="inlineStr"/>
      <ns0:c r="N147" s="3" t="inlineStr"/>
      <ns0:c r="O147" s="3" t="inlineStr">
        <ns0:is>
          <ns0:t>https://github.com/Colliam-Vermilion/FirstCodex/blob/results/ad-oxygen-literature-20261006/results/ad-oxygen-literature-20261006/original_files/R09804/evidence/source_evidence__2ca7af24c486ae9e.xml</ns0:t>
        </ns0:is>
      </ns0:c>
    </ns0:row>
    <ns0:row r="148" ht="48" customHeight="1">
      <ns0:c r="A148" s="2" t="inlineStr">
        <ns0:is>
          <ns0:t>R13903</ns0:t>
        </ns0:is>
      </ns0:c>
      <ns0:c r="B148" s="2" t="inlineStr">
        <ns0:is>
          <ns0:t>Effect of vacuum negative pressure aerobic hydrolysis pretreatment on corn stover anaerobic fermentation</ns0:t>
        </ns0:is>
      </ns0:c>
      <ns0:c r="C148" s="2" t="inlineStr">
        <ns0:is>
          <ns0:t>10.25165/j.ijabe.20231602.7975</ns0:t>
        </ns0:is>
      </ns0:c>
      <ns0:c r="D148" s="2" t="inlineStr">
        <ns0:is>
          <ns0:t>fulltext</ns0:t>
        </ns0:is>
      </ns0:c>
      <ns0:c r="E148" s="2" t="inlineStr">
        <ns0:is>
          <ns0:t>出版版本（原页出版信息）</ns0:t>
        </ns0:is>
      </ns0:c>
      <ns0:c r="F148" s="2" t="inlineStr">
        <ns0:is>
          <ns0:t>R13903_2023_Effect_of_vacuum_negative_pressure_aerobic_hydrolysis_pretreatment_on.pdf</ns0:t>
        </ns0:is>
      </ns0:c>
      <ns0:c r="G148" s="2" t="inlineStr">
        <ns0:is>
          <ns0:t>original_files/R13903/fulltext/fulltext__published__2cd9e7b409250e7b.pdf</ns0:t>
        </ns0:is>
      </ns0:c>
      <ns0:c r="H148" s="2" t="inlineStr">
        <ns0:is>
          <ns0:t>cloud_existing</ns0:t>
        </ns0:is>
      </ns0:c>
      <ns0:c r="I148" s="2" t="inlineStr">
        <ns0:is>
          <ns0:t>original_files/fulltext/R13903_2023_Effect_of_vacuum_negative_pressure_aerobic_hydrolysis_pretreatment_on.pdf</ns0:t>
        </ns0:is>
      </ns0:c>
      <ns0:c r="J148" s="2" t="n">
        <ns0:v>1107675</ns0:v>
      </ns0:c>
      <ns0:c r="K148" s="2" t="inlineStr">
        <ns0:is>
          <ns0:t>2cd9e7b409250e7b104f489e139f57d4daa40d97133c6c57c937184c3ec73b71</ns0:t>
        </ns0:is>
      </ns0:c>
      <ns0:c r="L148" s="2" t="inlineStr">
        <ns0:is>
          <ns0:t>identity_and_body_structure_verified</ns0:t>
        </ns0:is>
      </ns0:c>
      <ns0:c r="M148" s="2" t="inlineStr"/>
      <ns0:c r="N148" s="2" t="inlineStr">
        <ns0:is>
          <ns0:t>首页/前两页题名作者或目标DOI核对，全部页面解析及正文结构检查；不据文件名判全文。</ns0:t>
        </ns0:is>
      </ns0:c>
      <ns0:c r="O148" s="2" t="inlineStr">
        <ns0:is>
          <ns0:t>https://github.com/Colliam-Vermilion/FirstCodex/blob/results/ad-oxygen-literature-20261006/results/ad-oxygen-literature-20261006/original_files/R13903/fulltext/fulltext__published__2cd9e7b409250e7b.pdf</ns0:t>
        </ns0:is>
      </ns0:c>
    </ns0:row>
    <ns0:row r="149" ht="48" customHeight="1">
      <ns0:c r="A149" s="3" t="inlineStr">
        <ns0:is>
          <ns0:t>R11682</ns0:t>
        </ns0:is>
      </ns0:c>
      <ns0:c r="B149" s="3" t="inlineStr">
        <ns0:is>
          <ns0:t>Improving sludge solubilization and biogas upgrading with eco-friendly garbage enzyme and microaerobic pretreatment: Operational parameters and energy balance</ns0:t>
        </ns0:is>
      </ns0:c>
      <ns0:c r="C149" s="3" t="inlineStr">
        <ns0:is>
          <ns0:t>10.1016/j.cej.2025.168425</ns0:t>
        </ns0:is>
      </ns0:c>
      <ns0:c r="D149" s="3" t="inlineStr">
        <ns0:is>
          <ns0:t>fulltext</ns0:t>
        </ns0:is>
      </ns0:c>
      <ns0:c r="E149" s="3" t="inlineStr">
        <ns0:is>
          <ns0:t>出版版（版式及版权文字）</ns0:t>
        </ns0:is>
      </ns0:c>
      <ns0:c r="F149" s="3" t="inlineStr">
        <ns0:is>
          <ns0:t>fulltext.pdf</ns0:t>
        </ns0:is>
      </ns0:c>
      <ns0:c r="G149" s="3" t="inlineStr">
        <ns0:is>
          <ns0:t>original_files/R11682/fulltext/fulltext__published__2cdd8434def5725e.pdf</ns0:t>
        </ns0:is>
      </ns0:c>
      <ns0:c r="H149" s="3" t="inlineStr">
        <ns0:is>
          <ns0:t>local_upload</ns0:t>
        </ns0:is>
      </ns0:c>
      <ns0:c r="I149" s="3" t="inlineStr">
        <ns0:is>
          <ns0:t>localdownload/R11682/fulltext.pdf</ns0:t>
        </ns0:is>
      </ns0:c>
      <ns0:c r="J149" s="3" t="n">
        <ns0:v>2668147</ns0:v>
      </ns0:c>
      <ns0:c r="K149" s="3" t="inlineStr">
        <ns0:is>
          <ns0:t>2cdd8434def5725e9c9c5739e268b2fcfe182d162dafc7a9a8a6c8901e816416</ns0:t>
        </ns0:is>
      </ns0:c>
      <ns0:c r="L149" s="3" t="inlineStr">
        <ns0:is>
          <ns0:t>identity_and_body_structure_verified</ns0:t>
        </ns0:is>
      </ns0:c>
      <ns0:c r="M149" s="3" t="inlineStr"/>
      <ns0:c r="N149" s="3" t="inlineStr">
        <ns0:is>
          <ns0:t>首页/前两页题名作者或目标DOI核对，全部页面解析及正文结构检查；不据文件名判全文。</ns0:t>
        </ns0:is>
      </ns0:c>
      <ns0:c r="O149" s="3" t="inlineStr">
        <ns0:is>
          <ns0:t>https://github.com/Colliam-Vermilion/FirstCodex/blob/results/ad-oxygen-literature-20261006/results/ad-oxygen-literature-20261006/original_files/R11682/fulltext/fulltext__published__2cdd8434def5725e.pdf</ns0:t>
        </ns0:is>
      </ns0:c>
    </ns0:row>
    <ns0:row r="150" ht="48" customHeight="1">
      <ns0:c r="A150" s="2" t="inlineStr">
        <ns0:is>
          <ns0:t>R03497</ns0:t>
        </ns0:is>
      </ns0:c>
      <ns0:c r="B150" s="2" t="inlineStr">
        <ns0:is>
          <ns0:t>Recovery of elemental sulphur from anaerobic effluents through the biological oxidation of sulphides</ns0:t>
        </ns0:is>
      </ns0:c>
      <ns0:c r="C150" s="2" t="inlineStr">
        <ns0:is>
          <ns0:t>10.1080/09593330.2016.1201148</ns0:t>
        </ns0:is>
      </ns0:c>
      <ns0:c r="D150" s="2" t="inlineStr">
        <ns0:is>
          <ns0:t>fulltext</ns0:t>
        </ns0:is>
      </ns0:c>
      <ns0:c r="E150" s="2" t="inlineStr">
        <ns0:is>
          <ns0:t>出版版（版式及版权文字）</ns0:t>
        </ns0:is>
      </ns0:c>
      <ns0:c r="F150" s="2" t="inlineStr">
        <ns0:is>
          <ns0:t>fulltext.pdf</ns0:t>
        </ns0:is>
      </ns0:c>
      <ns0:c r="G150" s="2" t="inlineStr">
        <ns0:is>
          <ns0:t>original_files/R03497/fulltext/fulltext__published__2d594b9c7205bdf2.pdf</ns0:t>
        </ns0:is>
      </ns0:c>
      <ns0:c r="H150" t="inlineStr">
        <ns0:is>
          <ns0:t>local_upload; main@ab8353c误传副本</ns0:t>
        </ns0:is>
      </ns0:c>
      <ns0:c r="I150" t="inlineStr">
        <ns0:is>
          <ns0:t>localdownload/R03497/fulltext.pdf; main@ab8353c:R03497/fulltext.pdf</ns0:t>
        </ns0:is>
      </ns0:c>
      <ns0:c r="J150" s="2" t="n">
        <ns0:v>1758381</ns0:v>
      </ns0:c>
      <ns0:c r="K150" s="2" t="inlineStr">
        <ns0:is>
          <ns0:t>2d594b9c7205bdf2e74f389879019103da37df12335f8ec4410e17b716273d88</ns0:t>
        </ns0:is>
      </ns0:c>
      <ns0:c r="L150" s="2" t="inlineStr">
        <ns0:is>
          <ns0:t>identity_and_body_structure_verified</ns0:t>
        </ns0:is>
      </ns0:c>
      <ns0:c r="M150" s="2" t="inlineStr"/>
      <ns0:c r="N150" s="2" t="inlineStr">
        <ns0:is>
          <ns0:t>首页/前两页题名作者或目标DOI核对，全部页面解析及正文结构检查；不据文件名判全文。</ns0:t>
        </ns0:is>
      </ns0:c>
      <ns0:c r="O150" s="2" t="inlineStr">
        <ns0:is>
          <ns0:t>https://github.com/Colliam-Vermilion/FirstCodex/blob/results/ad-oxygen-literature-20261006/results/ad-oxygen-literature-20261006/original_files/R03497/fulltext/fulltext__published__2d594b9c7205bdf2.pdf</ns0:t>
        </ns0:is>
      </ns0:c>
    </ns0:row>
    <ns0:row r="151" ht="48" customHeight="1">
      <ns0:c r="A151" s="3" t="inlineStr">
        <ns0:is>
          <ns0:t>R13845</ns0:t>
        </ns0:is>
      </ns0:c>
      <ns0:c r="B151" s="3" t="inlineStr">
        <ns0:is>
          <ns0:t>Performance and microbial community analysis of anaerobic sludge digestion enhanced by in-situ microaeration</ns0:t>
        </ns0:is>
      </ns0:c>
      <ns0:c r="C151" s="3" t="inlineStr">
        <ns0:is>
          <ns0:t>10.1016/j.jwpe.2021.102171</ns0:t>
        </ns0:is>
      </ns0:c>
      <ns0:c r="D151" s="3" t="inlineStr">
        <ns0:is>
          <ns0:t>fulltext</ns0:t>
        </ns0:is>
      </ns0:c>
      <ns0:c r="E151" s="3" t="inlineStr">
        <ns0:is>
          <ns0:t>出版版（版式及版权文字）</ns0:t>
        </ns0:is>
      </ns0:c>
      <ns0:c r="F151" s="3" t="inlineStr">
        <ns0:is>
          <ns0:t>fulltext.pdf</ns0:t>
        </ns0:is>
      </ns0:c>
      <ns0:c r="G151" s="3" t="inlineStr">
        <ns0:is>
          <ns0:t>original_files/R13845/fulltext/fulltext__published__2d9abe07de564e0b.pdf</ns0:t>
        </ns0:is>
      </ns0:c>
      <ns0:c r="H151" s="3" t="inlineStr">
        <ns0:is>
          <ns0:t>local_upload</ns0:t>
        </ns0:is>
      </ns0:c>
      <ns0:c r="I151" s="3" t="inlineStr">
        <ns0:is>
          <ns0:t>localdownload/R13845/fulltext.pdf</ns0:t>
        </ns0:is>
      </ns0:c>
      <ns0:c r="J151" s="3" t="n">
        <ns0:v>1392003</ns0:v>
      </ns0:c>
      <ns0:c r="K151" s="3" t="inlineStr">
        <ns0:is>
          <ns0:t>2d9abe07de564e0b3aeaa385ae6f717044342a61cd0ff16d63001878d3794daa</ns0:t>
        </ns0:is>
      </ns0:c>
      <ns0:c r="L151" s="3" t="inlineStr">
        <ns0:is>
          <ns0:t>identity_and_body_structure_verified</ns0:t>
        </ns0:is>
      </ns0:c>
      <ns0:c r="M151" s="3" t="inlineStr"/>
      <ns0:c r="N151" s="3" t="inlineStr">
        <ns0:is>
          <ns0:t>首页/前两页题名作者或目标DOI核对，全部页面解析及正文结构检查；不据文件名判全文。</ns0:t>
        </ns0:is>
      </ns0:c>
      <ns0:c r="O151" s="3" t="inlineStr">
        <ns0:is>
          <ns0:t>https://github.com/Colliam-Vermilion/FirstCodex/blob/results/ad-oxygen-literature-20261006/results/ad-oxygen-literature-20261006/original_files/R13845/fulltext/fulltext__published__2d9abe07de564e0b.pdf</ns0:t>
        </ns0:is>
      </ns0:c>
    </ns0:row>
    <ns0:row r="152" ht="48" customHeight="1">
      <ns0:c r="A152" s="2" t="inlineStr">
        <ns0:is>
          <ns0:t>R13868</ns0:t>
        </ns0:is>
      </ns0:c>
      <ns0:c r="B152" s="2" t="inlineStr">
        <ns0:is>
          <ns0:t>Effect of microaerophilic treatment on swine wastewater (SWW) treatment: Engineering and microbiological aspects</ns0:t>
        </ns0:is>
      </ns0:c>
      <ns0:c r="C152" s="2" t="inlineStr">
        <ns0:is>
          <ns0:t>10.1016/j.jenvman.2021.113598</ns0:t>
        </ns0:is>
      </ns0:c>
      <ns0:c r="D152" s="2" t="inlineStr">
        <ns0:is>
          <ns0:t>fulltext</ns0:t>
        </ns0:is>
      </ns0:c>
      <ns0:c r="E152" s="2" t="inlineStr">
        <ns0:is>
          <ns0:t>出版版（版式及版权文字）</ns0:t>
        </ns0:is>
      </ns0:c>
      <ns0:c r="F152" s="2" t="inlineStr">
        <ns0:is>
          <ns0:t>fulltext.pdf</ns0:t>
        </ns0:is>
      </ns0:c>
      <ns0:c r="G152" s="2" t="inlineStr">
        <ns0:is>
          <ns0:t>original_files/R13868/fulltext/fulltext__published__2ddb3068ef12cffb.pdf</ns0:t>
        </ns0:is>
      </ns0:c>
      <ns0:c r="H152" s="2" t="inlineStr">
        <ns0:is>
          <ns0:t>local_upload</ns0:t>
        </ns0:is>
      </ns0:c>
      <ns0:c r="I152" s="2" t="inlineStr">
        <ns0:is>
          <ns0:t>localdownload/R13868/fulltext.pdf</ns0:t>
        </ns0:is>
      </ns0:c>
      <ns0:c r="J152" s="2" t="n">
        <ns0:v>1358639</ns0:v>
      </ns0:c>
      <ns0:c r="K152" s="2" t="inlineStr">
        <ns0:is>
          <ns0:t>2ddb3068ef12cffbf7058b01254f452e87f6e6121892879f454486e0f3b159b1</ns0:t>
        </ns0:is>
      </ns0:c>
      <ns0:c r="L152" s="2" t="inlineStr">
        <ns0:is>
          <ns0:t>identity_and_body_structure_verified</ns0:t>
        </ns0:is>
      </ns0:c>
      <ns0:c r="M152" s="2" t="inlineStr"/>
      <ns0:c r="N152" s="2" t="inlineStr">
        <ns0:is>
          <ns0:t>首页/前两页题名作者或目标DOI核对，全部页面解析及正文结构检查；不据文件名判全文。</ns0:t>
        </ns0:is>
      </ns0:c>
      <ns0:c r="O152" s="2" t="inlineStr">
        <ns0:is>
          <ns0:t>https://github.com/Colliam-Vermilion/FirstCodex/blob/results/ad-oxygen-literature-20261006/results/ad-oxygen-literature-20261006/original_files/R13868/fulltext/fulltext__published__2ddb3068ef12cffb.pdf</ns0:t>
        </ns0:is>
      </ns0:c>
    </ns0:row>
    <ns0:row r="153" ht="48" customHeight="1">
      <ns0:c r="A153" s="3" t="inlineStr">
        <ns0:is>
          <ns0:t>R05638</ns0:t>
        </ns0:is>
      </ns0:c>
      <ns0:c r="B153" s="3" t="inlineStr">
        <ns0:is>
          <ns0:t>Evaluation of Microaeration and Sound to Increase Biogas Production from Poultry Litter</ns0:t>
        </ns0:is>
      </ns0:c>
      <ns0:c r="C153" s="3" t="inlineStr">
        <ns0:is>
          <ns0:t>10.3390/environments7080062</ns0:t>
        </ns0:is>
      </ns0:c>
      <ns0:c r="D153" s="3" t="inlineStr">
        <ns0:is>
          <ns0:t>fulltext</ns0:t>
        </ns0:is>
      </ns0:c>
      <ns0:c r="E153" s="3" t="inlineStr">
        <ns0:is>
          <ns0:t>出版版本（原页出版信息）</ns0:t>
        </ns0:is>
      </ns0:c>
      <ns0:c r="F153" s="3" t="inlineStr">
        <ns0:is>
          <ns0:t>R05638_2020_Evaluation_of_Microaeration_and_Sound_to_Increase_Biogas_Production.pdf</ns0:t>
        </ns0:is>
      </ns0:c>
      <ns0:c r="G153" s="3" t="inlineStr">
        <ns0:is>
          <ns0:t>original_files/R05638/fulltext/fulltext__published__2e07cb1c3931c0d4.pdf</ns0:t>
        </ns0:is>
      </ns0:c>
      <ns0:c r="H153" s="3" t="inlineStr">
        <ns0:is>
          <ns0:t>cloud_existing</ns0:t>
        </ns0:is>
      </ns0:c>
      <ns0:c r="I153" s="3" t="inlineStr">
        <ns0:is>
          <ns0:t>original_files/fulltext/R05638_2020_Evaluation_of_Microaeration_and_Sound_to_Increase_Biogas_Production.pdf</ns0:t>
        </ns0:is>
      </ns0:c>
      <ns0:c r="J153" s="3" t="n">
        <ns0:v>996682</ns0:v>
      </ns0:c>
      <ns0:c r="K153" s="3" t="inlineStr">
        <ns0:is>
          <ns0:t>2e07cb1c3931c0d4d88c61cf971e78bfd0532db3272897384c770dd2e7f13660</ns0:t>
        </ns0:is>
      </ns0:c>
      <ns0:c r="L153" s="3" t="inlineStr">
        <ns0:is>
          <ns0:t>identity_and_body_structure_verified</ns0:t>
        </ns0:is>
      </ns0:c>
      <ns0:c r="M153" s="3" t="inlineStr"/>
      <ns0:c r="N153" s="3" t="inlineStr">
        <ns0:is>
          <ns0:t>首页/前两页题名作者或目标DOI核对，全部页面解析及正文结构检查；不据文件名判全文。</ns0:t>
        </ns0:is>
      </ns0:c>
      <ns0:c r="O153" s="3" t="inlineStr">
        <ns0:is>
          <ns0:t>https://github.com/Colliam-Vermilion/FirstCodex/blob/results/ad-oxygen-literature-20261006/results/ad-oxygen-literature-20261006/original_files/R05638/fulltext/fulltext__published__2e07cb1c3931c0d4.pdf</ns0:t>
        </ns0:is>
      </ns0:c>
    </ns0:row>
    <ns0:row r="154" ht="48" customHeight="1">
      <ns0:c r="A154" s="2" t="inlineStr">
        <ns0:is>
          <ns0:t>R13856</ns0:t>
        </ns0:is>
      </ns0:c>
      <ns0:c r="B154" s="2" t="inlineStr">
        <ns0:is>
          <ns0:t>Strategy to enhance semi-continuous anaerobic digestion of food waste by combined use of calcium peroxide and magnetite</ns0:t>
        </ns0:is>
      </ns0:c>
      <ns0:c r="C154" s="2" t="inlineStr">
        <ns0:is>
          <ns0:t>10.1016/j.watres.2022.118801</ns0:t>
        </ns0:is>
      </ns0:c>
      <ns0:c r="D154" s="2" t="inlineStr">
        <ns0:is>
          <ns0:t>fulltext</ns0:t>
        </ns0:is>
      </ns0:c>
      <ns0:c r="E154" s="2" t="inlineStr">
        <ns0:is>
          <ns0:t>出版版（版式及版权文字）</ns0:t>
        </ns0:is>
      </ns0:c>
      <ns0:c r="F154" s="2" t="inlineStr">
        <ns0:is>
          <ns0:t>fulltext.pdf</ns0:t>
        </ns0:is>
      </ns0:c>
      <ns0:c r="G154" s="2" t="inlineStr">
        <ns0:is>
          <ns0:t>original_files/R13856/fulltext/fulltext__published__2e6ed72e05bc7eba.pdf</ns0:t>
        </ns0:is>
      </ns0:c>
      <ns0:c r="H154" s="2" t="inlineStr">
        <ns0:is>
          <ns0:t>local_upload</ns0:t>
        </ns0:is>
      </ns0:c>
      <ns0:c r="I154" s="2" t="inlineStr">
        <ns0:is>
          <ns0:t>localdownload/R13856/fulltext.pdf</ns0:t>
        </ns0:is>
      </ns0:c>
      <ns0:c r="J154" s="2" t="n">
        <ns0:v>8820648</ns0:v>
      </ns0:c>
      <ns0:c r="K154" s="2" t="inlineStr">
        <ns0:is>
          <ns0:t>2e6ed72e05bc7ebaa280a91913e1f5f070031436087b18b21510b9d94ecd607d</ns0:t>
        </ns0:is>
      </ns0:c>
      <ns0:c r="L154" s="2" t="inlineStr">
        <ns0:is>
          <ns0:t>identity_and_body_structure_verified</ns0:t>
        </ns0:is>
      </ns0:c>
      <ns0:c r="M154" s="2" t="inlineStr"/>
      <ns0:c r="N154" s="2" t="inlineStr">
        <ns0:is>
          <ns0:t>首页/前两页题名作者或目标DOI核对，全部页面解析及正文结构检查；不据文件名判全文。</ns0:t>
        </ns0:is>
      </ns0:c>
      <ns0:c r="O154" s="2" t="inlineStr">
        <ns0:is>
          <ns0:t>https://github.com/Colliam-Vermilion/FirstCodex/blob/results/ad-oxygen-literature-20261006/results/ad-oxygen-literature-20261006/original_files/R13856/fulltext/fulltext__published__2e6ed72e05bc7eba.pdf</ns0:t>
        </ns0:is>
      </ns0:c>
    </ns0:row>
    <ns0:row r="155" ht="48" customHeight="1">
      <ns0:c r="A155" s="3" t="inlineStr">
        <ns0:is>
          <ns0:t>R13878</ns0:t>
        </ns0:is>
      </ns0:c>
      <ns0:c r="B155" s="3" t="inlineStr">
        <ns0:is>
          <ns0:t>Improved methane production of corn straw by the stimulation of calcium peroxide</ns0:t>
        </ns0:is>
      </ns0:c>
      <ns0:c r="C155" s="3" t="inlineStr">
        <ns0:is>
          <ns0:t>10.1016/j.enconman.2018.02.070</ns0:t>
        </ns0:is>
      </ns0:c>
      <ns0:c r="D155" s="3" t="inlineStr">
        <ns0:is>
          <ns0:t>fulltext</ns0:t>
        </ns0:is>
      </ns0:c>
      <ns0:c r="E155" s="3" t="inlineStr">
        <ns0:is>
          <ns0:t>出版版（版式及版权文字）</ns0:t>
        </ns0:is>
      </ns0:c>
      <ns0:c r="F155" s="3" t="inlineStr">
        <ns0:is>
          <ns0:t>fulltext.pdf</ns0:t>
        </ns0:is>
      </ns0:c>
      <ns0:c r="G155" s="3" t="inlineStr">
        <ns0:is>
          <ns0:t>original_files/R13878/fulltext/fulltext__published__2eb6f71281844f77.pdf</ns0:t>
        </ns0:is>
      </ns0:c>
      <ns0:c r="H155" s="3" t="inlineStr">
        <ns0:is>
          <ns0:t>local_upload</ns0:t>
        </ns0:is>
      </ns0:c>
      <ns0:c r="I155" s="3" t="inlineStr">
        <ns0:is>
          <ns0:t>localdownload/R13878/fulltext.pdf</ns0:t>
        </ns0:is>
      </ns0:c>
      <ns0:c r="J155" s="3" t="n">
        <ns0:v>604566</ns0:v>
      </ns0:c>
      <ns0:c r="K155" s="3" t="inlineStr">
        <ns0:is>
          <ns0:t>2eb6f71281844f77d4091045113095b32c38f7443e810557043b9464f6fe6b9b</ns0:t>
        </ns0:is>
      </ns0:c>
      <ns0:c r="L155" s="3" t="inlineStr">
        <ns0:is>
          <ns0:t>identity_and_body_structure_verified</ns0:t>
        </ns0:is>
      </ns0:c>
      <ns0:c r="M155" s="3" t="inlineStr"/>
      <ns0:c r="N155" s="3" t="inlineStr">
        <ns0:is>
          <ns0:t>首页/前两页题名作者或目标DOI核对，全部页面解析及正文结构检查；不据文件名判全文。</ns0:t>
        </ns0:is>
      </ns0:c>
      <ns0:c r="O155" s="3" t="inlineStr">
        <ns0:is>
          <ns0:t>https://github.com/Colliam-Vermilion/FirstCodex/blob/results/ad-oxygen-literature-20261006/results/ad-oxygen-literature-20261006/original_files/R13878/fulltext/fulltext__published__2eb6f71281844f77.pdf</ns0:t>
        </ns0:is>
      </ns0:c>
    </ns0:row>
    <ns0:row r="156" ht="48" customHeight="1">
      <ns0:c r="A156" s="2" t="inlineStr">
        <ns0:is>
          <ns0:t>R03564</ns0:t>
        </ns0:is>
      </ns0:c>
      <ns0:c r="B156" s="2" t="inlineStr">
        <ns0:is>
          <ns0:t>The Influence of Micro-Oxygen Addition on Desulfurization Performance and Microbial Communities during Waste-Activated Sludge Digestion in a Rusty Scrap Iron-Loaded Anaerobic Digester</ns0:t>
        </ns0:is>
      </ns0:c>
      <ns0:c r="C156" s="2" t="inlineStr">
        <ns0:is>
          <ns0:t>10.3390/en10020258</ns0:t>
        </ns0:is>
      </ns0:c>
      <ns0:c r="D156" s="2" t="inlineStr">
        <ns0:is>
          <ns0:t>fulltext</ns0:t>
        </ns0:is>
      </ns0:c>
      <ns0:c r="E156" s="2" t="inlineStr">
        <ns0:is>
          <ns0:t>出版版本（原页出版信息）</ns0:t>
        </ns0:is>
      </ns0:c>
      <ns0:c r="F156" s="2" t="inlineStr">
        <ns0:is>
          <ns0:t>R03564_2017_The_Influence_of_Micro-Oxygen_Addition_on_Desulfurization_Performance_and.pdf</ns0:t>
        </ns0:is>
      </ns0:c>
      <ns0:c r="G156" s="2" t="inlineStr">
        <ns0:is>
          <ns0:t>original_files/R03564/fulltext/fulltext__published__2f2d17a0a7254275.pdf</ns0:t>
        </ns0:is>
      </ns0:c>
      <ns0:c r="H156" s="2" t="inlineStr">
        <ns0:is>
          <ns0:t>cloud_existing</ns0:t>
        </ns0:is>
      </ns0:c>
      <ns0:c r="I156" s="2" t="inlineStr">
        <ns0:is>
          <ns0:t>original_files/fulltext/R03564_2017_The_Influence_of_Micro-Oxygen_Addition_on_Desulfurization_Performance_and.pdf</ns0:t>
        </ns0:is>
      </ns0:c>
      <ns0:c r="J156" s="2" t="n">
        <ns0:v>2779683</ns0:v>
      </ns0:c>
      <ns0:c r="K156" s="2" t="inlineStr">
        <ns0:is>
          <ns0:t>2f2d17a0a7254275b5799c7fcd7ba57973ca0b4c3ec6b9eaf4fcfe65bf7f66d9</ns0:t>
        </ns0:is>
      </ns0:c>
      <ns0:c r="L156" s="2" t="inlineStr">
        <ns0:is>
          <ns0:t>identity_and_body_structure_verified</ns0:t>
        </ns0:is>
      </ns0:c>
      <ns0:c r="M156" s="2" t="inlineStr"/>
      <ns0:c r="N156" s="2" t="inlineStr">
        <ns0:is>
          <ns0:t>首页/前两页题名作者或目标DOI核对，全部页面解析及正文结构检查；不据文件名判全文。</ns0:t>
        </ns0:is>
      </ns0:c>
      <ns0:c r="O156" s="2" t="inlineStr">
        <ns0:is>
          <ns0:t>https://github.com/Colliam-Vermilion/FirstCodex/blob/results/ad-oxygen-literature-20261006/results/ad-oxygen-literature-20261006/original_files/R03564/fulltext/fulltext__published__2f2d17a0a7254275.pdf</ns0:t>
        </ns0:is>
      </ns0:c>
    </ns0:row>
    <ns0:row r="157" ht="48" customHeight="1">
      <ns0:c r="A157" s="3" t="inlineStr">
        <ns0:is>
          <ns0:t>R13939</ns0:t>
        </ns0:is>
      </ns0:c>
      <ns0:c r="B157" s="3" t="inlineStr">
        <ns0:is>
          <ns0:t>Efficient Treatment and Simultaneous Energy Recovery from Cattle Wastewater by the Micro-Aerated UASB and SBR Coupled System</ns0:t>
        </ns0:is>
      </ns0:c>
      <ns0:c r="C157" s="3" t="inlineStr">
        <ns0:is>
          <ns0:t>10.1021/acsestwater.3c00241</ns0:t>
        </ns0:is>
      </ns0:c>
      <ns0:c r="D157" s="3" t="inlineStr">
        <ns0:is>
          <ns0:t>fulltext</ns0:t>
        </ns0:is>
      </ns0:c>
      <ns0:c r="E157" s="3" t="inlineStr">
        <ns0:is>
          <ns0:t>出版版（版式及版权文字）</ns0:t>
        </ns0:is>
      </ns0:c>
      <ns0:c r="F157" s="3" t="inlineStr">
        <ns0:is>
          <ns0:t>fulltext.pdf</ns0:t>
        </ns0:is>
      </ns0:c>
      <ns0:c r="G157" s="3" t="inlineStr">
        <ns0:is>
          <ns0:t>original_files/R13939/fulltext/fulltext__published__2f52215fbeb2f906.pdf</ns0:t>
        </ns0:is>
      </ns0:c>
      <ns0:c r="H157" s="3" t="inlineStr">
        <ns0:is>
          <ns0:t>local_upload</ns0:t>
        </ns0:is>
      </ns0:c>
      <ns0:c r="I157" s="3" t="inlineStr">
        <ns0:is>
          <ns0:t>localdownload/R13939/fulltext.pdf</ns0:t>
        </ns0:is>
      </ns0:c>
      <ns0:c r="J157" s="3" t="n">
        <ns0:v>5311922</ns0:v>
      </ns0:c>
      <ns0:c r="K157" s="3" t="inlineStr">
        <ns0:is>
          <ns0:t>2f52215fbeb2f90681d8ff71b5f7116f4a2d850a156ee1a201141aca00a55c26</ns0:t>
        </ns0:is>
      </ns0:c>
      <ns0:c r="L157" s="3" t="inlineStr">
        <ns0:is>
          <ns0:t>identity_and_body_structure_verified</ns0:t>
        </ns0:is>
      </ns0:c>
      <ns0:c r="M157" s="3" t="inlineStr"/>
      <ns0:c r="N157" s="3" t="inlineStr">
        <ns0:is>
          <ns0:t>首页/前两页题名作者或目标DOI核对，全部页面解析及正文结构检查；不据文件名判全文。</ns0:t>
        </ns0:is>
      </ns0:c>
      <ns0:c r="O157" s="3" t="inlineStr">
        <ns0:is>
          <ns0:t>https://github.com/Colliam-Vermilion/FirstCodex/blob/results/ad-oxygen-literature-20261006/results/ad-oxygen-literature-20261006/original_files/R13939/fulltext/fulltext__published__2f52215fbeb2f906.pdf</ns0:t>
        </ns0:is>
      </ns0:c>
    </ns0:row>
    <ns0:row r="158" ht="48" customHeight="1">
      <ns0:c r="A158" s="2" t="inlineStr">
        <ns0:is>
          <ns0:t>R01556</ns0:t>
        </ns0:is>
      </ns0:c>
      <ns0:c r="B158" s="2" t="inlineStr">
        <ns0:is>
          <ns0:t>Where does the removal of H2S from biogas occur in microaerobic reactors?</ns0:t>
        </ns0:is>
      </ns0:c>
      <ns0:c r="C158" s="2" t="inlineStr">
        <ns0:is>
          <ns0:t>10.1016/j.biortech.2014.05.058</ns0:t>
        </ns0:is>
      </ns0:c>
      <ns0:c r="D158" s="2" t="inlineStr">
        <ns0:is>
          <ns0:t>fulltext</ns0:t>
        </ns0:is>
      </ns0:c>
      <ns0:c r="E158" s="2" t="inlineStr">
        <ns0:is>
          <ns0:t>出版版（版式及版权文字）</ns0:t>
        </ns0:is>
      </ns0:c>
      <ns0:c r="F158" s="2" t="inlineStr">
        <ns0:is>
          <ns0:t>fulltext.pdf</ns0:t>
        </ns0:is>
      </ns0:c>
      <ns0:c r="G158" s="2" t="inlineStr">
        <ns0:is>
          <ns0:t>original_files/R01556/fulltext/fulltext__published__2f7462391b5df844.pdf</ns0:t>
        </ns0:is>
      </ns0:c>
      <ns0:c r="H158" s="2" t="inlineStr">
        <ns0:is>
          <ns0:t>local_upload</ns0:t>
        </ns0:is>
      </ns0:c>
      <ns0:c r="I158" s="2" t="inlineStr">
        <ns0:is>
          <ns0:t>localdownload/R01556/fulltext.pdf</ns0:t>
        </ns0:is>
      </ns0:c>
      <ns0:c r="J158" s="2" t="n">
        <ns0:v>752653</ns0:v>
      </ns0:c>
      <ns0:c r="K158" s="2" t="inlineStr">
        <ns0:is>
          <ns0:t>2f7462391b5df8445267f2f8a5c0387a7286101c309d4def9310c06541d1c113</ns0:t>
        </ns0:is>
      </ns0:c>
      <ns0:c r="L158" s="2" t="inlineStr">
        <ns0:is>
          <ns0:t>identity_and_body_structure_verified</ns0:t>
        </ns0:is>
      </ns0:c>
      <ns0:c r="M158" s="2" t="inlineStr"/>
      <ns0:c r="N158" s="2" t="inlineStr">
        <ns0:is>
          <ns0:t>首页/前两页题名作者或目标DOI核对，全部页面解析及正文结构检查；不据文件名判全文。</ns0:t>
        </ns0:is>
      </ns0:c>
      <ns0:c r="O158" s="2" t="inlineStr">
        <ns0:is>
          <ns0:t>https://github.com/Colliam-Vermilion/FirstCodex/blob/results/ad-oxygen-literature-20261006/results/ad-oxygen-literature-20261006/original_files/R01556/fulltext/fulltext__published__2f7462391b5df844.pdf</ns0:t>
        </ns0:is>
      </ns0:c>
    </ns0:row>
    <ns0:row r="159" ht="48" customHeight="1">
      <ns0:c r="A159" s="3" t="inlineStr">
        <ns0:is>
          <ns0:t>R06325</ns0:t>
        </ns0:is>
      </ns0:c>
      <ns0:c r="B159" s="3" t="inlineStr">
        <ns0:is>
          <ns0:t>Anaerobic and Microaerobic Pretreatment for Improving Methane Production From Paper Waste in Anaerobic Digestion</ns0:t>
        </ns0:is>
      </ns0:c>
      <ns0:c r="C159" s="3" t="inlineStr">
        <ns0:is>
          <ns0:t>10.3389/fmicb.2021.688290</ns0:t>
        </ns0:is>
      </ns0:c>
      <ns0:c r="D159" s="3" t="inlineStr">
        <ns0:is>
          <ns0:t>supplementary</ns0:t>
        </ns0:is>
      </ns0:c>
      <ns0:c r="E159" s="3" t="inlineStr"/>
      <ns0:c r="F159" s="3" t="inlineStr">
        <ns0:is>
          <ns0:t>Table_1.XLSX</ns0:t>
        </ns0:is>
      </ns0:c>
      <ns0:c r="G159" s="3" t="inlineStr">
        <ns0:is>
          <ns0:t>original_files/R06325/supplementary/supplementary__2ff3d2f5d4062e84.xlsx</ns0:t>
        </ns0:is>
      </ns0:c>
      <ns0:c r="H159" s="3" t="inlineStr">
        <ns0:is>
          <ns0:t>cloud_existing</ns0:t>
        </ns0:is>
      </ns0:c>
      <ns0:c r="I159" s="3" t="inlineStr">
        <ns0:is>
          <ns0:t>original_files/supplementary/R06325/Table_1.XLSX</ns0:t>
        </ns0:is>
      </ns0:c>
      <ns0:c r="J159" s="3" t="n">
        <ns0:v>15760</ns0:v>
      </ns0:c>
      <ns0:c r="K159" s="3" t="inlineStr">
        <ns0:is>
          <ns0:t>2ff3d2f5d4062e8466bed8e6d69f7f3c85d20668a21a1c98f5748c3f47d8fd1e</ns0:t>
        </ns0:is>
      </ns0:c>
      <ns0:c r="L159" s="3" t="inlineStr">
        <ns0:is>
          <ns0:t>xlsx_open_and_zip_crc_verified</ns0:t>
        </ns0:is>
      </ns0:c>
      <ns0:c r="M159" s="3" t="inlineStr">
        <ns0:is>
          <ns0:t>existing_official_attachment_evidence_retained</ns0:t>
        </ns0:is>
      </ns0:c>
      <ns0:c r="N159" s="3" t="inlineStr"/>
      <ns0:c r="O159" s="3" t="inlineStr">
        <ns0:is>
          <ns0:t>https://github.com/Colliam-Vermilion/FirstCodex/blob/results/ad-oxygen-literature-20261006/results/ad-oxygen-literature-20261006/original_files/R06325/supplementary/supplementary__2ff3d2f5d4062e84.xlsx</ns0:t>
        </ns0:is>
      </ns0:c>
    </ns0:row>
    <ns0:row r="160" ht="48" customHeight="1">
      <ns0:c r="A160" s="2" t="inlineStr">
        <ns0:is>
          <ns0:t>R13945</ns0:t>
        </ns0:is>
      </ns0:c>
      <ns0:c r="B160" s="2" t="inlineStr">
        <ns0:is>
          <ns0:t>Effect of Low Aeration and Heat Drying on Anaerobic Digester Performance and Microbial Community</ns0:t>
        </ns0:is>
      </ns0:c>
      <ns0:c r="C160" s="2" t="inlineStr"/>
      <ns0:c r="D160" s="2" t="inlineStr">
        <ns0:is>
          <ns0:t>source_evidence</ns0:t>
        </ns0:is>
      </ns0:c>
      <ns0:c r="E160" s="2" t="inlineStr"/>
      <ns0:c r="F160" s="2" t="inlineStr">
        <ns0:is>
          <ns0:t>publisher_article_page_20261017.html</ns0:t>
        </ns0:is>
      </ns0:c>
      <ns0:c r="G160" s="2" t="inlineStr">
        <ns0:is>
          <ns0:t>original_files/R13945/evidence/source_evidence__2ffdb923eaf1b5d1.html</ns0:t>
        </ns0:is>
      </ns0:c>
      <ns0:c r="H160" s="2" t="inlineStr">
        <ns0:is>
          <ns0:t>cloud_existing</ns0:t>
        </ns0:is>
      </ns0:c>
      <ns0:c r="I160" s="2" t="inlineStr">
        <ns0:is>
          <ns0:t>original_files/source_evidence/R13945/publisher_article_page_20261017.html</ns0:t>
        </ns0:is>
      </ns0:c>
      <ns0:c r="J160" s="2" t="n">
        <ns0:v>40690</ns0:v>
      </ns0:c>
      <ns0:c r="K160" s="2" t="inlineStr">
        <ns0:is>
          <ns0:t>2ffdb923eaf1b5d130da9900619c0788a5bc9fc286cb35a7b2c0dd48c5bda39a</ns0:t>
        </ns0:is>
      </ns0:c>
      <ns0:c r="L160" s="2" t="inlineStr">
        <ns0:is>
          <ns0:t>text_readable</ns0:t>
        </ns0:is>
      </ns0:c>
      <ns0:c r="M160" s="2" t="inlineStr"/>
      <ns0:c r="N160" s="2" t="inlineStr"/>
      <ns0:c r="O160" s="2" t="inlineStr">
        <ns0:is>
          <ns0:t>https://github.com/Colliam-Vermilion/FirstCodex/blob/results/ad-oxygen-literature-20261006/results/ad-oxygen-literature-20261006/original_files/R13945/evidence/source_evidence__2ffdb923eaf1b5d1.html</ns0:t>
        </ns0:is>
      </ns0:c>
    </ns0:row>
    <ns0:row r="161" ht="48" customHeight="1">
      <ns0:c r="A161" s="3" t="inlineStr">
        <ns0:is>
          <ns0:t>R00273</ns0:t>
        </ns0:is>
      </ns0:c>
      <ns0:c r="B161" s="3" t="inlineStr">
        <ns0:is>
          <ns0:t>Management of hydrogen sulfide in anaerobic digestion of enzyme pretreated marine macro-algae</ns0:t>
        </ns0:is>
      </ns0:c>
      <ns0:c r="C161" s="3" t="inlineStr"/>
      <ns0:c r="D161" s="3" t="inlineStr">
        <ns0:is>
          <ns0:t>source_evidence</ns0:t>
        </ns0:is>
      </ns0:c>
      <ns0:c r="E161" s="3" t="inlineStr"/>
      <ns0:c r="F161" s="3" t="inlineStr">
        <ns0:is>
          <ns0:t>publisher_article_page_20261017.html</ns0:t>
        </ns0:is>
      </ns0:c>
      <ns0:c r="G161" s="3" t="inlineStr">
        <ns0:is>
          <ns0:t>original_files/R00273/evidence/source_evidence__3079c58846ae956d.html</ns0:t>
        </ns0:is>
      </ns0:c>
      <ns0:c r="H161" s="3" t="inlineStr">
        <ns0:is>
          <ns0:t>cloud_existing</ns0:t>
        </ns0:is>
      </ns0:c>
      <ns0:c r="I161" s="3" t="inlineStr">
        <ns0:is>
          <ns0:t>original_files/source_evidence/R00273/publisher_article_page_20261017.html</ns0:t>
        </ns0:is>
      </ns0:c>
      <ns0:c r="J161" s="3" t="n">
        <ns0:v>43641</ns0:v>
      </ns0:c>
      <ns0:c r="K161" s="3" t="inlineStr">
        <ns0:is>
          <ns0:t>3079c58846ae956d1a5e58ba10aa8d11782d5edf06b267ebbb8b0933b62df19f</ns0:t>
        </ns0:is>
      </ns0:c>
      <ns0:c r="L161" s="3" t="inlineStr">
        <ns0:is>
          <ns0:t>text_readable</ns0:t>
        </ns0:is>
      </ns0:c>
      <ns0:c r="M161" s="3" t="inlineStr"/>
      <ns0:c r="N161" s="3" t="inlineStr"/>
      <ns0:c r="O161" s="3" t="inlineStr">
        <ns0:is>
          <ns0:t>https://github.com/Colliam-Vermilion/FirstCodex/blob/results/ad-oxygen-literature-20261006/results/ad-oxygen-literature-20261006/original_files/R00273/evidence/source_evidence__3079c58846ae956d.html</ns0:t>
        </ns0:is>
      </ns0:c>
    </ns0:row>
    <ns0:row r="162" ht="48" customHeight="1">
      <ns0:c r="A162" s="2" t="inlineStr">
        <ns0:is>
          <ns0:t>R13968</ns0:t>
        </ns0:is>
      </ns0:c>
      <ns0:c r="B162" s="2" t="inlineStr">
        <ns0:is>
          <ns0:t>Enhancement of separate hydrogen and methane production from ethanol wastewater by Microaeration</ns0:t>
        </ns0:is>
      </ns0:c>
      <ns0:c r="C162" s="2" t="inlineStr">
        <ns0:is>
          <ns0:t>10.58837/chula.the.2015.1957</ns0:t>
        </ns0:is>
      </ns0:c>
      <ns0:c r="D162" s="2" t="inlineStr">
        <ns0:is>
          <ns0:t>fulltext</ns0:t>
        </ns0:is>
      </ns0:c>
      <ns0:c r="E162" s="2" t="inlineStr">
        <ns0:is>
          <ns0:t>学位/学生报告原稿（分章节者按组）</ns0:t>
        </ns0:is>
      </ns0:c>
      <ns0:c r="F162" s="2" t="inlineStr">
        <ns0:is>
          <ns0:t>R13968_Nhatthaphon_sr_ch4_p.pdf</ns0:t>
        </ns0:is>
      </ns0:c>
      <ns0:c r="G162" s="2" t="inlineStr">
        <ns0:is>
          <ns0:t>original_files/R13968/fulltext/fulltext__thesis__31fee06cf27de2a2.pdf</ns0:t>
        </ns0:is>
      </ns0:c>
      <ns0:c r="H162" s="2" t="inlineStr">
        <ns0:is>
          <ns0:t>cloud_existing</ns0:t>
        </ns0:is>
      </ns0:c>
      <ns0:c r="I162" s="2" t="inlineStr">
        <ns0:is>
          <ns0:t>original_files/fulltext/R13968_Nhatthaphon_sr_ch4_p.pdf</ns0:t>
        </ns0:is>
      </ns0:c>
      <ns0:c r="J162" s="2" t="n">
        <ns0:v>1571765</ns0:v>
      </ns0:c>
      <ns0:c r="K162" s="2" t="inlineStr">
        <ns0:is>
          <ns0:t>31fee06cf27de2a2a708bd14a09a8bc73303ebcd67efe353efcc01fc79b20cfd</ns0:t>
        </ns0:is>
      </ns0:c>
      <ns0:c r="L162" s="2" t="inlineStr">
        <ns0:is>
          <ns0:t>complete_multipart_thesis_group_verified</ns0:t>
        </ns0:is>
      </ns0:c>
      <ns0:c r="M162" s="2" t="inlineStr"/>
      <ns0:c r="N162" s="2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162" s="2" t="inlineStr">
        <ns0:is>
          <ns0:t>https://github.com/Colliam-Vermilion/FirstCodex/blob/results/ad-oxygen-literature-20261006/results/ad-oxygen-literature-20261006/original_files/R13968/fulltext/fulltext__thesis__31fee06cf27de2a2.pdf</ns0:t>
        </ns0:is>
      </ns0:c>
    </ns0:row>
    <ns0:row r="163" ht="48" customHeight="1">
      <ns0:c r="A163" s="3" t="inlineStr">
        <ns0:is>
          <ns0:t>R11751</ns0:t>
        </ns0:is>
      </ns0:c>
      <ns0:c r="B163" s="3" t="inlineStr">
        <ns0:is>
          <ns0:t>Intermittent Microaeration Enhanced Anaerobic Digestion: The Key Role of Fe(III)/Fe(II) Cycle and Reactive Oxygen Species</ns0:t>
        </ns0:is>
      </ns0:c>
      <ns0:c r="C163" s="3" t="inlineStr">
        <ns0:is>
          <ns0:t>10.1021/acs.est.5c04187</ns0:t>
        </ns0:is>
      </ns0:c>
      <ns0:c r="D163" s="3" t="inlineStr">
        <ns0:is>
          <ns0:t>fulltext</ns0:t>
        </ns0:is>
      </ns0:c>
      <ns0:c r="E163" s="3" t="inlineStr">
        <ns0:is>
          <ns0:t>出版版（版式及版权文字）</ns0:t>
        </ns0:is>
      </ns0:c>
      <ns0:c r="F163" s="3" t="inlineStr">
        <ns0:is>
          <ns0:t>fulltext.pdf</ns0:t>
        </ns0:is>
      </ns0:c>
      <ns0:c r="G163" s="3" t="inlineStr">
        <ns0:is>
          <ns0:t>original_files/R11751/fulltext/fulltext__published__32634174663de64f.pdf</ns0:t>
        </ns0:is>
      </ns0:c>
      <ns0:c r="H163" s="3" t="inlineStr">
        <ns0:is>
          <ns0:t>local_upload</ns0:t>
        </ns0:is>
      </ns0:c>
      <ns0:c r="I163" s="3" t="inlineStr">
        <ns0:is>
          <ns0:t>localdownload/R11751/fulltext.pdf</ns0:t>
        </ns0:is>
      </ns0:c>
      <ns0:c r="J163" s="3" t="n">
        <ns0:v>3994645</ns0:v>
      </ns0:c>
      <ns0:c r="K163" s="3" t="inlineStr">
        <ns0:is>
          <ns0:t>32634174663de64f00d8a81d9c7f7daa37c6f3658f885e136a32c3de6ef254a3</ns0:t>
        </ns0:is>
      </ns0:c>
      <ns0:c r="L163" s="3" t="inlineStr">
        <ns0:is>
          <ns0:t>identity_and_body_structure_verified</ns0:t>
        </ns0:is>
      </ns0:c>
      <ns0:c r="M163" s="3" t="inlineStr"/>
      <ns0:c r="N163" s="3" t="inlineStr">
        <ns0:is>
          <ns0:t>首页/前两页题名作者或目标DOI核对，全部页面解析及正文结构检查；不据文件名判全文。</ns0:t>
        </ns0:is>
      </ns0:c>
      <ns0:c r="O163" s="3" t="inlineStr">
        <ns0:is>
          <ns0:t>https://github.com/Colliam-Vermilion/FirstCodex/blob/results/ad-oxygen-literature-20261006/results/ad-oxygen-literature-20261006/original_files/R11751/fulltext/fulltext__published__32634174663de64f.pdf</ns0:t>
        </ns0:is>
      </ns0:c>
    </ns0:row>
    <ns0:row r="164" ht="48" customHeight="1">
      <ns0:c r="A164" s="2" t="inlineStr">
        <ns0:is>
          <ns0:t>R13969</ns0:t>
        </ns0:is>
      </ns0:c>
      <ns0:c r="B164" s="2" t="inlineStr">
        <ns0:is>
          <ns0:t>Effects of microaeration on hydrogen and methane production from cassava wastewater using a two-stage UASB system</ns0:t>
        </ns0:is>
      </ns0:c>
      <ns0:c r="C164" s="2" t="inlineStr">
        <ns0:is>
          <ns0:t>10.58837/chula.the.2015.1953</ns0:t>
        </ns0:is>
      </ns0:c>
      <ns0:c r="D164" s="2" t="inlineStr">
        <ns0:is>
          <ns0:t>fulltext</ns0:t>
        </ns0:is>
      </ns0:c>
      <ns0:c r="E164" s="2" t="inlineStr">
        <ns0:is>
          <ns0:t>学位/学生报告原稿（分章节者按组）</ns0:t>
        </ns0:is>
      </ns0:c>
      <ns0:c r="F164" s="2" t="inlineStr">
        <ns0:is>
          <ns0:t>R13969_Pairin_tu_ch3_p.pdf</ns0:t>
        </ns0:is>
      </ns0:c>
      <ns0:c r="G164" s="2" t="inlineStr">
        <ns0:is>
          <ns0:t>original_files/R13969/fulltext/fulltext__thesis__32ca8cbb364b193d.pdf</ns0:t>
        </ns0:is>
      </ns0:c>
      <ns0:c r="H164" s="2" t="inlineStr">
        <ns0:is>
          <ns0:t>cloud_existing</ns0:t>
        </ns0:is>
      </ns0:c>
      <ns0:c r="I164" s="2" t="inlineStr">
        <ns0:is>
          <ns0:t>original_files/fulltext/R13969_Pairin_tu_ch3_p.pdf</ns0:t>
        </ns0:is>
      </ns0:c>
      <ns0:c r="J164" s="2" t="n">
        <ns0:v>1017982</ns0:v>
      </ns0:c>
      <ns0:c r="K164" s="2" t="inlineStr">
        <ns0:is>
          <ns0:t>32ca8cbb364b193de87f882ae894fcbc5fef9f26ed5e6f97de81c52c3faf4e30</ns0:t>
        </ns0:is>
      </ns0:c>
      <ns0:c r="L164" s="2" t="inlineStr">
        <ns0:is>
          <ns0:t>complete_multipart_thesis_group_verified</ns0:t>
        </ns0:is>
      </ns0:c>
      <ns0:c r="M164" s="2" t="inlineStr"/>
      <ns0:c r="N164" s="2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164" s="2" t="inlineStr">
        <ns0:is>
          <ns0:t>https://github.com/Colliam-Vermilion/FirstCodex/blob/results/ad-oxygen-literature-20261006/results/ad-oxygen-literature-20261006/original_files/R13969/fulltext/fulltext__thesis__32ca8cbb364b193d.pdf</ns0:t>
        </ns0:is>
      </ns0:c>
    </ns0:row>
    <ns0:row r="165" ht="48" customHeight="1">
      <ns0:c r="A165" s="3" t="inlineStr">
        <ns0:is>
          <ns0:t>R06737</ns0:t>
        </ns0:is>
      </ns0:c>
      <ns0:c r="B165" s="3" t="inlineStr">
        <ns0:is>
          <ns0:t>Genomic driven factors enhance biocatalyst-related cellulolysis potential in anaerobic digestion</ns0:t>
        </ns0:is>
      </ns0:c>
      <ns0:c r="C165" s="3" t="inlineStr">
        <ns0:is>
          <ns0:t>10.1016/j.biortech.2021.125148</ns0:t>
        </ns0:is>
      </ns0:c>
      <ns0:c r="D165" s="3" t="inlineStr">
        <ns0:is>
          <ns0:t>fulltext</ns0:t>
        </ns0:is>
      </ns0:c>
      <ns0:c r="E165" s="3" t="inlineStr">
        <ns0:is>
          <ns0:t>出版版本（原页出版信息）</ns0:t>
        </ns0:is>
      </ns0:c>
      <ns0:c r="F165" s="3" t="inlineStr">
        <ns0:is>
          <ns0:t>R06737_2021_Genomic_driven_factors_enhance_biocatalyst-related_cellulolysis_potential_in_anaerobic.pdf</ns0:t>
        </ns0:is>
      </ns0:c>
      <ns0:c r="G165" s="3" t="inlineStr">
        <ns0:is>
          <ns0:t>original_files/R06737/fulltext/fulltext__published__32eabc0a46b31862.pdf</ns0:t>
        </ns0:is>
      </ns0:c>
      <ns0:c r="H165" s="3" t="inlineStr">
        <ns0:is>
          <ns0:t>cloud_existing</ns0:t>
        </ns0:is>
      </ns0:c>
      <ns0:c r="I165" s="3" t="inlineStr">
        <ns0:is>
          <ns0:t>original_files/fulltext/R06737_2021_Genomic_driven_factors_enhance_biocatalyst-related_cellulolysis_potential_in_anaerobic.pdf</ns0:t>
        </ns0:is>
      </ns0:c>
      <ns0:c r="J165" s="3" t="n">
        <ns0:v>4126947</ns0:v>
      </ns0:c>
      <ns0:c r="K165" s="3" t="inlineStr">
        <ns0:is>
          <ns0:t>32eabc0a46b31862fa95a7bcf29fc4e5b154b7ec51c11cd1d4f798bbad95b59a</ns0:t>
        </ns0:is>
      </ns0:c>
      <ns0:c r="L165" s="3" t="inlineStr">
        <ns0:is>
          <ns0:t>identity_and_body_structure_verified</ns0:t>
        </ns0:is>
      </ns0:c>
      <ns0:c r="M165" s="3" t="inlineStr"/>
      <ns0:c r="N165" s="3" t="inlineStr">
        <ns0:is>
          <ns0:t>首页/前两页题名作者或目标DOI核对，全部页面解析及正文结构检查；不据文件名判全文。</ns0:t>
        </ns0:is>
      </ns0:c>
      <ns0:c r="O165" s="3" t="inlineStr">
        <ns0:is>
          <ns0:t>https://github.com/Colliam-Vermilion/FirstCodex/blob/results/ad-oxygen-literature-20261006/results/ad-oxygen-literature-20261006/original_files/R06737/fulltext/fulltext__published__32eabc0a46b31862.pdf</ns0:t>
        </ns0:is>
      </ns0:c>
    </ns0:row>
    <ns0:row r="166" ht="48" customHeight="1">
      <ns0:c r="A166" s="2" t="inlineStr">
        <ns0:is>
          <ns0:t>R13896</ns0:t>
        </ns0:is>
      </ns0:c>
      <ns0:c r="B166" s="2" t="inlineStr">
        <ns0:is>
          <ns0:t>Effect of aeration pretreatment on anaerobic digestion of swine manure</ns0:t>
        </ns0:is>
      </ns0:c>
      <ns0:c r="C166" s="2" t="inlineStr">
        <ns0:is>
          <ns0:t>10.1080/09593330.2024.2416094</ns0:t>
        </ns0:is>
      </ns0:c>
      <ns0:c r="D166" s="2" t="inlineStr">
        <ns0:is>
          <ns0:t>fulltext</ns0:t>
        </ns0:is>
      </ns0:c>
      <ns0:c r="E166" s="2" t="inlineStr">
        <ns0:is>
          <ns0:t>出版版（版式及版权文字）</ns0:t>
        </ns0:is>
      </ns0:c>
      <ns0:c r="F166" s="2" t="inlineStr">
        <ns0:is>
          <ns0:t>fulltext.pdf</ns0:t>
        </ns0:is>
      </ns0:c>
      <ns0:c r="G166" s="2" t="inlineStr">
        <ns0:is>
          <ns0:t>original_files/R13896/fulltext/fulltext__published__335ebc47cd2604a5.pdf</ns0:t>
        </ns0:is>
      </ns0:c>
      <ns0:c r="H166" s="2" t="inlineStr">
        <ns0:is>
          <ns0:t>local_upload</ns0:t>
        </ns0:is>
      </ns0:c>
      <ns0:c r="I166" s="2" t="inlineStr">
        <ns0:is>
          <ns0:t>localdownload/R13896/fulltext.pdf</ns0:t>
        </ns0:is>
      </ns0:c>
      <ns0:c r="J166" s="2" t="n">
        <ns0:v>2220199</ns0:v>
      </ns0:c>
      <ns0:c r="K166" s="2" t="inlineStr">
        <ns0:is>
          <ns0:t>335ebc47cd2604a5a0381e5f61cfe956e2f41d1607f51c54e15a740fbd97345d</ns0:t>
        </ns0:is>
      </ns0:c>
      <ns0:c r="L166" s="2" t="inlineStr">
        <ns0:is>
          <ns0:t>identity_and_body_structure_verified</ns0:t>
        </ns0:is>
      </ns0:c>
      <ns0:c r="M166" s="2" t="inlineStr"/>
      <ns0:c r="N166" s="2" t="inlineStr">
        <ns0:is>
          <ns0:t>首页/前两页题名作者或目标DOI核对，全部页面解析及正文结构检查；不据文件名判全文。</ns0:t>
        </ns0:is>
      </ns0:c>
      <ns0:c r="O166" s="2" t="inlineStr">
        <ns0:is>
          <ns0:t>https://github.com/Colliam-Vermilion/FirstCodex/blob/results/ad-oxygen-literature-20261006/results/ad-oxygen-literature-20261006/original_files/R13896/fulltext/fulltext__published__335ebc47cd2604a5.pdf</ns0:t>
        </ns0:is>
      </ns0:c>
    </ns0:row>
    <ns0:row r="167" ht="48" customHeight="1">
      <ns0:c r="A167" s="3" t="inlineStr">
        <ns0:is>
          <ns0:t>R11724</ns0:t>
        </ns0:is>
      </ns0:c>
      <ns0:c r="B167" s="3" t="inlineStr">
        <ns0:is>
          <ns0:t>Insight into the role of intermittent microaeration in enhancing lignocellulose-containing anaerobic digestion and humic substances formation</ns0:t>
        </ns0:is>
      </ns0:c>
      <ns0:c r="C167" s="3" t="inlineStr">
        <ns0:is>
          <ns0:t>10.1016/j.cej.2025.166500</ns0:t>
        </ns0:is>
      </ns0:c>
      <ns0:c r="D167" s="3" t="inlineStr">
        <ns0:is>
          <ns0:t>supplementary</ns0:t>
        </ns0:is>
      </ns0:c>
      <ns0:c r="E167" s="3" t="inlineStr"/>
      <ns0:c r="F167" s="3" t="inlineStr">
        <ns0:is>
          <ns0:t>supplementary.docx</ns0:t>
        </ns0:is>
      </ns0:c>
      <ns0:c r="G167" s="3" t="inlineStr">
        <ns0:is>
          <ns0:t>original_files/R11724/supplementary/supplementary__3367aba3cbd3f6df.docx</ns0:t>
        </ns0:is>
      </ns0:c>
      <ns0:c r="H167" s="3" t="inlineStr">
        <ns0:is>
          <ns0:t>local_upload</ns0:t>
        </ns0:is>
      </ns0:c>
      <ns0:c r="I167" s="3" t="inlineStr">
        <ns0:is>
          <ns0:t>localdownload/R11724/supplementary.docx</ns0:t>
        </ns0:is>
      </ns0:c>
      <ns0:c r="J167" s="3" t="n">
        <ns0:v>46428</ns0:v>
      </ns0:c>
      <ns0:c r="K167" s="3" t="inlineStr">
        <ns0:is>
          <ns0:t>3367aba3cbd3f6df6be15981ba82e36f817e09a21d45b5e070061bea82a73057</ns0:t>
        </ns0:is>
      </ns0:c>
      <ns0:c r="L167" s="3" t="inlineStr">
        <ns0:is>
          <ns0:t>container_crc_verified</ns0:t>
        </ns0:is>
      </ns0:c>
      <ns0:c r="M167" s="3" t="inlineStr">
        <ns0:is>
          <ns0:t>directory_and_content_consistent_identity_pending</ns0:t>
        </ns0:is>
      </ns0:c>
      <ns0:c r="N167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167" s="3" t="inlineStr">
        <ns0:is>
          <ns0:t>https://github.com/Colliam-Vermilion/FirstCodex/blob/results/ad-oxygen-literature-20261006/results/ad-oxygen-literature-20261006/original_files/R11724/supplementary/supplementary__3367aba3cbd3f6df.docx</ns0:t>
        </ns0:is>
      </ns0:c>
    </ns0:row>
    <ns0:row r="168" ht="48" customHeight="1">
      <ns0:c r="A168" s="2" t="inlineStr">
        <ns0:is>
          <ns0:t>R13671</ns0:t>
        </ns0:is>
      </ns0:c>
      <ns0:c r="B168" s="2" t="inlineStr">
        <ns0:is>
          <ns0:t>Synchronously enhanced methanogenesis performance and reduced antibiotic resistance genes of cattle manure anaerobic digestion by air nanobubble water</ns0:t>
        </ns0:is>
      </ns0:c>
      <ns0:c r="C168" s="2" t="inlineStr">
        <ns0:is>
          <ns0:t>10.1016/j.biortech.2026.134704</ns0:t>
        </ns0:is>
      </ns0:c>
      <ns0:c r="D168" s="2" t="inlineStr">
        <ns0:is>
          <ns0:t>supplementary</ns0:t>
        </ns0:is>
      </ns0:c>
      <ns0:c r="E168" s="2" t="inlineStr"/>
      <ns0:c r="F168" s="2" t="inlineStr">
        <ns0:is>
          <ns0:t>supplementary.docx</ns0:t>
        </ns0:is>
      </ns0:c>
      <ns0:c r="G168" s="2" t="inlineStr">
        <ns0:is>
          <ns0:t>original_files/R13671/supplementary/supplementary__33a5ff10f2b66130.docx</ns0:t>
        </ns0:is>
      </ns0:c>
      <ns0:c r="H168" s="2" t="inlineStr">
        <ns0:is>
          <ns0:t>local_upload</ns0:t>
        </ns0:is>
      </ns0:c>
      <ns0:c r="I168" s="2" t="inlineStr">
        <ns0:is>
          <ns0:t>localdownload/R13671/supplementary.docx</ns0:t>
        </ns0:is>
      </ns0:c>
      <ns0:c r="J168" s="2" t="n">
        <ns0:v>1848099</ns0:v>
      </ns0:c>
      <ns0:c r="K168" s="2" t="inlineStr">
        <ns0:is>
          <ns0:t>33a5ff10f2b661300c8bad10238c585bb027b378578348e81ec1c71effde8da5</ns0:t>
        </ns0:is>
      </ns0:c>
      <ns0:c r="L168" s="2" t="inlineStr">
        <ns0:is>
          <ns0:t>container_crc_verified</ns0:t>
        </ns0:is>
      </ns0:c>
      <ns0:c r="M168" s="2" t="inlineStr">
        <ns0:is>
          <ns0:t>title_in_attachment_verified</ns0:t>
        </ns0:is>
      </ns0:c>
      <ns0:c r="N168" s="2" t="inlineStr"/>
      <ns0:c r="O168" s="2" t="inlineStr">
        <ns0:is>
          <ns0:t>https://github.com/Colliam-Vermilion/FirstCodex/blob/results/ad-oxygen-literature-20261006/results/ad-oxygen-literature-20261006/original_files/R13671/supplementary/supplementary__33a5ff10f2b66130.docx</ns0:t>
        </ns0:is>
      </ns0:c>
    </ns0:row>
    <ns0:row r="169" ht="48" customHeight="1">
      <ns0:c r="A169" s="3" t="inlineStr">
        <ns0:is>
          <ns0:t>R06034</ns0:t>
        </ns0:is>
      </ns0:c>
      <ns0:c r="B169" s="3" t="inlineStr">
        <ns0:is>
          <ns0:t>Rapid Two Stage Anaerobic Digestion of Nejayote through Microaeration and Direct Interspecies Electron Transfer</ns0:t>
        </ns0:is>
      </ns0:c>
      <ns0:c r="C169" s="3" t="inlineStr">
        <ns0:is>
          <ns0:t>10.3390/pr8121614</ns0:t>
        </ns0:is>
      </ns0:c>
      <ns0:c r="D169" s="3" t="inlineStr">
        <ns0:is>
          <ns0:t>fulltext</ns0:t>
        </ns0:is>
      </ns0:c>
      <ns0:c r="E169" s="3" t="inlineStr">
        <ns0:is>
          <ns0:t>出版版本（原页出版信息）</ns0:t>
        </ns0:is>
      </ns0:c>
      <ns0:c r="F169" s="3" t="inlineStr">
        <ns0:is>
          <ns0:t>R06034_2020_Rapid_Two_Stage_Anaerobic_Digestion_of_Nejayote_through_Microaeration.pdf</ns0:t>
        </ns0:is>
      </ns0:c>
      <ns0:c r="G169" s="3" t="inlineStr">
        <ns0:is>
          <ns0:t>original_files/R06034/fulltext/fulltext__published__3418fe158b2a1017.pdf</ns0:t>
        </ns0:is>
      </ns0:c>
      <ns0:c r="H169" s="3" t="inlineStr">
        <ns0:is>
          <ns0:t>cloud_existing</ns0:t>
        </ns0:is>
      </ns0:c>
      <ns0:c r="I169" s="3" t="inlineStr">
        <ns0:is>
          <ns0:t>original_files/fulltext/R06034_2020_Rapid_Two_Stage_Anaerobic_Digestion_of_Nejayote_through_Microaeration.pdf</ns0:t>
        </ns0:is>
      </ns0:c>
      <ns0:c r="J169" s="3" t="n">
        <ns0:v>3172841</ns0:v>
      </ns0:c>
      <ns0:c r="K169" s="3" t="inlineStr">
        <ns0:is>
          <ns0:t>3418fe158b2a101741a3c5d52fa30ad793a0f720b62c8d8bf855ea8b7cf648d9</ns0:t>
        </ns0:is>
      </ns0:c>
      <ns0:c r="L169" s="3" t="inlineStr">
        <ns0:is>
          <ns0:t>identity_and_body_structure_verified</ns0:t>
        </ns0:is>
      </ns0:c>
      <ns0:c r="M169" s="3" t="inlineStr"/>
      <ns0:c r="N169" s="3" t="inlineStr">
        <ns0:is>
          <ns0:t>首页/前两页题名作者或目标DOI核对，全部页面解析及正文结构检查；不据文件名判全文。</ns0:t>
        </ns0:is>
      </ns0:c>
      <ns0:c r="O169" s="3" t="inlineStr">
        <ns0:is>
          <ns0:t>https://github.com/Colliam-Vermilion/FirstCodex/blob/results/ad-oxygen-literature-20261006/results/ad-oxygen-literature-20261006/original_files/R06034/fulltext/fulltext__published__3418fe158b2a1017.pdf</ns0:t>
        </ns0:is>
      </ns0:c>
    </ns0:row>
    <ns0:row r="170" ht="48" customHeight="1">
      <ns0:c r="A170" s="2" t="inlineStr">
        <ns0:is>
          <ns0:t>R02188</ns0:t>
        </ns0:is>
      </ns0:c>
      <ns0:c r="B170" s="2" t="inlineStr">
        <ns0:is>
          <ns0:t>The thermophilic (55 °C) microaerobic pretreatment of corn straw for anaerobic digestion</ns0:t>
        </ns0:is>
      </ns0:c>
      <ns0:c r="C170" s="2" t="inlineStr">
        <ns0:is>
          <ns0:t>10.1016/j.biortech.2014.10.072</ns0:t>
        </ns0:is>
      </ns0:c>
      <ns0:c r="D170" s="2" t="inlineStr">
        <ns0:is>
          <ns0:t>supplementary</ns0:t>
        </ns0:is>
      </ns0:c>
      <ns0:c r="E170" s="2" t="inlineStr"/>
      <ns0:c r="F170" s="2" t="inlineStr">
        <ns0:is>
          <ns0:t>supplementary.doc</ns0:t>
        </ns0:is>
      </ns0:c>
      <ns0:c r="G170" s="2" t="inlineStr">
        <ns0:is>
          <ns0:t>original_files/R02188/supplementary/supplementary__341e3f61107726d5.doc</ns0:t>
        </ns0:is>
      </ns0:c>
      <ns0:c r="H170" s="2" t="inlineStr">
        <ns0:is>
          <ns0:t>local_upload</ns0:t>
        </ns0:is>
      </ns0:c>
      <ns0:c r="I170" s="2" t="inlineStr">
        <ns0:is>
          <ns0:t>localdownload/R02188/supplementary.doc</ns0:t>
        </ns0:is>
      </ns0:c>
      <ns0:c r="J170" s="2" t="n">
        <ns0:v>12909568</ns0:v>
      </ns0:c>
      <ns0:c r="K170" s="2" t="inlineStr">
        <ns0:is>
          <ns0:t>341e3f61107726d5b9a34760bdcf985dcde7fa6b5527a89c8abd47f356cc3c98</ns0:t>
        </ns0:is>
      </ns0:c>
      <ns0:c r="L170" s="2" t="inlineStr">
        <ns0:is>
          <ns0:t>legacy_word_decoded_with_antiword</ns0:t>
        </ns0:is>
      </ns0:c>
      <ns0:c r="M170" s="2" t="inlineStr">
        <ns0:is>
          <ns0:t>title_in_attachment_verified</ns0:t>
        </ns0:is>
      </ns0:c>
      <ns0:c r="N170" s="2" t="inlineStr"/>
      <ns0:c r="O170" s="2" t="inlineStr">
        <ns0:is>
          <ns0:t>https://github.com/Colliam-Vermilion/FirstCodex/blob/results/ad-oxygen-literature-20261006/results/ad-oxygen-literature-20261006/original_files/R02188/supplementary/supplementary__341e3f61107726d5.doc</ns0:t>
        </ns0:is>
      </ns0:c>
    </ns0:row>
    <ns0:row r="171" ht="48" customHeight="1">
      <ns0:c r="A171" s="3" t="inlineStr">
        <ns0:is>
          <ns0:t>R13937</ns0:t>
        </ns0:is>
      </ns0:c>
      <ns0:c r="B171" s="3" t="inlineStr">
        <ns0:is>
          <ns0:t>Effect of circulation and micro-aeration on sludge characteristics and microbial community in an ABR for treating traditional Chinese medicine wastewater</ns0:t>
        </ns0:is>
      </ns0:c>
      <ns0:c r="C171" s="3" t="inlineStr">
        <ns0:is>
          <ns0:t>10.1080/09593330.2019.1604818</ns0:t>
        </ns0:is>
      </ns0:c>
      <ns0:c r="D171" s="3" t="inlineStr">
        <ns0:is>
          <ns0:t>supplementary</ns0:t>
        </ns0:is>
      </ns0:c>
      <ns0:c r="E171" s="3" t="inlineStr"/>
      <ns0:c r="F171" s="3" t="inlineStr">
        <ns0:is>
          <ns0:t>tent_a_1604818_sm5908.doc</ns0:t>
        </ns0:is>
      </ns0:c>
      <ns0:c r="G171" s="3" t="inlineStr">
        <ns0:is>
          <ns0:t>original_files/R13937/supplementary/supplementary__34b67bd6389ff22b.doc</ns0:t>
        </ns0:is>
      </ns0:c>
      <ns0:c r="H171" s="3" t="inlineStr">
        <ns0:is>
          <ns0:t>local_upload</ns0:t>
        </ns0:is>
      </ns0:c>
      <ns0:c r="I171" s="3" t="inlineStr">
        <ns0:is>
          <ns0:t>localdownload/R13937/tent_a_1604818_sm5908.doc</ns0:t>
        </ns0:is>
      </ns0:c>
      <ns0:c r="J171" s="3" t="n">
        <ns0:v>934400</ns0:v>
      </ns0:c>
      <ns0:c r="K171" s="3" t="inlineStr">
        <ns0:is>
          <ns0:t>34b67bd6389ff22beded674c64ef0cd50a4c8a79441b2b6b1ca8f71088b359ba</ns0:t>
        </ns0:is>
      </ns0:c>
      <ns0:c r="L171" s="3" t="inlineStr">
        <ns0:is>
          <ns0:t>legacy_word_decoded_with_antiword</ns0:t>
        </ns0:is>
      </ns0:c>
      <ns0:c r="M171" s="3" t="inlineStr">
        <ns0:is>
          <ns0:t>directory_and_content_consistent_identity_pending</ns0:t>
        </ns0:is>
      </ns0:c>
      <ns0:c r="N171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171" s="3" t="inlineStr">
        <ns0:is>
          <ns0:t>https://github.com/Colliam-Vermilion/FirstCodex/blob/results/ad-oxygen-literature-20261006/results/ad-oxygen-literature-20261006/original_files/R13937/supplementary/supplementary__34b67bd6389ff22b.doc</ns0:t>
        </ns0:is>
      </ns0:c>
    </ns0:row>
    <ns0:row r="172" ht="48" customHeight="1">
      <ns0:c r="A172" s="2" t="inlineStr">
        <ns0:is>
          <ns0:t>R12985</ns0:t>
        </ns0:is>
      </ns0:c>
      <ns0:c r="B172" s="2" t="inlineStr">
        <ns0:is>
          <ns0:t>Evaluation of Anaerobic Digestion Amended with Micro-Aeration and/or Sound Treatment on the Resistome and Virulence Factor Gene Profiles in Poultry Litter</ns0:t>
        </ns0:is>
      </ns0:c>
      <ns0:c r="C172" s="2" t="inlineStr">
        <ns0:is>
          <ns0:t>10.3390/antibiotics15020153</ns0:t>
        </ns0:is>
      </ns0:c>
      <ns0:c r="D172" s="2" t="inlineStr">
        <ns0:is>
          <ns0:t>derived</ns0:t>
        </ns0:is>
      </ns0:c>
      <ns0:c r="E172" s="2" t="inlineStr"/>
      <ns0:c r="F172" s="2" t="inlineStr">
        <ns0:is>
          <ns0:t>Supplementary Table S3- ARGs detected.xlsx</ns0:t>
        </ns0:is>
      </ns0:c>
      <ns0:c r="G172" s="2" t="inlineStr">
        <ns0:is>
          <ns0:t>original_files/R12985/derived/derived__3591be2bdae6839f.xlsx</ns0:t>
        </ns0:is>
      </ns0:c>
      <ns0:c r="H172" s="2" t="inlineStr">
        <ns0:is>
          <ns0:t>cloud_existing</ns0:t>
        </ns0:is>
      </ns0:c>
      <ns0:c r="I172" s="2" t="inlineStr">
        <ns0:is>
          <ns0:t>original_files/supplementary/R12985/extracted/Supplementary Table S3- ARGs detected.xlsx</ns0:t>
        </ns0:is>
      </ns0:c>
      <ns0:c r="J172" s="2" t="n">
        <ns0:v>22225</ns0:v>
      </ns0:c>
      <ns0:c r="K172" s="2" t="inlineStr">
        <ns0:is>
          <ns0:t>3591be2bdae6839fb4e7c255178242754358e42f9506e1c43e155534f1e27f8c</ns0:t>
        </ns0:is>
      </ns0:c>
      <ns0:c r="L172" s="2" t="inlineStr">
        <ns0:is>
          <ns0:t>xlsx_open_and_zip_crc_verified</ns0:t>
        </ns0:is>
      </ns0:c>
      <ns0:c r="M172" s="2" t="inlineStr"/>
      <ns0:c r="N172" s="2" t="inlineStr"/>
      <ns0:c r="O172" s="2" t="inlineStr">
        <ns0:is>
          <ns0:t>https://github.com/Colliam-Vermilion/FirstCodex/blob/results/ad-oxygen-literature-20261006/results/ad-oxygen-literature-20261006/original_files/R12985/derived/derived__3591be2bdae6839f.xlsx</ns0:t>
        </ns0:is>
      </ns0:c>
    </ns0:row>
    <ns0:row r="173" ht="48" customHeight="1">
      <ns0:c r="A173" s="3" t="inlineStr">
        <ns0:is>
          <ns0:t>R13956</ns0:t>
        </ns0:is>
      </ns0:c>
      <ns0:c r="B173" s="3" t="inlineStr">
        <ns0:is>
          <ns0:t>Anaerobic digestion of mixed dried fallen leaves by mixing with cow dung</ns0:t>
        </ns0:is>
      </ns0:c>
      <ns0:c r="C173" s="3" t="inlineStr">
        <ns0:is>
          <ns0:t>10.3329/bjsir.v50i3.25579</ns0:t>
        </ns0:is>
      </ns0:c>
      <ns0:c r="D173" s="3" t="inlineStr">
        <ns0:is>
          <ns0:t>source_evidence</ns0:t>
        </ns0:is>
      </ns0:c>
      <ns0:c r="E173" s="3" t="inlineStr"/>
      <ns0:c r="F173" s="3" t="inlineStr">
        <ns0:is>
          <ns0:t>publisher_article_page_20261017.html</ns0:t>
        </ns0:is>
      </ns0:c>
      <ns0:c r="G173" s="3" t="inlineStr">
        <ns0:is>
          <ns0:t>original_files/R13956/evidence/source_evidence__3640bee52075449e.html</ns0:t>
        </ns0:is>
      </ns0:c>
      <ns0:c r="H173" s="3" t="inlineStr">
        <ns0:is>
          <ns0:t>cloud_existing</ns0:t>
        </ns0:is>
      </ns0:c>
      <ns0:c r="I173" s="3" t="inlineStr">
        <ns0:is>
          <ns0:t>original_files/source_evidence/R13956/publisher_article_page_20261017.html</ns0:t>
        </ns0:is>
      </ns0:c>
      <ns0:c r="J173" s="3" t="n">
        <ns0:v>34230</ns0:v>
      </ns0:c>
      <ns0:c r="K173" s="3" t="inlineStr">
        <ns0:is>
          <ns0:t>3640bee52075449e6b091023feded6b138153a572de130c2e96a7ee6f06b62d1</ns0:t>
        </ns0:is>
      </ns0:c>
      <ns0:c r="L173" s="3" t="inlineStr">
        <ns0:is>
          <ns0:t>text_readable</ns0:t>
        </ns0:is>
      </ns0:c>
      <ns0:c r="M173" s="3" t="inlineStr"/>
      <ns0:c r="N173" s="3" t="inlineStr"/>
      <ns0:c r="O173" s="3" t="inlineStr">
        <ns0:is>
          <ns0:t>https://github.com/Colliam-Vermilion/FirstCodex/blob/results/ad-oxygen-literature-20261006/results/ad-oxygen-literature-20261006/original_files/R13956/evidence/source_evidence__3640bee52075449e.html</ns0:t>
        </ns0:is>
      </ns0:c>
    </ns0:row>
    <ns0:row r="174" ht="48" customHeight="1">
      <ns0:c r="A174" s="2" t="inlineStr">
        <ns0:is>
          <ns0:t>R13904</ns0:t>
        </ns0:is>
      </ns0:c>
      <ns0:c r="B174" s="2" t="inlineStr">
        <ns0:is>
          <ns0:t>Short-term aerobic pretreatment of swine manure enhances short-chain fatty acid production in anaerobic fermentation: performance and mechanisms</ns0:t>
        </ns0:is>
      </ns0:c>
      <ns0:c r="C174" s="2" t="inlineStr">
        <ns0:is>
          <ns0:t>10.1007/s00449-026-03401-y</ns0:t>
        </ns0:is>
      </ns0:c>
      <ns0:c r="D174" s="2" t="inlineStr">
        <ns0:is>
          <ns0:t>supplementary</ns0:t>
        </ns0:is>
      </ns0:c>
      <ns0:c r="E174" s="2" t="inlineStr"/>
      <ns0:c r="F174" s="2" t="inlineStr">
        <ns0:is>
          <ns0:t>supplementary.docx</ns0:t>
        </ns0:is>
      </ns0:c>
      <ns0:c r="G174" s="2" t="inlineStr">
        <ns0:is>
          <ns0:t>original_files/R13904/supplementary/supplementary__36600127b1333dd2.docx</ns0:t>
        </ns0:is>
      </ns0:c>
      <ns0:c r="H174" s="2" t="inlineStr">
        <ns0:is>
          <ns0:t>local_upload</ns0:t>
        </ns0:is>
      </ns0:c>
      <ns0:c r="I174" s="2" t="inlineStr">
        <ns0:is>
          <ns0:t>localdownload/R13904/supplementary.docx</ns0:t>
        </ns0:is>
      </ns0:c>
      <ns0:c r="J174" s="2" t="n">
        <ns0:v>968881</ns0:v>
      </ns0:c>
      <ns0:c r="K174" s="2" t="inlineStr">
        <ns0:is>
          <ns0:t>36600127b1333dd26c5573c6e99ea5a6caad19ec3511ec592c30743199ddc513</ns0:t>
        </ns0:is>
      </ns0:c>
      <ns0:c r="L174" s="2" t="inlineStr">
        <ns0:is>
          <ns0:t>container_crc_verified</ns0:t>
        </ns0:is>
      </ns0:c>
      <ns0:c r="M174" s="2" t="inlineStr">
        <ns0:is>
          <ns0:t>title_in_attachment_verified</ns0:t>
        </ns0:is>
      </ns0:c>
      <ns0:c r="N174" s="2" t="inlineStr"/>
      <ns0:c r="O174" s="2" t="inlineStr">
        <ns0:is>
          <ns0:t>https://github.com/Colliam-Vermilion/FirstCodex/blob/results/ad-oxygen-literature-20261006/results/ad-oxygen-literature-20261006/original_files/R13904/supplementary/supplementary__36600127b1333dd2.docx</ns0:t>
        </ns0:is>
      </ns0:c>
    </ns0:row>
    <ns0:row r="175" ht="48" customHeight="1">
      <ns0:c r="A175" s="3" t="inlineStr">
        <ns0:is>
          <ns0:t>R13871</ns0:t>
        </ns0:is>
      </ns0:c>
      <ns0:c r="B175" s="3" t="inlineStr">
        <ns0:is>
          <ns0:t>Application of Microbubbles Generated by Fluidic Oscillation in the Anaerobic Digestion Process</ns0:t>
        </ns0:is>
      </ns0:c>
      <ns0:c r="C175" s="3" t="inlineStr"/>
      <ns0:c r="D175" s="3" t="inlineStr">
        <ns0:is>
          <ns0:t>source_evidence</ns0:t>
        </ns0:is>
      </ns0:c>
      <ns0:c r="E175" s="3" t="inlineStr"/>
      <ns0:c r="F175" s="3" t="inlineStr">
        <ns0:is>
          <ns0:t>publisher_article_page_20261017.html</ns0:t>
        </ns0:is>
      </ns0:c>
      <ns0:c r="G175" s="3" t="inlineStr">
        <ns0:is>
          <ns0:t>original_files/R13871/evidence/source_evidence__3727e77765eaa78b.html</ns0:t>
        </ns0:is>
      </ns0:c>
      <ns0:c r="H175" s="3" t="inlineStr">
        <ns0:is>
          <ns0:t>cloud_existing</ns0:t>
        </ns0:is>
      </ns0:c>
      <ns0:c r="I175" s="3" t="inlineStr">
        <ns0:is>
          <ns0:t>original_files/source_evidence/R13871/publisher_article_page_20261017.html</ns0:t>
        </ns0:is>
      </ns0:c>
      <ns0:c r="J175" s="3" t="n">
        <ns0:v>30506</ns0:v>
      </ns0:c>
      <ns0:c r="K175" s="3" t="inlineStr">
        <ns0:is>
          <ns0:t>3727e77765eaa78b6b37b69cc894e316a50d9870d39aa5e66a926ae718895b45</ns0:t>
        </ns0:is>
      </ns0:c>
      <ns0:c r="L175" s="3" t="inlineStr">
        <ns0:is>
          <ns0:t>text_readable</ns0:t>
        </ns0:is>
      </ns0:c>
      <ns0:c r="M175" s="3" t="inlineStr"/>
      <ns0:c r="N175" s="3" t="inlineStr"/>
      <ns0:c r="O175" s="3" t="inlineStr">
        <ns0:is>
          <ns0:t>https://github.com/Colliam-Vermilion/FirstCodex/blob/results/ad-oxygen-literature-20261006/results/ad-oxygen-literature-20261006/original_files/R13871/evidence/source_evidence__3727e77765eaa78b.html</ns0:t>
        </ns0:is>
      </ns0:c>
    </ns0:row>
    <ns0:row r="176" ht="48" customHeight="1">
      <ns0:c r="A176" s="2" t="inlineStr">
        <ns0:is>
          <ns0:t>R12951</ns0:t>
        </ns0:is>
      </ns0:c>
      <ns0:c r="B176" s="2" t="inlineStr">
        <ns0:is>
          <ns0:t>Enhancing anaerobic co-digestion of poultry litter and wheat straw via integrated microaeration, biochar, and nanoparticle strategies: Kinetic, microbial, and economic insights</ns0:t>
        </ns0:is>
      </ns0:c>
      <ns0:c r="C176" s="2" t="inlineStr">
        <ns0:is>
          <ns0:t>10.1016/j.jece.2026.123307</ns0:t>
        </ns0:is>
      </ns0:c>
      <ns0:c r="D176" s="2" t="inlineStr">
        <ns0:is>
          <ns0:t>supplementary</ns0:t>
        </ns0:is>
      </ns0:c>
      <ns0:c r="E176" s="2" t="inlineStr"/>
      <ns0:c r="F176" s="2" t="inlineStr">
        <ns0:is>
          <ns0:t>supplementary.docx</ns0:t>
        </ns0:is>
      </ns0:c>
      <ns0:c r="G176" s="2" t="inlineStr">
        <ns0:is>
          <ns0:t>original_files/R12951/supplementary/supplementary__373110b5daf66529.docx</ns0:t>
        </ns0:is>
      </ns0:c>
      <ns0:c r="H176" s="2" t="inlineStr">
        <ns0:is>
          <ns0:t>local_upload</ns0:t>
        </ns0:is>
      </ns0:c>
      <ns0:c r="I176" s="2" t="inlineStr">
        <ns0:is>
          <ns0:t>localdownload/R12951/supplementary.docx</ns0:t>
        </ns0:is>
      </ns0:c>
      <ns0:c r="J176" s="2" t="n">
        <ns0:v>1748060</ns0:v>
      </ns0:c>
      <ns0:c r="K176" s="2" t="inlineStr">
        <ns0:is>
          <ns0:t>373110b5daf665298cb3154a616c53dde68ebeebb5594fe53fba30ef6d334cfe</ns0:t>
        </ns0:is>
      </ns0:c>
      <ns0:c r="L176" s="2" t="inlineStr">
        <ns0:is>
          <ns0:t>container_crc_verified</ns0:t>
        </ns0:is>
      </ns0:c>
      <ns0:c r="M176" s="2" t="inlineStr">
        <ns0:is>
          <ns0:t>title_in_attachment_verified</ns0:t>
        </ns0:is>
      </ns0:c>
      <ns0:c r="N176" s="2" t="inlineStr"/>
      <ns0:c r="O176" s="2" t="inlineStr">
        <ns0:is>
          <ns0:t>https://github.com/Colliam-Vermilion/FirstCodex/blob/results/ad-oxygen-literature-20261006/results/ad-oxygen-literature-20261006/original_files/R12951/supplementary/supplementary__373110b5daf66529.docx</ns0:t>
        </ns0:is>
      </ns0:c>
    </ns0:row>
    <ns0:row r="177" ht="48" customHeight="1">
      <ns0:c r="A177" s="3" t="inlineStr">
        <ns0:is>
          <ns0:t>R12841</ns0:t>
        </ns0:is>
      </ns0:c>
      <ns0:c r="B177" s="3" t="inlineStr">
        <ns0:is>
          <ns0:t>Dose-response effects of microaeration on thermophilic lignocellulose-based anaerobic digestion: performance, stability and microbial community dynamics</ns0:t>
        </ns0:is>
      </ns0:c>
      <ns0:c r="C177" s="3" t="inlineStr">
        <ns0:is>
          <ns0:t>10.1016/j.biteb.2026.102593</ns0:t>
        </ns0:is>
      </ns0:c>
      <ns0:c r="D177" s="3" t="inlineStr">
        <ns0:is>
          <ns0:t>supplementary</ns0:t>
        </ns0:is>
      </ns0:c>
      <ns0:c r="E177" s="3" t="inlineStr"/>
      <ns0:c r="F177" s="3" t="inlineStr">
        <ns0:is>
          <ns0:t>supplementary.docx</ns0:t>
        </ns0:is>
      </ns0:c>
      <ns0:c r="G177" s="3" t="inlineStr">
        <ns0:is>
          <ns0:t>original_files/R12841/supplementary/supplementary__383ac2077a99b78c.docx</ns0:t>
        </ns0:is>
      </ns0:c>
      <ns0:c r="H177" s="3" t="inlineStr">
        <ns0:is>
          <ns0:t>local_upload</ns0:t>
        </ns0:is>
      </ns0:c>
      <ns0:c r="I177" s="3" t="inlineStr">
        <ns0:is>
          <ns0:t>localdownload/R12841/supplementary.docx</ns0:t>
        </ns0:is>
      </ns0:c>
      <ns0:c r="J177" s="3" t="n">
        <ns0:v>96708</ns0:v>
      </ns0:c>
      <ns0:c r="K177" s="3" t="inlineStr">
        <ns0:is>
          <ns0:t>383ac2077a99b78c9e32d8c6a7f201ec13a8f41573a1564ebbd1a18ecd0292f8</ns0:t>
        </ns0:is>
      </ns0:c>
      <ns0:c r="L177" s="3" t="inlineStr">
        <ns0:is>
          <ns0:t>container_crc_verified</ns0:t>
        </ns0:is>
      </ns0:c>
      <ns0:c r="M177" s="3" t="inlineStr">
        <ns0:is>
          <ns0:t>title_in_attachment_verified</ns0:t>
        </ns0:is>
      </ns0:c>
      <ns0:c r="N177" s="3" t="inlineStr"/>
      <ns0:c r="O177" s="3" t="inlineStr">
        <ns0:is>
          <ns0:t>https://github.com/Colliam-Vermilion/FirstCodex/blob/results/ad-oxygen-literature-20261006/results/ad-oxygen-literature-20261006/original_files/R12841/supplementary/supplementary__383ac2077a99b78c.docx</ns0:t>
        </ns0:is>
      </ns0:c>
    </ns0:row>
    <ns0:row r="178" ht="48" customHeight="1">
      <ns0:c r="A178" s="2" t="inlineStr">
        <ns0:is>
          <ns0:t>R13901</ns0:t>
        </ns0:is>
      </ns0:c>
      <ns0:c r="B178" s="2" t="inlineStr">
        <ns0:is>
          <ns0:t>Effect of Aerobic Hydrolysis on Anaerobic Fermentation Characteristics of Various Parts of Corn Stover and the Scum Layer</ns0:t>
        </ns0:is>
      </ns0:c>
      <ns0:c r="C178" s="2" t="inlineStr">
        <ns0:is>
          <ns0:t>10.3390/en12030381</ns0:t>
        </ns0:is>
      </ns0:c>
      <ns0:c r="D178" s="2" t="inlineStr">
        <ns0:is>
          <ns0:t>fulltext</ns0:t>
        </ns0:is>
      </ns0:c>
      <ns0:c r="E178" s="2" t="inlineStr">
        <ns0:is>
          <ns0:t>出版版本（原页出版信息）</ns0:t>
        </ns0:is>
      </ns0:c>
      <ns0:c r="F178" s="2" t="inlineStr">
        <ns0:is>
          <ns0:t>R13901_2019_Effect_of_Aerobic_Hydrolysis_on_Anaerobic_Fermentation_Characteristics_of.pdf</ns0:t>
        </ns0:is>
      </ns0:c>
      <ns0:c r="G178" s="2" t="inlineStr">
        <ns0:is>
          <ns0:t>original_files/R13901/fulltext/fulltext__published__391926b6cc0c70ed.pdf</ns0:t>
        </ns0:is>
      </ns0:c>
      <ns0:c r="H178" s="2" t="inlineStr">
        <ns0:is>
          <ns0:t>cloud_existing</ns0:t>
        </ns0:is>
      </ns0:c>
      <ns0:c r="I178" s="2" t="inlineStr">
        <ns0:is>
          <ns0:t>original_files/fulltext/R13901_2019_Effect_of_Aerobic_Hydrolysis_on_Anaerobic_Fermentation_Characteristics_of.pdf</ns0:t>
        </ns0:is>
      </ns0:c>
      <ns0:c r="J178" s="2" t="n">
        <ns0:v>1649318</ns0:v>
      </ns0:c>
      <ns0:c r="K178" s="2" t="inlineStr">
        <ns0:is>
          <ns0:t>391926b6cc0c70edf30d8142cd7b817eef261c853f7037f0a3be6f3d556f2772</ns0:t>
        </ns0:is>
      </ns0:c>
      <ns0:c r="L178" s="2" t="inlineStr">
        <ns0:is>
          <ns0:t>identity_and_body_structure_verified</ns0:t>
        </ns0:is>
      </ns0:c>
      <ns0:c r="M178" s="2" t="inlineStr"/>
      <ns0:c r="N178" s="2" t="inlineStr">
        <ns0:is>
          <ns0:t>首页/前两页题名作者或目标DOI核对，全部页面解析及正文结构检查；不据文件名判全文。</ns0:t>
        </ns0:is>
      </ns0:c>
      <ns0:c r="O178" s="2" t="inlineStr">
        <ns0:is>
          <ns0:t>https://github.com/Colliam-Vermilion/FirstCodex/blob/results/ad-oxygen-literature-20261006/results/ad-oxygen-literature-20261006/original_files/R13901/fulltext/fulltext__published__391926b6cc0c70ed.pdf</ns0:t>
        </ns0:is>
      </ns0:c>
    </ns0:row>
    <ns0:row r="179" ht="48" customHeight="1">
      <ns0:c r="A179" s="3" t="inlineStr">
        <ns0:is>
          <ns0:t>R09568</ns0:t>
        </ns0:is>
      </ns0:c>
      <ns0:c r="B179" s="3" t="inlineStr">
        <ns0:is>
          <ns0:t>The fate of sulfamethoxazole and trimethoprim in a micro-aerated anaerobic membrane bioreactor and the occurrence of antibiotic resistance in the permeate</ns0:t>
        </ns0:is>
      </ns0:c>
      <ns0:c r="C179" s="3" t="inlineStr">
        <ns0:is>
          <ns0:t>10.2166/wst.2023.324</ns0:t>
        </ns0:is>
      </ns0:c>
      <ns0:c r="D179" s="3" t="inlineStr">
        <ns0:is>
          <ns0:t>fulltext</ns0:t>
        </ns0:is>
      </ns0:c>
      <ns0:c r="E179" s="3" t="inlineStr">
        <ns0:is>
          <ns0:t>出版版本（原页出版信息）</ns0:t>
        </ns0:is>
      </ns0:c>
      <ns0:c r="F179" s="3" t="inlineStr">
        <ns0:is>
          <ns0:t>R09568_2023_The_fate_of_sulfamethoxazole_and_trimethoprim_in_a_micro-aerated.pdf</ns0:t>
        </ns0:is>
      </ns0:c>
      <ns0:c r="G179" s="3" t="inlineStr">
        <ns0:is>
          <ns0:t>original_files/R09568/fulltext/fulltext__published__393322098ea47587.pdf</ns0:t>
        </ns0:is>
      </ns0:c>
      <ns0:c r="H179" s="3" t="inlineStr">
        <ns0:is>
          <ns0:t>cloud_existing</ns0:t>
        </ns0:is>
      </ns0:c>
      <ns0:c r="I179" s="3" t="inlineStr">
        <ns0:is>
          <ns0:t>original_files/fulltext/R09568_2023_The_fate_of_sulfamethoxazole_and_trimethoprim_in_a_micro-aerated.pdf</ns0:t>
        </ns0:is>
      </ns0:c>
      <ns0:c r="J179" s="3" t="n">
        <ns0:v>1433947</ns0:v>
      </ns0:c>
      <ns0:c r="K179" s="3" t="inlineStr">
        <ns0:is>
          <ns0:t>393322098ea4758738b0e338c3e0019bd8618611d25a41cf3535d9542a6c8d16</ns0:t>
        </ns0:is>
      </ns0:c>
      <ns0:c r="L179" s="3" t="inlineStr">
        <ns0:is>
          <ns0:t>identity_and_body_structure_verified</ns0:t>
        </ns0:is>
      </ns0:c>
      <ns0:c r="M179" s="3" t="inlineStr"/>
      <ns0:c r="N179" s="3" t="inlineStr">
        <ns0:is>
          <ns0:t>首页/前两页题名作者或目标DOI核对，全部页面解析及正文结构检查；不据文件名判全文。</ns0:t>
        </ns0:is>
      </ns0:c>
      <ns0:c r="O179" s="3" t="inlineStr">
        <ns0:is>
          <ns0:t>https://github.com/Colliam-Vermilion/FirstCodex/blob/results/ad-oxygen-literature-20261006/results/ad-oxygen-literature-20261006/original_files/R09568/fulltext/fulltext__published__393322098ea47587.pdf</ns0:t>
        </ns0:is>
      </ns0:c>
    </ns0:row>
    <ns0:row r="180" ht="48" customHeight="1">
      <ns0:c r="A180" s="2" t="inlineStr">
        <ns0:is>
          <ns0:t>R10761</ns0:t>
        </ns0:is>
      </ns0:c>
      <ns0:c r="B180" s="2" t="inlineStr">
        <ns0:is>
          <ns0:t>Role of polylactic acid microplastics during anaerobic co-digestion of cow manure and Chinese cabbage waste enhanced by nanobubble</ns0:t>
        </ns0:is>
      </ns0:c>
      <ns0:c r="C180" s="2" t="inlineStr">
        <ns0:is>
          <ns0:t>10.1016/j.chemosphere.2024.143639</ns0:t>
        </ns0:is>
      </ns0:c>
      <ns0:c r="D180" s="2" t="inlineStr">
        <ns0:is>
          <ns0:t>supplementary</ns0:t>
        </ns0:is>
      </ns0:c>
      <ns0:c r="E180" s="2" t="inlineStr"/>
      <ns0:c r="F180" s="2" t="inlineStr">
        <ns0:is>
          <ns0:t>supplementary.docx</ns0:t>
        </ns0:is>
      </ns0:c>
      <ns0:c r="G180" s="2" t="inlineStr">
        <ns0:is>
          <ns0:t>original_files/R10761/supplementary/supplementary__394c49ff288412f3.docx</ns0:t>
        </ns0:is>
      </ns0:c>
      <ns0:c r="H180" s="2" t="inlineStr">
        <ns0:is>
          <ns0:t>local_upload</ns0:t>
        </ns0:is>
      </ns0:c>
      <ns0:c r="I180" s="2" t="inlineStr">
        <ns0:is>
          <ns0:t>localdownload/R10761/supplementary.docx</ns0:t>
        </ns0:is>
      </ns0:c>
      <ns0:c r="J180" s="2" t="n">
        <ns0:v>13089357</ns0:v>
      </ns0:c>
      <ns0:c r="K180" s="2" t="inlineStr">
        <ns0:is>
          <ns0:t>394c49ff288412f360e727c5af31546a186d6ff936425911d1dd6d8d0138c774</ns0:t>
        </ns0:is>
      </ns0:c>
      <ns0:c r="L180" s="2" t="inlineStr">
        <ns0:is>
          <ns0:t>container_crc_verified</ns0:t>
        </ns0:is>
      </ns0:c>
      <ns0:c r="M180" s="2" t="inlineStr">
        <ns0:is>
          <ns0:t>title_in_attachment_verified</ns0:t>
        </ns0:is>
      </ns0:c>
      <ns0:c r="N180" s="2" t="inlineStr"/>
      <ns0:c r="O180" s="2" t="inlineStr">
        <ns0:is>
          <ns0:t>https://github.com/Colliam-Vermilion/FirstCodex/blob/results/ad-oxygen-literature-20261006/results/ad-oxygen-literature-20261006/original_files/R10761/supplementary/supplementary__394c49ff288412f3.docx</ns0:t>
        </ns0:is>
      </ns0:c>
    </ns0:row>
    <ns0:row r="181" ht="48" customHeight="1">
      <ns0:c r="A181" s="3" t="inlineStr">
        <ns0:is>
          <ns0:t>R13876</ns0:t>
        </ns0:is>
      </ns0:c>
      <ns0:c r="B181" s="3" t="inlineStr">
        <ns0:is>
          <ns0:t>Effect of limited air exposure and comparative performance between thermophilic and mesophilic solid-state anaerobic digestion of switchgrass.</ns0:t>
        </ns0:is>
      </ns0:c>
      <ns0:c r="C181" s="3" t="inlineStr">
        <ns0:is>
          <ns0:t>10.1016/j.biortech.2015.01.011</ns0:t>
        </ns0:is>
      </ns0:c>
      <ns0:c r="D181" s="3" t="inlineStr">
        <ns0:is>
          <ns0:t>fulltext</ns0:t>
        </ns0:is>
      </ns0:c>
      <ns0:c r="E181" s="3" t="inlineStr">
        <ns0:is>
          <ns0:t>出版版（版式及版权文字）</ns0:t>
        </ns0:is>
      </ns0:c>
      <ns0:c r="F181" s="3" t="inlineStr">
        <ns0:is>
          <ns0:t>fulltext.pdf</ns0:t>
        </ns0:is>
      </ns0:c>
      <ns0:c r="G181" s="3" t="inlineStr">
        <ns0:is>
          <ns0:t>original_files/R13876/fulltext/fulltext__published__3a1c1b61498d579e.pdf</ns0:t>
        </ns0:is>
      </ns0:c>
      <ns0:c r="H181" s="3" t="inlineStr">
        <ns0:is>
          <ns0:t>local_upload</ns0:t>
        </ns0:is>
      </ns0:c>
      <ns0:c r="I181" s="3" t="inlineStr">
        <ns0:is>
          <ns0:t>localdownload/R13876/fulltext.pdf</ns0:t>
        </ns0:is>
      </ns0:c>
      <ns0:c r="J181" s="3" t="n">
        <ns0:v>1275593</ns0:v>
      </ns0:c>
      <ns0:c r="K181" s="3" t="inlineStr">
        <ns0:is>
          <ns0:t>3a1c1b61498d579e456dd29d24e03686bac1b832868e6176d2e13d71f647ef8f</ns0:t>
        </ns0:is>
      </ns0:c>
      <ns0:c r="L181" s="3" t="inlineStr">
        <ns0:is>
          <ns0:t>identity_and_body_structure_verified</ns0:t>
        </ns0:is>
      </ns0:c>
      <ns0:c r="M181" s="3" t="inlineStr"/>
      <ns0:c r="N181" s="3" t="inlineStr">
        <ns0:is>
          <ns0:t>首页/前两页题名作者或目标DOI核对，全部页面解析及正文结构检查；不据文件名判全文。</ns0:t>
        </ns0:is>
      </ns0:c>
      <ns0:c r="O181" s="3" t="inlineStr">
        <ns0:is>
          <ns0:t>https://github.com/Colliam-Vermilion/FirstCodex/blob/results/ad-oxygen-literature-20261006/results/ad-oxygen-literature-20261006/original_files/R13876/fulltext/fulltext__published__3a1c1b61498d579e.pdf</ns0:t>
        </ns0:is>
      </ns0:c>
    </ns0:row>
    <ns0:row r="182" ht="48" customHeight="1">
      <ns0:c r="A182" s="2" t="inlineStr">
        <ns0:is>
          <ns0:t>R13875</ns0:t>
        </ns0:is>
      </ns0:c>
      <ns0:c r="B182" s="2" t="inlineStr">
        <ns0:is>
          <ns0:t>The potential of oxygen to improve the stability of anaerobic reactors during unbalanced conditions: results from a pilot-scale digester treating sewage sludge.</ns0:t>
        </ns0:is>
      </ns0:c>
      <ns0:c r="C182" s="2" t="inlineStr">
        <ns0:is>
          <ns0:t>10.1016/j.biortech.2013.04.066</ns0:t>
        </ns0:is>
      </ns0:c>
      <ns0:c r="D182" s="2" t="inlineStr">
        <ns0:is>
          <ns0:t>fulltext</ns0:t>
        </ns0:is>
      </ns0:c>
      <ns0:c r="E182" s="2" t="inlineStr">
        <ns0:is>
          <ns0:t>出版版（版式及版权文字）</ns0:t>
        </ns0:is>
      </ns0:c>
      <ns0:c r="F182" s="2" t="inlineStr">
        <ns0:is>
          <ns0:t>fulltext.pdf</ns0:t>
        </ns0:is>
      </ns0:c>
      <ns0:c r="G182" s="2" t="inlineStr">
        <ns0:is>
          <ns0:t>original_files/R13875/fulltext/fulltext__published__3b988a139cbae3e5.pdf</ns0:t>
        </ns0:is>
      </ns0:c>
      <ns0:c r="H182" s="2" t="inlineStr">
        <ns0:is>
          <ns0:t>local_upload</ns0:t>
        </ns0:is>
      </ns0:c>
      <ns0:c r="I182" s="2" t="inlineStr">
        <ns0:is>
          <ns0:t>localdownload/R13875/fulltext.pdf</ns0:t>
        </ns0:is>
      </ns0:c>
      <ns0:c r="J182" s="2" t="n">
        <ns0:v>950484</ns0:v>
      </ns0:c>
      <ns0:c r="K182" s="2" t="inlineStr">
        <ns0:is>
          <ns0:t>3b988a139cbae3e5c091db1e41640e5c330a822404c1078a52bb116dae9e7c1c</ns0:t>
        </ns0:is>
      </ns0:c>
      <ns0:c r="L182" s="2" t="inlineStr">
        <ns0:is>
          <ns0:t>identity_and_body_structure_verified</ns0:t>
        </ns0:is>
      </ns0:c>
      <ns0:c r="M182" s="2" t="inlineStr"/>
      <ns0:c r="N182" s="2" t="inlineStr">
        <ns0:is>
          <ns0:t>首页/前两页题名作者或目标DOI核对，全部页面解析及正文结构检查；不据文件名判全文。</ns0:t>
        </ns0:is>
      </ns0:c>
      <ns0:c r="O182" s="2" t="inlineStr">
        <ns0:is>
          <ns0:t>https://github.com/Colliam-Vermilion/FirstCodex/blob/results/ad-oxygen-literature-20261006/results/ad-oxygen-literature-20261006/original_files/R13875/fulltext/fulltext__published__3b988a139cbae3e5.pdf</ns0:t>
        </ns0:is>
      </ns0:c>
    </ns0:row>
    <ns0:row r="183" ht="48" customHeight="1">
      <ns0:c r="A183" s="3" t="inlineStr">
        <ns0:is>
          <ns0:t>R13887</ns0:t>
        </ns0:is>
      </ns0:c>
      <ns0:c r="B183" s="3" t="inlineStr">
        <ns0:is>
          <ns0:t>Enhanced solubilization of solid organics and methane production by anaerobic digestion of swine manure under nano-bubble water addition</ns0:t>
        </ns0:is>
      </ns0:c>
      <ns0:c r="C183" s="3" t="inlineStr">
        <ns0:is>
          <ns0:t>10.1016/j.biortech.2019.122512</ns0:t>
        </ns0:is>
      </ns0:c>
      <ns0:c r="D183" s="3" t="inlineStr">
        <ns0:is>
          <ns0:t>supplementary</ns0:t>
        </ns0:is>
      </ns0:c>
      <ns0:c r="E183" s="3" t="inlineStr"/>
      <ns0:c r="F183" s="3" t="inlineStr">
        <ns0:is>
          <ns0:t>supplementary.docx</ns0:t>
        </ns0:is>
      </ns0:c>
      <ns0:c r="G183" s="3" t="inlineStr">
        <ns0:is>
          <ns0:t>original_files/R13887/supplementary/supplementary__3c0fec7df4bed4a1.docx</ns0:t>
        </ns0:is>
      </ns0:c>
      <ns0:c r="H183" s="3" t="inlineStr">
        <ns0:is>
          <ns0:t>local_upload</ns0:t>
        </ns0:is>
      </ns0:c>
      <ns0:c r="I183" s="3" t="inlineStr">
        <ns0:is>
          <ns0:t>localdownload/R13887/supplementary.docx</ns0:t>
        </ns0:is>
      </ns0:c>
      <ns0:c r="J183" s="3" t="n">
        <ns0:v>25050</ns0:v>
      </ns0:c>
      <ns0:c r="K183" s="3" t="inlineStr">
        <ns0:is>
          <ns0:t>3c0fec7df4bed4a1a5d3c91b2f60c85c536e71bb611bf4ca9f346d7e99030d8f</ns0:t>
        </ns0:is>
      </ns0:c>
      <ns0:c r="L183" s="3" t="inlineStr">
        <ns0:is>
          <ns0:t>container_crc_verified</ns0:t>
        </ns0:is>
      </ns0:c>
      <ns0:c r="M183" s="3" t="inlineStr">
        <ns0:is>
          <ns0:t>title_in_attachment_verified</ns0:t>
        </ns0:is>
      </ns0:c>
      <ns0:c r="N183" s="3" t="inlineStr"/>
      <ns0:c r="O183" s="3" t="inlineStr">
        <ns0:is>
          <ns0:t>https://github.com/Colliam-Vermilion/FirstCodex/blob/results/ad-oxygen-literature-20261006/results/ad-oxygen-literature-20261006/original_files/R13887/supplementary/supplementary__3c0fec7df4bed4a1.docx</ns0:t>
        </ns0:is>
      </ns0:c>
    </ns0:row>
    <ns0:row r="184" ht="48" customHeight="1">
      <ns0:c r="A184" s="2" t="inlineStr">
        <ns0:is>
          <ns0:t>R13293</ns0:t>
        </ns0:is>
      </ns0:c>
      <ns0:c r="B184" s="2" t="inlineStr">
        <ns0:is>
          <ns0:t>Microbial Dynamics during the Removal of Linear Alkylbenzenesulfonate (LAS) under Anaerobic and Microaerobic Conditions with Different Co-substrates</ns0:t>
        </ns0:is>
      </ns0:c>
      <ns0:c r="C184" s="2" t="inlineStr">
        <ns0:is>
          <ns0:t>10.1021/acsomega.6c01030</ns0:t>
        </ns0:is>
      </ns0:c>
      <ns0:c r="D184" s="2" t="inlineStr">
        <ns0:is>
          <ns0:t>fulltext</ns0:t>
        </ns0:is>
      </ns0:c>
      <ns0:c r="E184" s="2" t="inlineStr">
        <ns0:is>
          <ns0:t>出版版（版式及版权文字）</ns0:t>
        </ns0:is>
      </ns0:c>
      <ns0:c r="F184" s="2" t="inlineStr">
        <ns0:is>
          <ns0:t>fulltext.pdf</ns0:t>
        </ns0:is>
      </ns0:c>
      <ns0:c r="G184" s="2" t="inlineStr">
        <ns0:is>
          <ns0:t>original_files/R13293/fulltext/fulltext__published__3c6fb447cba3ef2c.pdf</ns0:t>
        </ns0:is>
      </ns0:c>
      <ns0:c r="H184" s="2" t="inlineStr">
        <ns0:is>
          <ns0:t>local_upload</ns0:t>
        </ns0:is>
      </ns0:c>
      <ns0:c r="I184" s="2" t="inlineStr">
        <ns0:is>
          <ns0:t>localdownload/R13293/fulltext.pdf</ns0:t>
        </ns0:is>
      </ns0:c>
      <ns0:c r="J184" s="2" t="n">
        <ns0:v>6026657</ns0:v>
      </ns0:c>
      <ns0:c r="K184" s="2" t="inlineStr">
        <ns0:is>
          <ns0:t>3c6fb447cba3ef2c2522c78aa5fb6242ad21ad48acfc3aa946e90257d9e59d2c</ns0:t>
        </ns0:is>
      </ns0:c>
      <ns0:c r="L184" s="2" t="inlineStr">
        <ns0:is>
          <ns0:t>identity_and_body_structure_verified</ns0:t>
        </ns0:is>
      </ns0:c>
      <ns0:c r="M184" s="2" t="inlineStr"/>
      <ns0:c r="N184" s="2" t="inlineStr">
        <ns0:is>
          <ns0:t>首页/前两页题名作者或目标DOI核对，全部页面解析及正文结构检查；不据文件名判全文。</ns0:t>
        </ns0:is>
      </ns0:c>
      <ns0:c r="O184" s="2" t="inlineStr">
        <ns0:is>
          <ns0:t>https://github.com/Colliam-Vermilion/FirstCodex/blob/results/ad-oxygen-literature-20261006/results/ad-oxygen-literature-20261006/original_files/R13293/fulltext/fulltext__published__3c6fb447cba3ef2c.pdf</ns0:t>
        </ns0:is>
      </ns0:c>
    </ns0:row>
    <ns0:row r="185" ht="48" customHeight="1">
      <ns0:c r="A185" s="3" t="inlineStr">
        <ns0:is>
          <ns0:t>R06626</ns0:t>
        </ns0:is>
      </ns0:c>
      <ns0:c r="B185" s="3" t="inlineStr">
        <ns0:is>
          <ns0:t>Effects of micro-aeration on microbial niches and antimicrobial resistances in blackwater anaerobic digesters</ns0:t>
        </ns0:is>
      </ns0:c>
      <ns0:c r="C185" s="3" t="inlineStr">
        <ns0:is>
          <ns0:t>10.1016/j.watres.2021.117035</ns0:t>
        </ns0:is>
      </ns0:c>
      <ns0:c r="D185" s="3" t="inlineStr">
        <ns0:is>
          <ns0:t>fulltext</ns0:t>
        </ns0:is>
      </ns0:c>
      <ns0:c r="E185" s="3" t="inlineStr">
        <ns0:is>
          <ns0:t>出版版（版式及版权文字）</ns0:t>
        </ns0:is>
      </ns0:c>
      <ns0:c r="F185" s="3" t="inlineStr">
        <ns0:is>
          <ns0:t>fulltext.pdf</ns0:t>
        </ns0:is>
      </ns0:c>
      <ns0:c r="G185" s="3" t="inlineStr">
        <ns0:is>
          <ns0:t>original_files/R06626/fulltext/fulltext__published__3cbb8b7c1720fcfa.pdf</ns0:t>
        </ns0:is>
      </ns0:c>
      <ns0:c r="H185" s="3" t="inlineStr">
        <ns0:is>
          <ns0:t>local_upload</ns0:t>
        </ns0:is>
      </ns0:c>
      <ns0:c r="I185" s="3" t="inlineStr">
        <ns0:is>
          <ns0:t>localdownload/R06626/fulltext.pdf</ns0:t>
        </ns0:is>
      </ns0:c>
      <ns0:c r="J185" s="3" t="n">
        <ns0:v>3098038</ns0:v>
      </ns0:c>
      <ns0:c r="K185" s="3" t="inlineStr">
        <ns0:is>
          <ns0:t>3cbb8b7c1720fcfad5b78bf2b16f711152772757305cdc8729a1179cb77ec0c1</ns0:t>
        </ns0:is>
      </ns0:c>
      <ns0:c r="L185" s="3" t="inlineStr">
        <ns0:is>
          <ns0:t>identity_and_body_structure_verified</ns0:t>
        </ns0:is>
      </ns0:c>
      <ns0:c r="M185" s="3" t="inlineStr"/>
      <ns0:c r="N185" s="3" t="inlineStr">
        <ns0:is>
          <ns0:t>首页/前两页题名作者或目标DOI核对，全部页面解析及正文结构检查；不据文件名判全文。</ns0:t>
        </ns0:is>
      </ns0:c>
      <ns0:c r="O185" s="3" t="inlineStr">
        <ns0:is>
          <ns0:t>https://github.com/Colliam-Vermilion/FirstCodex/blob/results/ad-oxygen-literature-20261006/results/ad-oxygen-literature-20261006/original_files/R06626/fulltext/fulltext__published__3cbb8b7c1720fcfa.pdf</ns0:t>
        </ns0:is>
      </ns0:c>
    </ns0:row>
    <ns0:row r="186" ht="48" customHeight="1">
      <ns0:c r="A186" s="2" t="inlineStr">
        <ns0:is>
          <ns0:t>R13558</ns0:t>
        </ns0:is>
      </ns0:c>
      <ns0:c r="B186" s="2" t="inlineStr">
        <ns0:is>
          <ns0:t>Redox mediators and microaeration: overcoming linear alkylbenzene sulfonate recalcitrance in anaerobic reactors</ns0:t>
        </ns0:is>
      </ns0:c>
      <ns0:c r="C186" s="2" t="inlineStr">
        <ns0:is>
          <ns0:t>10.1590/s1413-4152031s110</ns0:t>
        </ns0:is>
      </ns0:c>
      <ns0:c r="D186" s="2" t="inlineStr">
        <ns0:is>
          <ns0:t>source_evidence</ns0:t>
        </ns0:is>
      </ns0:c>
      <ns0:c r="E186" s="2" t="inlineStr"/>
      <ns0:c r="F186" s="2" t="inlineStr">
        <ns0:is>
          <ns0:t>publisher_article_page_20261017.html</ns0:t>
        </ns0:is>
      </ns0:c>
      <ns0:c r="G186" s="2" t="inlineStr">
        <ns0:is>
          <ns0:t>original_files/R13558/evidence/source_evidence__3d5a5ff430e1b7ca.html</ns0:t>
        </ns0:is>
      </ns0:c>
      <ns0:c r="H186" s="2" t="inlineStr">
        <ns0:is>
          <ns0:t>cloud_existing</ns0:t>
        </ns0:is>
      </ns0:c>
      <ns0:c r="I186" s="2" t="inlineStr">
        <ns0:is>
          <ns0:t>original_files/source_evidence/R13558/publisher_article_page_20261017.html</ns0:t>
        </ns0:is>
      </ns0:c>
      <ns0:c r="J186" s="2" t="n">
        <ns0:v>176253</ns0:v>
      </ns0:c>
      <ns0:c r="K186" s="2" t="inlineStr">
        <ns0:is>
          <ns0:t>3d5a5ff430e1b7cac3fb583cd67d888aa8f5b01c3463eb23b38ebbea80ba5f8e</ns0:t>
        </ns0:is>
      </ns0:c>
      <ns0:c r="L186" s="2" t="inlineStr">
        <ns0:is>
          <ns0:t>text_readable</ns0:t>
        </ns0:is>
      </ns0:c>
      <ns0:c r="M186" s="2" t="inlineStr"/>
      <ns0:c r="N186" s="2" t="inlineStr"/>
      <ns0:c r="O186" s="2" t="inlineStr">
        <ns0:is>
          <ns0:t>https://github.com/Colliam-Vermilion/FirstCodex/blob/results/ad-oxygen-literature-20261006/results/ad-oxygen-literature-20261006/original_files/R13558/evidence/source_evidence__3d5a5ff430e1b7ca.html</ns0:t>
        </ns0:is>
      </ns0:c>
    </ns0:row>
    <ns0:row r="187" ht="48" customHeight="1">
      <ns0:c r="A187" s="3" t="inlineStr">
        <ns0:is>
          <ns0:t>R05728</ns0:t>
        </ns0:is>
      </ns0:c>
      <ns0:c r="B187" s="3" t="inlineStr">
        <ns0:is>
          <ns0:t>Improved methane production from corn straw using anaerobically digested sludge pre-augmented by nanobubble water</ns0:t>
        </ns0:is>
      </ns0:c>
      <ns0:c r="C187" s="3" t="inlineStr">
        <ns0:is>
          <ns0:t>10.1016/j.biortech.2020.123479</ns0:t>
        </ns0:is>
      </ns0:c>
      <ns0:c r="D187" s="3" t="inlineStr">
        <ns0:is>
          <ns0:t>fulltext</ns0:t>
        </ns0:is>
      </ns0:c>
      <ns0:c r="E187" s="3" t="inlineStr">
        <ns0:is>
          <ns0:t>出版版（版式及版权文字）</ns0:t>
        </ns0:is>
      </ns0:c>
      <ns0:c r="F187" s="3" t="inlineStr">
        <ns0:is>
          <ns0:t>fulltext.pdf</ns0:t>
        </ns0:is>
      </ns0:c>
      <ns0:c r="G187" s="3" t="inlineStr">
        <ns0:is>
          <ns0:t>original_files/R05728/fulltext/fulltext__published__3d7c808987956614.pdf</ns0:t>
        </ns0:is>
      </ns0:c>
      <ns0:c r="H187" s="3" t="inlineStr">
        <ns0:is>
          <ns0:t>local_upload</ns0:t>
        </ns0:is>
      </ns0:c>
      <ns0:c r="I187" s="3" t="inlineStr">
        <ns0:is>
          <ns0:t>localdownload/R05728/fulltext.pdf</ns0:t>
        </ns0:is>
      </ns0:c>
      <ns0:c r="J187" s="3" t="n">
        <ns0:v>1431947</ns0:v>
      </ns0:c>
      <ns0:c r="K187" s="3" t="inlineStr">
        <ns0:is>
          <ns0:t>3d7c8089879566149228500b4979c7c72eeb5442d32aac41c7c64de9a8d4308a</ns0:t>
        </ns0:is>
      </ns0:c>
      <ns0:c r="L187" s="3" t="inlineStr">
        <ns0:is>
          <ns0:t>identity_and_body_structure_verified</ns0:t>
        </ns0:is>
      </ns0:c>
      <ns0:c r="M187" s="3" t="inlineStr"/>
      <ns0:c r="N187" s="3" t="inlineStr">
        <ns0:is>
          <ns0:t>首页/前两页题名作者或目标DOI核对，全部页面解析及正文结构检查；不据文件名判全文。</ns0:t>
        </ns0:is>
      </ns0:c>
      <ns0:c r="O187" s="3" t="inlineStr">
        <ns0:is>
          <ns0:t>https://github.com/Colliam-Vermilion/FirstCodex/blob/results/ad-oxygen-literature-20261006/results/ad-oxygen-literature-20261006/original_files/R05728/fulltext/fulltext__published__3d7c808987956614.pdf</ns0:t>
        </ns0:is>
      </ns0:c>
    </ns0:row>
    <ns0:row r="188" ht="48" customHeight="1">
      <ns0:c r="A188" s="2" t="inlineStr">
        <ns0:is>
          <ns0:t>R13959</ns0:t>
        </ns0:is>
      </ns0:c>
      <ns0:c r="B188" s="2" t="inlineStr">
        <ns0:is>
          <ns0:t>Influence of Temperature and Oxidation-Reduction Potential on Hydrolysis of Swine Manure Wastewater</ns0:t>
        </ns0:is>
      </ns0:c>
      <ns0:c r="C188" s="2" t="inlineStr">
        <ns0:is>
          <ns0:t>10.18178/ijesd.2020.11.3.1241</ns0:t>
        </ns0:is>
      </ns0:c>
      <ns0:c r="D188" s="2" t="inlineStr">
        <ns0:is>
          <ns0:t>fulltext</ns0:t>
        </ns0:is>
      </ns0:c>
      <ns0:c r="E188" s="2" t="inlineStr">
        <ns0:is>
          <ns0:t>版本待核实</ns0:t>
        </ns0:is>
      </ns0:c>
      <ns0:c r="F188" s="2" t="inlineStr">
        <ns0:is>
          <ns0:t>fulltext.pdf</ns0:t>
        </ns0:is>
      </ns0:c>
      <ns0:c r="G188" s="2" t="inlineStr">
        <ns0:is>
          <ns0:t>original_files/R13959/fulltext/fulltext__version_unverified__3da7041fe46dc44c.pdf</ns0:t>
        </ns0:is>
      </ns0:c>
      <ns0:c r="H188" s="2" t="inlineStr">
        <ns0:is>
          <ns0:t>local_upload</ns0:t>
        </ns0:is>
      </ns0:c>
      <ns0:c r="I188" s="2" t="inlineStr">
        <ns0:is>
          <ns0:t>localdownload/R13959/fulltext.pdf</ns0:t>
        </ns0:is>
      </ns0:c>
      <ns0:c r="J188" s="2" t="n">
        <ns0:v>1276438</ns0:v>
      </ns0:c>
      <ns0:c r="K188" s="2" t="inlineStr">
        <ns0:is>
          <ns0:t>3da7041fe46dc44c12dfeac4d706ca51f51e7a4711113791e746e95079243548</ns0:t>
        </ns0:is>
      </ns0:c>
      <ns0:c r="L188" s="2" t="inlineStr">
        <ns0:is>
          <ns0:t>identity_and_body_structure_verified</ns0:t>
        </ns0:is>
      </ns0:c>
      <ns0:c r="M188" s="2" t="inlineStr"/>
      <ns0:c r="N188" s="2" t="inlineStr">
        <ns0:is>
          <ns0:t>首页/前两页题名作者或目标DOI核对，全部页面解析及正文结构检查；不据文件名判全文。</ns0:t>
        </ns0:is>
      </ns0:c>
      <ns0:c r="O188" s="2" t="inlineStr">
        <ns0:is>
          <ns0:t>https://github.com/Colliam-Vermilion/FirstCodex/blob/results/ad-oxygen-literature-20261006/results/ad-oxygen-literature-20261006/original_files/R13959/fulltext/fulltext__version_unverified__3da7041fe46dc44c.pdf</ns0:t>
        </ns0:is>
      </ns0:c>
    </ns0:row>
    <ns0:row r="189" ht="48" customHeight="1">
      <ns0:c r="A189" s="3" t="inlineStr">
        <ns0:is>
          <ns0:t>R13957</ns0:t>
        </ns0:is>
      </ns0:c>
      <ns0:c r="B189" s="3" t="inlineStr">
        <ns0:is>
          <ns0:t>Microaeration for biogas desulfurization : experimental and simulation study of various reactor types</ns0:t>
        </ns0:is>
      </ns0:c>
      <ns0:c r="C189" s="3" t="inlineStr"/>
      <ns0:c r="D189" s="3" t="inlineStr">
        <ns0:is>
          <ns0:t>fulltext</ns0:t>
        </ns0:is>
      </ns0:c>
      <ns0:c r="E189" s="3" t="inlineStr">
        <ns0:is>
          <ns0:t>学位/学生报告原稿（分章节者按组）</ns0:t>
        </ns0:is>
      </ns0:c>
      <ns0:c r="F189" s="3" t="inlineStr">
        <ns0:is>
          <ns0:t>R13957_2017_Microaeration_for_biogas_desulfurization_experimental_and_simulation_study_of.pdf</ns0:t>
        </ns0:is>
      </ns0:c>
      <ns0:c r="G189" s="3" t="inlineStr">
        <ns0:is>
          <ns0:t>original_files/R13957/fulltext/fulltext__thesis__3db804dcdefb7608.pdf</ns0:t>
        </ns0:is>
      </ns0:c>
      <ns0:c r="H189" s="3" t="inlineStr">
        <ns0:is>
          <ns0:t>cloud_existing</ns0:t>
        </ns0:is>
      </ns0:c>
      <ns0:c r="I189" s="3" t="inlineStr">
        <ns0:is>
          <ns0:t>original_files/fulltext/R13957_2017_Microaeration_for_biogas_desulfurization_experimental_and_simulation_study_of.pdf</ns0:t>
        </ns0:is>
      </ns0:c>
      <ns0:c r="J189" s="3" t="n">
        <ns0:v>7806265</ns0:v>
      </ns0:c>
      <ns0:c r="K189" s="3" t="inlineStr">
        <ns0:is>
          <ns0:t>3db804dcdefb7608eefc6bf166b0713cbbec8ac027b1c01831aec97b54253b82</ns0:t>
        </ns0:is>
      </ns0:c>
      <ns0:c r="L189" s="3" t="inlineStr">
        <ns0:is>
          <ns0:t>identity_and_body_structure_verified</ns0:t>
        </ns0:is>
      </ns0:c>
      <ns0:c r="M189" s="3" t="inlineStr"/>
      <ns0:c r="N189" s="3" t="inlineStr">
        <ns0:is>
          <ns0:t>首页/前两页题名作者或目标DOI核对，全部页面解析及正文结构检查；不据文件名判全文。</ns0:t>
        </ns0:is>
      </ns0:c>
      <ns0:c r="O189" s="3" t="inlineStr">
        <ns0:is>
          <ns0:t>https://github.com/Colliam-Vermilion/FirstCodex/blob/results/ad-oxygen-literature-20261006/results/ad-oxygen-literature-20261006/original_files/R13957/fulltext/fulltext__thesis__3db804dcdefb7608.pdf</ns0:t>
        </ns0:is>
      </ns0:c>
    </ns0:row>
    <ns0:row r="190" ht="48" customHeight="1">
      <ns0:c r="A190" s="2" t="inlineStr">
        <ns0:is>
          <ns0:t>R07202</ns0:t>
        </ns0:is>
      </ns0:c>
      <ns0:c r="B190" s="2" t="inlineStr">
        <ns0:is>
          <ns0:t>Synergistic association between cytochrome bd-encoded Proteiniphilum and reactive oxygen species (ROS)-scavenging methanogens in microaerobic-anaerobic digestion of lignocellulosic biomass</ns0:t>
        </ns0:is>
      </ns0:c>
      <ns0:c r="C190" s="2" t="inlineStr">
        <ns0:is>
          <ns0:t>10.1016/j.watres.2020.116721</ns0:t>
        </ns0:is>
      </ns0:c>
      <ns0:c r="D190" s="2" t="inlineStr">
        <ns0:is>
          <ns0:t>supplementary</ns0:t>
        </ns0:is>
      </ns0:c>
      <ns0:c r="E190" s="2" t="inlineStr"/>
      <ns0:c r="F190" s="2" t="inlineStr">
        <ns0:is>
          <ns0:t>supplementary.docx</ns0:t>
        </ns0:is>
      </ns0:c>
      <ns0:c r="G190" s="2" t="inlineStr">
        <ns0:is>
          <ns0:t>original_files/R07202/supplementary/supplementary__3e34694c8a7c6ad9.docx</ns0:t>
        </ns0:is>
      </ns0:c>
      <ns0:c r="H190" s="2" t="inlineStr">
        <ns0:is>
          <ns0:t>local_upload</ns0:t>
        </ns0:is>
      </ns0:c>
      <ns0:c r="I190" s="2" t="inlineStr">
        <ns0:is>
          <ns0:t>localdownload/R07202/supplementary.docx</ns0:t>
        </ns0:is>
      </ns0:c>
      <ns0:c r="J190" s="2" t="n">
        <ns0:v>46730</ns0:v>
      </ns0:c>
      <ns0:c r="K190" s="2" t="inlineStr">
        <ns0:is>
          <ns0:t>3e34694c8a7c6ad91a6b67a08fd70f365028f3ca08f9f4c125c1e68af30eed68</ns0:t>
        </ns0:is>
      </ns0:c>
      <ns0:c r="L190" s="2" t="inlineStr">
        <ns0:is>
          <ns0:t>container_crc_verified</ns0:t>
        </ns0:is>
      </ns0:c>
      <ns0:c r="M190" s="2" t="inlineStr">
        <ns0:is>
          <ns0:t>directory_and_content_consistent_identity_pending</ns0:t>
        </ns0:is>
      </ns0:c>
      <ns0:c r="N190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190" s="2" t="inlineStr">
        <ns0:is>
          <ns0:t>https://github.com/Colliam-Vermilion/FirstCodex/blob/results/ad-oxygen-literature-20261006/results/ad-oxygen-literature-20261006/original_files/R07202/supplementary/supplementary__3e34694c8a7c6ad9.docx</ns0:t>
        </ns0:is>
      </ns0:c>
    </ns0:row>
    <ns0:row r="191" ht="48" customHeight="1">
      <ns0:c r="A191" s="3" t="inlineStr">
        <ns0:is>
          <ns0:t>R10492</ns0:t>
        </ns0:is>
      </ns0:c>
      <ns0:c r="B191" s="3" t="inlineStr">
        <ns0:is>
          <ns0:t>Metagenomic analysis reveals metabolic mechanism of enhancing lignocellulosic anaerobic digestion mediated by CO2/O2-nanobubble water</ns0:t>
        </ns0:is>
      </ns0:c>
      <ns0:c r="C191" s="3" t="inlineStr">
        <ns0:is>
          <ns0:t>10.1016/j.biortech.2024.131622</ns0:t>
        </ns0:is>
      </ns0:c>
      <ns0:c r="D191" s="3" t="inlineStr">
        <ns0:is>
          <ns0:t>fulltext</ns0:t>
        </ns0:is>
      </ns0:c>
      <ns0:c r="E191" s="3" t="inlineStr">
        <ns0:is>
          <ns0:t>作者接受稿（PDF第一页明确Author Accepted Manuscript及正式DOI；不是预印本）</ns0:t>
        </ns0:is>
      </ns0:c>
      <ns0:c r="F191" s="3" t="inlineStr">
        <ns0:is>
          <ns0:t>R10492_2024_Metagenomic_analysis_reveals_metabolic_mechanism_of_enhancing_lignocellulosic_anaerobic_digestion_me_3e5bb123d9d9.pdf</ns0:t>
        </ns0:is>
      </ns0:c>
      <ns0:c r="G191" s="3" t="inlineStr">
        <ns0:is>
          <ns0:t>original_files/R10492/fulltext/fulltext__accepted__3e5bb123d9d9d4ad.pdf</ns0:t>
        </ns0:is>
      </ns0:c>
      <ns0:c r="H191" s="3" t="inlineStr">
        <ns0:is>
          <ns0:t>cloud_existing</ns0:t>
        </ns0:is>
      </ns0:c>
      <ns0:c r="I191" s="3" t="inlineStr">
        <ns0:is>
          <ns0:t>original_files/fulltext/R10492_2024_Metagenomic_analysis_reveals_metabolic_mechanism_of_enhancing_lignocellulosic_anaerobic_digestion_me_3e5bb123d9d9.pdf</ns0:t>
        </ns0:is>
      </ns0:c>
      <ns0:c r="J191" s="3" t="n">
        <ns0:v>1587578</ns0:v>
      </ns0:c>
      <ns0:c r="K191" s="3" t="inlineStr">
        <ns0:is>
          <ns0:t>3e5bb123d9d9d4add19c728f272d23055ccb980cf99cb60f516f7c2567ccee11</ns0:t>
        </ns0:is>
      </ns0:c>
      <ns0:c r="L191" s="3" t="inlineStr">
        <ns0:is>
          <ns0:t>identity_and_body_structure_verified</ns0:t>
        </ns0:is>
      </ns0:c>
      <ns0:c r="M191" s="3" t="inlineStr"/>
      <ns0:c r="N191" s="3" t="inlineStr">
        <ns0:is>
          <ns0:t>首页/前两页题名作者或目标DOI核对，全部页面解析及正文结构检查；不据文件名判全文。</ns0:t>
        </ns0:is>
      </ns0:c>
      <ns0:c r="O191" s="3" t="inlineStr">
        <ns0:is>
          <ns0:t>https://github.com/Colliam-Vermilion/FirstCodex/blob/results/ad-oxygen-literature-20261006/results/ad-oxygen-literature-20261006/original_files/R10492/fulltext/fulltext__accepted__3e5bb123d9d9d4ad.pdf</ns0:t>
        </ns0:is>
      </ns0:c>
    </ns0:row>
    <ns0:row r="192" ht="48" customHeight="1">
      <ns0:c r="A192" s="2" t="inlineStr">
        <ns0:is>
          <ns0:t>R04803</ns0:t>
        </ns0:is>
      </ns0:c>
      <ns0:c r="B192" s="2" t="inlineStr">
        <ns0:is>
          <ns0:t>Evaluation of different air dosing strategies to enhance H 2 S removal in microaerobic systems treating low-strength wastewaters</ns0:t>
        </ns0:is>
      </ns0:c>
      <ns0:c r="C192" s="2" t="inlineStr">
        <ns0:is>
          <ns0:t>10.1080/09593330.2018.1487470</ns0:t>
        </ns0:is>
      </ns0:c>
      <ns0:c r="D192" s="2" t="inlineStr">
        <ns0:is>
          <ns0:t>fulltext</ns0:t>
        </ns0:is>
      </ns0:c>
      <ns0:c r="E192" s="2" t="inlineStr">
        <ns0:is>
          <ns0:t>出版版（版式及版权文字）</ns0:t>
        </ns0:is>
      </ns0:c>
      <ns0:c r="F192" s="2" t="inlineStr">
        <ns0:is>
          <ns0:t>fulltext.pdf</ns0:t>
        </ns0:is>
      </ns0:c>
      <ns0:c r="G192" s="2" t="inlineStr">
        <ns0:is>
          <ns0:t>original_files/R04803/fulltext/fulltext__published__3e98d6cf0fefd5e7.pdf</ns0:t>
        </ns0:is>
      </ns0:c>
      <ns0:c r="H192" s="2" t="inlineStr">
        <ns0:is>
          <ns0:t>local_upload</ns0:t>
        </ns0:is>
      </ns0:c>
      <ns0:c r="I192" s="2" t="inlineStr">
        <ns0:is>
          <ns0:t>localdownload/R04803/fulltext.pdf</ns0:t>
        </ns0:is>
      </ns0:c>
      <ns0:c r="J192" s="2" t="n">
        <ns0:v>777360</ns0:v>
      </ns0:c>
      <ns0:c r="K192" s="2" t="inlineStr">
        <ns0:is>
          <ns0:t>3e98d6cf0fefd5e7daae2600b11ecc00cdff35ca4f4dfd462e4c7ed25bb3c6c6</ns0:t>
        </ns0:is>
      </ns0:c>
      <ns0:c r="L192" s="2" t="inlineStr">
        <ns0:is>
          <ns0:t>identity_and_body_structure_verified</ns0:t>
        </ns0:is>
      </ns0:c>
      <ns0:c r="M192" s="2" t="inlineStr"/>
      <ns0:c r="N192" s="2" t="inlineStr">
        <ns0:is>
          <ns0:t>首页/前两页题名作者或目标DOI核对，全部页面解析及正文结构检查；不据文件名判全文。</ns0:t>
        </ns0:is>
      </ns0:c>
      <ns0:c r="O192" s="2" t="inlineStr">
        <ns0:is>
          <ns0:t>https://github.com/Colliam-Vermilion/FirstCodex/blob/results/ad-oxygen-literature-20261006/results/ad-oxygen-literature-20261006/original_files/R04803/fulltext/fulltext__published__3e98d6cf0fefd5e7.pdf</ns0:t>
        </ns0:is>
      </ns0:c>
    </ns0:row>
    <ns0:row r="193" ht="48" customHeight="1">
      <ns0:c r="A193" s="3" t="inlineStr">
        <ns0:is>
          <ns0:t>R11519</ns0:t>
        </ns0:is>
      </ns0:c>
      <ns0:c r="B193" s="3" t="inlineStr">
        <ns0:is>
          <ns0:t>Enhancing anaerobic digestion of swine manure using microbial electrolysis cell and microaeration</ns0:t>
        </ns0:is>
      </ns0:c>
      <ns0:c r="C193" s="3" t="inlineStr">
        <ns0:is>
          <ns0:t>10.1016/j.cej.2025.163319</ns0:t>
        </ns0:is>
      </ns0:c>
      <ns0:c r="D193" s="3" t="inlineStr">
        <ns0:is>
          <ns0:t>fulltext</ns0:t>
        </ns0:is>
      </ns0:c>
      <ns0:c r="E193" s="3" t="inlineStr">
        <ns0:is>
          <ns0:t>出版版（版式及版权文字）</ns0:t>
        </ns0:is>
      </ns0:c>
      <ns0:c r="F193" s="3" t="inlineStr">
        <ns0:is>
          <ns0:t>fulltext.pdf</ns0:t>
        </ns0:is>
      </ns0:c>
      <ns0:c r="G193" s="3" t="inlineStr">
        <ns0:is>
          <ns0:t>original_files/R11519/fulltext/fulltext__published__3f23700018cf483e.pdf</ns0:t>
        </ns0:is>
      </ns0:c>
      <ns0:c r="H193" s="3" t="inlineStr">
        <ns0:is>
          <ns0:t>local_upload</ns0:t>
        </ns0:is>
      </ns0:c>
      <ns0:c r="I193" s="3" t="inlineStr">
        <ns0:is>
          <ns0:t>localdownload/R11519/fulltext.pdf</ns0:t>
        </ns0:is>
      </ns0:c>
      <ns0:c r="J193" s="3" t="n">
        <ns0:v>3327051</ns0:v>
      </ns0:c>
      <ns0:c r="K193" s="3" t="inlineStr">
        <ns0:is>
          <ns0:t>3f23700018cf483e4481eaf940b492593d66fe4d4ee0e85ad6ee4c6abe2e993d</ns0:t>
        </ns0:is>
      </ns0:c>
      <ns0:c r="L193" s="3" t="inlineStr">
        <ns0:is>
          <ns0:t>identity_and_body_structure_verified</ns0:t>
        </ns0:is>
      </ns0:c>
      <ns0:c r="M193" s="3" t="inlineStr"/>
      <ns0:c r="N193" s="3" t="inlineStr">
        <ns0:is>
          <ns0:t>首页/前两页题名作者或目标DOI核对，全部页面解析及正文结构检查；不据文件名判全文。</ns0:t>
        </ns0:is>
      </ns0:c>
      <ns0:c r="O193" s="3" t="inlineStr">
        <ns0:is>
          <ns0:t>https://github.com/Colliam-Vermilion/FirstCodex/blob/results/ad-oxygen-literature-20261006/results/ad-oxygen-literature-20261006/original_files/R11519/fulltext/fulltext__published__3f23700018cf483e.pdf</ns0:t>
        </ns0:is>
      </ns0:c>
    </ns0:row>
    <ns0:row r="194" ht="48" customHeight="1">
      <ns0:c r="A194" s="2" t="inlineStr">
        <ns0:is>
          <ns0:t>R06979</ns0:t>
        </ns0:is>
      </ns0:c>
      <ns0:c r="B194" s="2" t="inlineStr">
        <ns0:is>
          <ns0:t>Novel insight into enhanced recoverability of acidic inhibition to anaerobic digestion with nano-bubble water supplementation</ns0:t>
        </ns0:is>
      </ns0:c>
      <ns0:c r="C194" s="2" t="inlineStr">
        <ns0:is>
          <ns0:t>10.1016/j.biortech.2021.124782</ns0:t>
        </ns0:is>
      </ns0:c>
      <ns0:c r="D194" s="2" t="inlineStr">
        <ns0:is>
          <ns0:t>fulltext</ns0:t>
        </ns0:is>
      </ns0:c>
      <ns0:c r="E194" s="2" t="inlineStr">
        <ns0:is>
          <ns0:t>出版版（版式及版权文字）</ns0:t>
        </ns0:is>
      </ns0:c>
      <ns0:c r="F194" s="2" t="inlineStr">
        <ns0:is>
          <ns0:t>fulltext.pdf</ns0:t>
        </ns0:is>
      </ns0:c>
      <ns0:c r="G194" s="2" t="inlineStr">
        <ns0:is>
          <ns0:t>original_files/R06979/fulltext/fulltext__published__3f34cd9cf2890e4e.pdf</ns0:t>
        </ns0:is>
      </ns0:c>
      <ns0:c r="H194" s="2" t="inlineStr">
        <ns0:is>
          <ns0:t>local_upload</ns0:t>
        </ns0:is>
      </ns0:c>
      <ns0:c r="I194" s="2" t="inlineStr">
        <ns0:is>
          <ns0:t>localdownload/R06979/fulltext.pdf</ns0:t>
        </ns0:is>
      </ns0:c>
      <ns0:c r="J194" s="2" t="n">
        <ns0:v>6498627</ns0:v>
      </ns0:c>
      <ns0:c r="K194" s="2" t="inlineStr">
        <ns0:is>
          <ns0:t>3f34cd9cf2890e4eb87cb72c78f09fa6ec28f4ab2736a8c6417799694a7d06e2</ns0:t>
        </ns0:is>
      </ns0:c>
      <ns0:c r="L194" s="2" t="inlineStr">
        <ns0:is>
          <ns0:t>identity_and_body_structure_verified</ns0:t>
        </ns0:is>
      </ns0:c>
      <ns0:c r="M194" s="2" t="inlineStr"/>
      <ns0:c r="N194" s="2" t="inlineStr">
        <ns0:is>
          <ns0:t>首页/前两页题名作者或目标DOI核对，全部页面解析及正文结构检查；不据文件名判全文。</ns0:t>
        </ns0:is>
      </ns0:c>
      <ns0:c r="O194" s="2" t="inlineStr">
        <ns0:is>
          <ns0:t>https://github.com/Colliam-Vermilion/FirstCodex/blob/results/ad-oxygen-literature-20261006/results/ad-oxygen-literature-20261006/original_files/R06979/fulltext/fulltext__published__3f34cd9cf2890e4e.pdf</ns0:t>
        </ns0:is>
      </ns0:c>
    </ns0:row>
    <ns0:row r="195" ht="48" customHeight="1">
      <ns0:c r="A195" s="3" t="inlineStr">
        <ns0:is>
          <ns0:t>R07247</ns0:t>
        </ns0:is>
      </ns0:c>
      <ns0:c r="B195" s="3" t="inlineStr">
        <ns0:is>
          <ns0:t>The protective effect of Pseudomonas in syntrophic fatty acids degradation under microaerophilic conditions</ns0:t>
        </ns0:is>
      </ns0:c>
      <ns0:c r="C195" s="3" t="inlineStr"/>
      <ns0:c r="D195" s="3" t="inlineStr">
        <ns0:is>
          <ns0:t>abstract</ns0:t>
        </ns0:is>
      </ns0:c>
      <ns0:c r="E195" s="3" t="inlineStr"/>
      <ns0:c r="F195" s="3" t="inlineStr">
        <ns0:is>
          <ns0:t>abstract.pdf</ns0:t>
        </ns0:is>
      </ns0:c>
      <ns0:c r="G195" s="3" t="inlineStr">
        <ns0:is>
          <ns0:t>original_files/R07247/abstract_poster/abstract__3f57221967ff2d5b.pdf</ns0:t>
        </ns0:is>
      </ns0:c>
      <ns0:c r="H195" s="3" t="inlineStr">
        <ns0:is>
          <ns0:t>local_upload</ns0:t>
        </ns0:is>
      </ns0:c>
      <ns0:c r="I195" s="3" t="inlineStr">
        <ns0:is>
          <ns0:t>localdownload/R07247/abstract.pdf</ns0:t>
        </ns0:is>
      </ns0:c>
      <ns0:c r="J195" s="3" t="n">
        <ns0:v>144295</ns0:v>
      </ns0:c>
      <ns0:c r="K195" s="3" t="inlineStr">
        <ns0:is>
          <ns0:t>3f57221967ff2d5ba2e6dfb312b36ce21c280bcc7d0f7ad8baa5548fc1ff8773</ns0:t>
        </ns0:is>
      </ns0:c>
      <ns0:c r="L195" s="3" t="inlineStr">
        <ns0:is>
          <ns0:t>abstract_identity_verified_not_fulltext</ns0:t>
        </ns0:is>
      </ns0:c>
      <ns0:c r="M195" s="3" t="inlineStr"/>
      <ns0:c r="N195" s="3" t="inlineStr">
        <ns0:is>
          <ns0:t>内容为会议摘要/展示材料，题名核对，仅摘要，不计已取得全文。</ns0:t>
        </ns0:is>
      </ns0:c>
      <ns0:c r="O195" s="3" t="inlineStr">
        <ns0:is>
          <ns0:t>https://github.com/Colliam-Vermilion/FirstCodex/blob/results/ad-oxygen-literature-20261006/results/ad-oxygen-literature-20261006/original_files/R07247/abstract_poster/abstract__3f57221967ff2d5b.pdf</ns0:t>
        </ns0:is>
      </ns0:c>
    </ns0:row>
    <ns0:row r="196" ht="48" customHeight="1">
      <ns0:c r="A196" s="2" t="inlineStr">
        <ns0:is>
          <ns0:t>R13842</ns0:t>
        </ns0:is>
      </ns0:c>
      <ns0:c r="B196" s="2" t="inlineStr">
        <ns0:is>
          <ns0:t>Promoting the production of methane on the co-digestion of food waste and sewage sludge by aerobic pre-treatment</ns0:t>
        </ns0:is>
      </ns0:c>
      <ns0:c r="C196" s="2" t="inlineStr">
        <ns0:is>
          <ns0:t>10.1016/j.fuel.2021.120197</ns0:t>
        </ns0:is>
      </ns0:c>
      <ns0:c r="D196" s="2" t="inlineStr">
        <ns0:is>
          <ns0:t>fulltext</ns0:t>
        </ns0:is>
      </ns0:c>
      <ns0:c r="E196" s="2" t="inlineStr">
        <ns0:is>
          <ns0:t>出版版（版式及版权文字）</ns0:t>
        </ns0:is>
      </ns0:c>
      <ns0:c r="F196" s="2" t="inlineStr">
        <ns0:is>
          <ns0:t>fulltext.pdf</ns0:t>
        </ns0:is>
      </ns0:c>
      <ns0:c r="G196" s="2" t="inlineStr">
        <ns0:is>
          <ns0:t>original_files/R13842/fulltext/fulltext__published__3f72b2baa7c8e3ef.pdf</ns0:t>
        </ns0:is>
      </ns0:c>
      <ns0:c r="H196" s="2" t="inlineStr">
        <ns0:is>
          <ns0:t>local_upload</ns0:t>
        </ns0:is>
      </ns0:c>
      <ns0:c r="I196" s="2" t="inlineStr">
        <ns0:is>
          <ns0:t>localdownload/R13842/fulltext.pdf</ns0:t>
        </ns0:is>
      </ns0:c>
      <ns0:c r="J196" s="2" t="n">
        <ns0:v>1053429</ns0:v>
      </ns0:c>
      <ns0:c r="K196" s="2" t="inlineStr">
        <ns0:is>
          <ns0:t>3f72b2baa7c8e3ef198cd72bb308abe05db4a2a2baf538eb54c7d1a794a6291d</ns0:t>
        </ns0:is>
      </ns0:c>
      <ns0:c r="L196" s="2" t="inlineStr">
        <ns0:is>
          <ns0:t>identity_and_body_structure_verified</ns0:t>
        </ns0:is>
      </ns0:c>
      <ns0:c r="M196" s="2" t="inlineStr"/>
      <ns0:c r="N196" s="2" t="inlineStr">
        <ns0:is>
          <ns0:t>首页/前两页题名作者或目标DOI核对，全部页面解析及正文结构检查；不据文件名判全文。</ns0:t>
        </ns0:is>
      </ns0:c>
      <ns0:c r="O196" s="2" t="inlineStr">
        <ns0:is>
          <ns0:t>https://github.com/Colliam-Vermilion/FirstCodex/blob/results/ad-oxygen-literature-20261006/results/ad-oxygen-literature-20261006/original_files/R13842/fulltext/fulltext__published__3f72b2baa7c8e3ef.pdf</ns0:t>
        </ns0:is>
      </ns0:c>
    </ns0:row>
    <ns0:row r="197" ht="48" customHeight="1">
      <ns0:c r="A197" s="3" t="inlineStr">
        <ns0:is>
          <ns0:t>R08308</ns0:t>
        </ns0:is>
      </ns0:c>
      <ns0:c r="B197" s="3" t="inlineStr">
        <ns0:is>
          <ns0:t>Signature of dissolved organic matter and microbial communities based on different oxygen levels response during distillers dried grains with solubles plus sugarcane pith co-fermentations</ns0:t>
        </ns0:is>
      </ns0:c>
      <ns0:c r="C197" s="3" t="inlineStr">
        <ns0:is>
          <ns0:t>10.1016/j.biortech.2022.126868</ns0:t>
        </ns0:is>
      </ns0:c>
      <ns0:c r="D197" s="3" t="inlineStr">
        <ns0:is>
          <ns0:t>fulltext</ns0:t>
        </ns0:is>
      </ns0:c>
      <ns0:c r="E197" s="3" t="inlineStr">
        <ns0:is>
          <ns0:t>出版版（版式及版权文字）</ns0:t>
        </ns0:is>
      </ns0:c>
      <ns0:c r="F197" s="3" t="inlineStr">
        <ns0:is>
          <ns0:t>fulltext.pdf</ns0:t>
        </ns0:is>
      </ns0:c>
      <ns0:c r="G197" s="3" t="inlineStr">
        <ns0:is>
          <ns0:t>original_files/R08308/fulltext/fulltext__published__3f8b05cbd2ac3f87.pdf</ns0:t>
        </ns0:is>
      </ns0:c>
      <ns0:c r="H197" s="3" t="inlineStr">
        <ns0:is>
          <ns0:t>local_upload</ns0:t>
        </ns0:is>
      </ns0:c>
      <ns0:c r="I197" s="3" t="inlineStr">
        <ns0:is>
          <ns0:t>localdownload/R08308/fulltext.pdf</ns0:t>
        </ns0:is>
      </ns0:c>
      <ns0:c r="J197" s="3" t="n">
        <ns0:v>3037485</ns0:v>
      </ns0:c>
      <ns0:c r="K197" s="3" t="inlineStr">
        <ns0:is>
          <ns0:t>3f8b05cbd2ac3f875fe3051d24b6faeea370be9e4e3ad3c696d1a8fa59bf73c2</ns0:t>
        </ns0:is>
      </ns0:c>
      <ns0:c r="L197" s="3" t="inlineStr">
        <ns0:is>
          <ns0:t>identity_and_body_structure_verified</ns0:t>
        </ns0:is>
      </ns0:c>
      <ns0:c r="M197" s="3" t="inlineStr"/>
      <ns0:c r="N197" s="3" t="inlineStr">
        <ns0:is>
          <ns0:t>首页/前两页题名作者或目标DOI核对，全部页面解析及正文结构检查；不据文件名判全文。</ns0:t>
        </ns0:is>
      </ns0:c>
      <ns0:c r="O197" s="3" t="inlineStr">
        <ns0:is>
          <ns0:t>https://github.com/Colliam-Vermilion/FirstCodex/blob/results/ad-oxygen-literature-20261006/results/ad-oxygen-literature-20261006/original_files/R08308/fulltext/fulltext__published__3f8b05cbd2ac3f87.pdf</ns0:t>
        </ns0:is>
      </ns0:c>
    </ns0:row>
    <ns0:row r="198" ht="48" customHeight="1">
      <ns0:c r="A198" s="2" t="inlineStr">
        <ns0:is>
          <ns0:t>R11503</ns0:t>
        </ns0:is>
      </ns0:c>
      <ns0:c r="B198" s="2" t="inlineStr">
        <ns0:is>
          <ns0:t>Enhancing Anaerobic Digestion of Agricultural By-Products: Insights and Future Directions in Microaeration</ns0:t>
        </ns0:is>
      </ns0:c>
      <ns0:c r="C198" s="2" t="inlineStr">
        <ns0:is>
          <ns0:t>10.3390/bioengineering12101117</ns0:t>
        </ns0:is>
      </ns0:c>
      <ns0:c r="D198" s="2" t="inlineStr">
        <ns0:is>
          <ns0:t>source_evidence</ns0:t>
        </ns0:is>
      </ns0:c>
      <ns0:c r="E198" s="2" t="inlineStr"/>
      <ns0:c r="F198" s="2" t="inlineStr">
        <ns0:is>
          <ns0:t>PMC12561102_fullText.xml</ns0:t>
        </ns0:is>
      </ns0:c>
      <ns0:c r="G198" s="2" t="inlineStr">
        <ns0:is>
          <ns0:t>original_files/R11503/evidence/source_evidence__4002d57be59c215c.xml</ns0:t>
        </ns0:is>
      </ns0:c>
      <ns0:c r="H198" s="2" t="inlineStr">
        <ns0:is>
          <ns0:t>cloud_existing</ns0:t>
        </ns0:is>
      </ns0:c>
      <ns0:c r="I198" s="2" t="inlineStr">
        <ns0:is>
          <ns0:t>original_files/source_evidence/R11503/PMC12561102_fullText.xml</ns0:t>
        </ns0:is>
      </ns0:c>
      <ns0:c r="J198" s="2" t="n">
        <ns0:v>258637</ns0:v>
      </ns0:c>
      <ns0:c r="K198" s="2" t="inlineStr">
        <ns0:is>
          <ns0:t>4002d57be59c215cea8477a4b667f20f9ffb09680e70af377a81ffae74b99801</ns0:t>
        </ns0:is>
      </ns0:c>
      <ns0:c r="L198" s="2" t="inlineStr">
        <ns0:is>
          <ns0:t>text_readable</ns0:t>
        </ns0:is>
      </ns0:c>
      <ns0:c r="M198" s="2" t="inlineStr"/>
      <ns0:c r="N198" s="2" t="inlineStr"/>
      <ns0:c r="O198" s="2" t="inlineStr">
        <ns0:is>
          <ns0:t>https://github.com/Colliam-Vermilion/FirstCodex/blob/results/ad-oxygen-literature-20261006/results/ad-oxygen-literature-20261006/original_files/R11503/evidence/source_evidence__4002d57be59c215c.xml</ns0:t>
        </ns0:is>
      </ns0:c>
    </ns0:row>
    <ns0:row r="199" ht="48" customHeight="1">
      <ns0:c r="A199" s="3" t="inlineStr">
        <ns0:is>
          <ns0:t>R03965</ns0:t>
        </ns0:is>
      </ns0:c>
      <ns0:c r="B199" s="3" t="inlineStr">
        <ns0:is>
          <ns0:t>Fate of ammonia, solids, sterols, pharmaceuticals and polycyclic aromatic hydrocarbons in anaerobic digestion and intermittent aeration of mixed sludge</ns0:t>
        </ns0:is>
      </ns0:c>
      <ns0:c r="C199" s="3" t="inlineStr">
        <ns0:is>
          <ns0:t>10.2175/193864718824828948</ns0:t>
        </ns0:is>
      </ns0:c>
      <ns0:c r="D199" s="3" t="inlineStr">
        <ns0:is>
          <ns0:t>uncertain</ns0:t>
        </ns0:is>
      </ns0:c>
      <ns0:c r="E199" s="3" t="inlineStr">
        <ns0:is>
          <ns0:t>出版版（版式及版权文字）</ns0:t>
        </ns0:is>
      </ns0:c>
      <ns0:c r="F199" s="3" t="inlineStr">
        <ns0:is>
          <ns0:t>fulltext.pdf</ns0:t>
        </ns0:is>
      </ns0:c>
      <ns0:c r="G199" s="3" t="inlineStr">
        <ns0:is>
          <ns0:t>original_files/R03965/uncertain/uncertain__409812b8440780af.pdf</ns0:t>
        </ns0:is>
      </ns0:c>
      <ns0:c r="H199" s="3" t="inlineStr">
        <ns0:is>
          <ns0:t>local_upload</ns0:t>
        </ns0:is>
      </ns0:c>
      <ns0:c r="I199" s="3" t="inlineStr">
        <ns0:is>
          <ns0:t>localdownload/R03965/fulltext.pdf</ns0:t>
        </ns0:is>
      </ns0:c>
      <ns0:c r="J199" s="3" t="n">
        <ns0:v>1595383</ns0:v>
      </ns0:c>
      <ns0:c r="K199" s="3" t="inlineStr">
        <ns0:is>
          <ns0:t>409812b8440780af2eeaf8220412fae8a80618a2b41dfd8e84b0b2bfbb1918ea</ns0:t>
        </ns0:is>
      </ns0:c>
      <ns0:c r="L199" s="3" t="inlineStr">
        <ns0:is>
          <ns0:t>identity_conflict_not_target_fulltext</ns0:t>
        </ns0:is>
      </ns0:c>
      <ns0:c r="M199" s="3" t="inlineStr"/>
      <ns0:c r="N199" s="3" t="inlineStr">
        <ns0:is>
          <ns0:t>上传2019期刊文章，目标为2018会议文献；作者及主题关联，但题名和DOI不同，目标会议全文仍未取得</ns0:t>
        </ns0:is>
      </ns0:c>
      <ns0:c r="O199" s="3" t="inlineStr">
        <ns0:is>
          <ns0:t>https://github.com/Colliam-Vermilion/FirstCodex/blob/results/ad-oxygen-literature-20261006/results/ad-oxygen-literature-20261006/original_files/R03965/uncertain/uncertain__409812b8440780af.pdf</ns0:t>
        </ns0:is>
      </ns0:c>
    </ns0:row>
    <ns0:row r="200" ht="48" customHeight="1">
      <ns0:c r="A200" s="2" t="inlineStr">
        <ns0:is>
          <ns0:t>R04700</ns0:t>
        </ns0:is>
      </ns0:c>
      <ns0:c r="B200" s="2" t="inlineStr">
        <ns0:is>
          <ns0:t>Effect of aeration by micro - bubbles on methane production in anaerobic digestion</ns0:t>
        </ns0:is>
      </ns0:c>
      <ns0:c r="C200" s="2" t="inlineStr"/>
      <ns0:c r="D200" s="2" t="inlineStr">
        <ns0:is>
          <ns0:t>fulltext</ns0:t>
        </ns0:is>
      </ns0:c>
      <ns0:c r="E200" s="2" t="inlineStr">
        <ns0:is>
          <ns0:t>学位/学生报告原稿（分章节者按组）</ns0:t>
        </ns0:is>
      </ns0:c>
      <ns0:c r="F200" s="2" t="inlineStr">
        <ns0:is>
          <ns0:t>R04700_2019_Effect_of_aeration_by_micro_-_bubbles_on_methane.pdf</ns0:t>
        </ns0:is>
      </ns0:c>
      <ns0:c r="G200" s="2" t="inlineStr">
        <ns0:is>
          <ns0:t>original_files/R04700/fulltext/fulltext__thesis__40ac0de29f75851c.pdf</ns0:t>
        </ns0:is>
      </ns0:c>
      <ns0:c r="H200" s="2" t="inlineStr">
        <ns0:is>
          <ns0:t>cloud_existing</ns0:t>
        </ns0:is>
      </ns0:c>
      <ns0:c r="I200" s="2" t="inlineStr">
        <ns0:is>
          <ns0:t>original_files/fulltext/R04700_2019_Effect_of_aeration_by_micro_-_bubbles_on_methane.pdf</ns0:t>
        </ns0:is>
      </ns0:c>
      <ns0:c r="J200" s="2" t="n">
        <ns0:v>2892628</ns0:v>
      </ns0:c>
      <ns0:c r="K200" s="2" t="inlineStr">
        <ns0:is>
          <ns0:t>40ac0de29f75851cab1651e1e339d03329bb7ce0141519329487f0559ebd8297</ns0:t>
        </ns0:is>
      </ns0:c>
      <ns0:c r="L200" s="2" t="inlineStr">
        <ns0:is>
          <ns0:t>identity_and_body_structure_verified</ns0:t>
        </ns0:is>
      </ns0:c>
      <ns0:c r="M200" s="2" t="inlineStr"/>
      <ns0:c r="N200" s="2" t="inlineStr">
        <ns0:is>
          <ns0:t>首页/前两页题名作者或目标DOI核对，全部页面解析及正文结构检查；不据文件名判全文。</ns0:t>
        </ns0:is>
      </ns0:c>
      <ns0:c r="O200" s="2" t="inlineStr">
        <ns0:is>
          <ns0:t>https://github.com/Colliam-Vermilion/FirstCodex/blob/results/ad-oxygen-literature-20261006/results/ad-oxygen-literature-20261006/original_files/R04700/fulltext/fulltext__thesis__40ac0de29f75851c.pdf</ns0:t>
        </ns0:is>
      </ns0:c>
    </ns0:row>
    <ns0:row r="201" ht="48" customHeight="1">
      <ns0:c r="A201" s="3" t="inlineStr">
        <ns0:is>
          <ns0:t>R13898</ns0:t>
        </ns0:is>
      </ns0:c>
      <ns0:c r="B201" s="3" t="inlineStr">
        <ns0:is>
          <ns0:t>Effect of different aerobic hydrolysis time on the anaerobic digestion characteristics and energy consumption analysis</ns0:t>
        </ns0:is>
      </ns0:c>
      <ns0:c r="C201" s="3" t="inlineStr">
        <ns0:is>
          <ns0:t>10.1016/j.biortech.2020.124332</ns0:t>
        </ns0:is>
      </ns0:c>
      <ns0:c r="D201" s="3" t="inlineStr">
        <ns0:is>
          <ns0:t>supplementary</ns0:t>
        </ns0:is>
      </ns0:c>
      <ns0:c r="E201" s="3" t="inlineStr"/>
      <ns0:c r="F201" s="3" t="inlineStr">
        <ns0:is>
          <ns0:t>supplementary.doc</ns0:t>
        </ns0:is>
      </ns0:c>
      <ns0:c r="G201" s="3" t="inlineStr">
        <ns0:is>
          <ns0:t>original_files/R13898/supplementary/supplementary__40cc579a0dfba6b0.doc</ns0:t>
        </ns0:is>
      </ns0:c>
      <ns0:c r="H201" s="3" t="inlineStr">
        <ns0:is>
          <ns0:t>local_upload</ns0:t>
        </ns0:is>
      </ns0:c>
      <ns0:c r="I201" s="3" t="inlineStr">
        <ns0:is>
          <ns0:t>localdownload/R13898/supplementary.doc</ns0:t>
        </ns0:is>
      </ns0:c>
      <ns0:c r="J201" s="3" t="n">
        <ns0:v>486400</ns0:v>
      </ns0:c>
      <ns0:c r="K201" s="3" t="inlineStr">
        <ns0:is>
          <ns0:t>40cc579a0dfba6b0eff34c42874ef37aff9d741fe78b66119e6585d539529b7b</ns0:t>
        </ns0:is>
      </ns0:c>
      <ns0:c r="L201" s="3" t="inlineStr">
        <ns0:is>
          <ns0:t>legacy_word_decoded_with_antiword</ns0:t>
        </ns0:is>
      </ns0:c>
      <ns0:c r="M201" s="3" t="inlineStr">
        <ns0:is>
          <ns0:t>title_in_attachment_verified</ns0:t>
        </ns0:is>
      </ns0:c>
      <ns0:c r="N201" s="3" t="inlineStr"/>
      <ns0:c r="O201" s="3" t="inlineStr">
        <ns0:is>
          <ns0:t>https://github.com/Colliam-Vermilion/FirstCodex/blob/results/ad-oxygen-literature-20261006/results/ad-oxygen-literature-20261006/original_files/R13898/supplementary/supplementary__40cc579a0dfba6b0.doc</ns0:t>
        </ns0:is>
      </ns0:c>
    </ns0:row>
    <ns0:row r="202" ht="48" customHeight="1">
      <ns0:c r="A202" s="2" t="inlineStr">
        <ns0:is>
          <ns0:t>R04889</ns0:t>
        </ns0:is>
      </ns0:c>
      <ns0:c r="B202" s="2" t="inlineStr">
        <ns0:is>
          <ns0:t>Inoculum Selection and Micro-Aeration for Biogas Production in Two-Stage Anaerobic Digestion of Palm Oil Mill Effluent (POME)</ns0:t>
        </ns0:is>
      </ns0:c>
      <ns0:c r="C202" s="2" t="inlineStr">
        <ns0:is>
          <ns0:t>10.15294/jbat.v8i1.16318</ns0:t>
        </ns0:is>
      </ns0:c>
      <ns0:c r="D202" s="2" t="inlineStr">
        <ns0:is>
          <ns0:t>source_evidence</ns0:t>
        </ns0:is>
      </ns0:c>
      <ns0:c r="E202" s="2" t="inlineStr"/>
      <ns0:c r="F202" s="2" t="inlineStr">
        <ns0:is>
          <ns0:t>publisher_article_page_20261017.html</ns0:t>
        </ns0:is>
      </ns0:c>
      <ns0:c r="G202" s="2" t="inlineStr">
        <ns0:is>
          <ns0:t>original_files/R04889/evidence/source_evidence__421342037d99ece9.html</ns0:t>
        </ns0:is>
      </ns0:c>
      <ns0:c r="H202" s="2" t="inlineStr">
        <ns0:is>
          <ns0:t>cloud_existing</ns0:t>
        </ns0:is>
      </ns0:c>
      <ns0:c r="I202" s="2" t="inlineStr">
        <ns0:is>
          <ns0:t>original_files/source_evidence/R04889/publisher_article_page_20261017.html</ns0:t>
        </ns0:is>
      </ns0:c>
      <ns0:c r="J202" s="2" t="n">
        <ns0:v>38157</ns0:v>
      </ns0:c>
      <ns0:c r="K202" s="2" t="inlineStr">
        <ns0:is>
          <ns0:t>421342037d99ece9a48d226c4502eb0cd1360301aa3f6d59ae824a994e3bc3c6</ns0:t>
        </ns0:is>
      </ns0:c>
      <ns0:c r="L202" s="2" t="inlineStr">
        <ns0:is>
          <ns0:t>text_readable</ns0:t>
        </ns0:is>
      </ns0:c>
      <ns0:c r="M202" s="2" t="inlineStr"/>
      <ns0:c r="N202" s="2" t="inlineStr"/>
      <ns0:c r="O202" s="2" t="inlineStr">
        <ns0:is>
          <ns0:t>https://github.com/Colliam-Vermilion/FirstCodex/blob/results/ad-oxygen-literature-20261006/results/ad-oxygen-literature-20261006/original_files/R04889/evidence/source_evidence__421342037d99ece9.html</ns0:t>
        </ns0:is>
      </ns0:c>
    </ns0:row>
    <ns0:row r="203" ht="48" customHeight="1">
      <ns0:c r="A203" s="3" t="inlineStr">
        <ns0:is>
          <ns0:t>R13834</ns0:t>
        </ns0:is>
      </ns0:c>
      <ns0:c r="B203" s="3" t="inlineStr">
        <ns0:is>
          <ns0:t>Microaeration improves the removal/biotransformation of organic micropollutants in anaerobic wastewater treatment systems.</ns0:t>
        </ns0:is>
      </ns0:c>
      <ns0:c r="C203" s="3" t="inlineStr">
        <ns0:is>
          <ns0:t>10.1016/j.envres.2021.111313</ns0:t>
        </ns0:is>
      </ns0:c>
      <ns0:c r="D203" s="3" t="inlineStr">
        <ns0:is>
          <ns0:t>fulltext</ns0:t>
        </ns0:is>
      </ns0:c>
      <ns0:c r="E203" s="3" t="inlineStr">
        <ns0:is>
          <ns0:t>出版版（版式及版权文字）</ns0:t>
        </ns0:is>
      </ns0:c>
      <ns0:c r="F203" s="3" t="inlineStr">
        <ns0:is>
          <ns0:t>fulltext.pdf</ns0:t>
        </ns0:is>
      </ns0:c>
      <ns0:c r="G203" s="3" t="inlineStr">
        <ns0:is>
          <ns0:t>original_files/R13834/fulltext/fulltext__published__4304325a9f74359b.pdf</ns0:t>
        </ns0:is>
      </ns0:c>
      <ns0:c r="H203" s="3" t="inlineStr">
        <ns0:is>
          <ns0:t>local_upload</ns0:t>
        </ns0:is>
      </ns0:c>
      <ns0:c r="I203" s="3" t="inlineStr">
        <ns0:is>
          <ns0:t>localdownload/R13834/fulltext.pdf</ns0:t>
        </ns0:is>
      </ns0:c>
      <ns0:c r="J203" s="3" t="n">
        <ns0:v>3063386</ns0:v>
      </ns0:c>
      <ns0:c r="K203" s="3" t="inlineStr">
        <ns0:is>
          <ns0:t>4304325a9f74359be71a1af5ff296142b232beb41a1cff128fa6134b8997a86d</ns0:t>
        </ns0:is>
      </ns0:c>
      <ns0:c r="L203" s="3" t="inlineStr">
        <ns0:is>
          <ns0:t>identity_and_body_structure_verified</ns0:t>
        </ns0:is>
      </ns0:c>
      <ns0:c r="M203" s="3" t="inlineStr"/>
      <ns0:c r="N203" s="3" t="inlineStr">
        <ns0:is>
          <ns0:t>首页/前两页题名作者或目标DOI核对，全部页面解析及正文结构检查；不据文件名判全文。</ns0:t>
        </ns0:is>
      </ns0:c>
      <ns0:c r="O203" s="3" t="inlineStr">
        <ns0:is>
          <ns0:t>https://github.com/Colliam-Vermilion/FirstCodex/blob/results/ad-oxygen-literature-20261006/results/ad-oxygen-literature-20261006/original_files/R13834/fulltext/fulltext__published__4304325a9f74359b.pdf</ns0:t>
        </ns0:is>
      </ns0:c>
    </ns0:row>
    <ns0:row r="204" ht="48" customHeight="1">
      <ns0:c r="A204" s="2" t="inlineStr">
        <ns0:is>
          <ns0:t>R08554</ns0:t>
        </ns0:is>
      </ns0:c>
      <ns0:c r="B204" s="2" t="inlineStr">
        <ns0:is>
          <ns0:t>ANALYSIS AND EVALUATION OF THE BIOGAS PURIFICATION TECHNOLOGIES FROM H2S</ns0:t>
        </ns0:is>
      </ns0:c>
      <ns0:c r="C204" s="2" t="inlineStr">
        <ns0:is>
          <ns0:t>10.3846/mla.2023.17242</ns0:t>
        </ns0:is>
      </ns0:c>
      <ns0:c r="D204" s="2" t="inlineStr">
        <ns0:is>
          <ns0:t>fulltext</ns0:t>
        </ns0:is>
      </ns0:c>
      <ns0:c r="E204" s="2" t="inlineStr">
        <ns0:is>
          <ns0:t>出版版本（原页出版信息）</ns0:t>
        </ns0:is>
      </ns0:c>
      <ns0:c r="F204" s="2" t="inlineStr">
        <ns0:is>
          <ns0:t>R08554_2023_ANALYSIS_AND_EVALUATION_OF_THE_BIOGAS_PURIFICATION_TECHNOLOGIES_FROM.pdf</ns0:t>
        </ns0:is>
      </ns0:c>
      <ns0:c r="G204" s="2" t="inlineStr">
        <ns0:is>
          <ns0:t>original_files/R08554/fulltext/fulltext__published__430c90e71cfcd49a.pdf</ns0:t>
        </ns0:is>
      </ns0:c>
      <ns0:c r="H204" s="2" t="inlineStr">
        <ns0:is>
          <ns0:t>cloud_existing</ns0:t>
        </ns0:is>
      </ns0:c>
      <ns0:c r="I204" s="2" t="inlineStr">
        <ns0:is>
          <ns0:t>original_files/fulltext/R08554_2023_ANALYSIS_AND_EVALUATION_OF_THE_BIOGAS_PURIFICATION_TECHNOLOGIES_FROM.pdf</ns0:t>
        </ns0:is>
      </ns0:c>
      <ns0:c r="J204" s="2" t="n">
        <ns0:v>324942</ns0:v>
      </ns0:c>
      <ns0:c r="K204" s="2" t="inlineStr">
        <ns0:is>
          <ns0:t>430c90e71cfcd49a91e3490cf50c66322fa2bc58a76d82b0047f4c0e12fbb220</ns0:t>
        </ns0:is>
      </ns0:c>
      <ns0:c r="L204" s="2" t="inlineStr">
        <ns0:is>
          <ns0:t>identity_and_body_structure_verified</ns0:t>
        </ns0:is>
      </ns0:c>
      <ns0:c r="M204" s="2" t="inlineStr"/>
      <ns0:c r="N204" s="2" t="inlineStr">
        <ns0:is>
          <ns0:t>首页/前两页题名作者或目标DOI核对，全部页面解析及正文结构检查；不据文件名判全文。</ns0:t>
        </ns0:is>
      </ns0:c>
      <ns0:c r="O204" s="2" t="inlineStr">
        <ns0:is>
          <ns0:t>https://github.com/Colliam-Vermilion/FirstCodex/blob/results/ad-oxygen-literature-20261006/results/ad-oxygen-literature-20261006/original_files/R08554/fulltext/fulltext__published__430c90e71cfcd49a.pdf</ns0:t>
        </ns0:is>
      </ns0:c>
    </ns0:row>
    <ns0:row r="205" ht="48" customHeight="1">
      <ns0:c r="A205" s="3" t="inlineStr">
        <ns0:is>
          <ns0:t>R13827</ns0:t>
        </ns0:is>
      </ns0:c>
      <ns0:c r="B205" s="3" t="inlineStr">
        <ns0:is>
          <ns0:t>Effect of aerobic pre-treatment on hydrogen and methane production in a two-stage anaerobic digestion process using food waste with different compositions</ns0:t>
        </ns0:is>
      </ns0:c>
      <ns0:c r="C205" s="3" t="inlineStr">
        <ns0:is>
          <ns0:t>10.1016/j.wasman.2016.10.028</ns0:t>
        </ns0:is>
      </ns0:c>
      <ns0:c r="D205" s="3" t="inlineStr">
        <ns0:is>
          <ns0:t>fulltext</ns0:t>
        </ns0:is>
      </ns0:c>
      <ns0:c r="E205" s="3" t="inlineStr">
        <ns0:is>
          <ns0:t>出版版（版式及版权文字）</ns0:t>
        </ns0:is>
      </ns0:c>
      <ns0:c r="F205" s="3" t="inlineStr">
        <ns0:is>
          <ns0:t>fulltext.pdf</ns0:t>
        </ns0:is>
      </ns0:c>
      <ns0:c r="G205" s="3" t="inlineStr">
        <ns0:is>
          <ns0:t>original_files/R13827/fulltext/fulltext__published__430f870f08ce5335.pdf</ns0:t>
        </ns0:is>
      </ns0:c>
      <ns0:c r="H205" s="3" t="inlineStr">
        <ns0:is>
          <ns0:t>local_upload</ns0:t>
        </ns0:is>
      </ns0:c>
      <ns0:c r="I205" s="3" t="inlineStr">
        <ns0:is>
          <ns0:t>localdownload/R13827/fulltext.pdf</ns0:t>
        </ns0:is>
      </ns0:c>
      <ns0:c r="J205" s="3" t="n">
        <ns0:v>545032</ns0:v>
      </ns0:c>
      <ns0:c r="K205" s="3" t="inlineStr">
        <ns0:is>
          <ns0:t>430f870f08ce5335b076b276fd769505acf62fdf442b3fd9db30587207ee3c81</ns0:t>
        </ns0:is>
      </ns0:c>
      <ns0:c r="L205" s="3" t="inlineStr">
        <ns0:is>
          <ns0:t>identity_and_body_structure_verified</ns0:t>
        </ns0:is>
      </ns0:c>
      <ns0:c r="M205" s="3" t="inlineStr"/>
      <ns0:c r="N205" s="3" t="inlineStr">
        <ns0:is>
          <ns0:t>首页/前两页题名作者或目标DOI核对，全部页面解析及正文结构检查；不据文件名判全文。</ns0:t>
        </ns0:is>
      </ns0:c>
      <ns0:c r="O205" s="3" t="inlineStr">
        <ns0:is>
          <ns0:t>https://github.com/Colliam-Vermilion/FirstCodex/blob/results/ad-oxygen-literature-20261006/results/ad-oxygen-literature-20261006/original_files/R13827/fulltext/fulltext__published__430f870f08ce5335.pdf</ns0:t>
        </ns0:is>
      </ns0:c>
    </ns0:row>
    <ns0:row r="206" ht="48" customHeight="1">
      <ns0:c r="A206" s="2" t="inlineStr">
        <ns0:is>
          <ns0:t>R13819</ns0:t>
        </ns0:is>
      </ns0:c>
      <ns0:c r="B206" s="2" t="inlineStr">
        <ns0:is>
          <ns0:t>Bioaugmentation of overloaded anaerobic digesters restores function and archaeal community</ns0:t>
        </ns0:is>
      </ns0:c>
      <ns0:c r="C206" s="2" t="inlineStr">
        <ns0:is>
          <ns0:t>10.1016/j.watres.2014.11.037</ns0:t>
        </ns0:is>
      </ns0:c>
      <ns0:c r="D206" s="2" t="inlineStr">
        <ns0:is>
          <ns0:t>fulltext</ns0:t>
        </ns0:is>
      </ns0:c>
      <ns0:c r="E206" s="2" t="inlineStr">
        <ns0:is>
          <ns0:t>作者接受稿（原页自述）</ns0:t>
        </ns0:is>
      </ns0:c>
      <ns0:c r="F206" s="2" t="inlineStr">
        <ns0:is>
          <ns0:t>R13819_2015_Bioaugmentation_of_overloaded_anaerobic_digesters_restores_function_and_archaeal.pdf</ns0:t>
        </ns0:is>
      </ns0:c>
      <ns0:c r="G206" s="2" t="inlineStr">
        <ns0:is>
          <ns0:t>original_files/R13819/fulltext/fulltext__accepted__431f5e76781d3cef.pdf</ns0:t>
        </ns0:is>
      </ns0:c>
      <ns0:c r="H206" s="2" t="inlineStr">
        <ns0:is>
          <ns0:t>cloud_existing</ns0:t>
        </ns0:is>
      </ns0:c>
      <ns0:c r="I206" s="2" t="inlineStr">
        <ns0:is>
          <ns0:t>original_files/fulltext/R13819_2015_Bioaugmentation_of_overloaded_anaerobic_digesters_restores_function_and_archaeal.pdf</ns0:t>
        </ns0:is>
      </ns0:c>
      <ns0:c r="J206" s="2" t="n">
        <ns0:v>2172752</ns0:v>
      </ns0:c>
      <ns0:c r="K206" s="2" t="inlineStr">
        <ns0:is>
          <ns0:t>431f5e76781d3cef39588c258c5589b1c9cf01db486c503ba29ab166bc73f14a</ns0:t>
        </ns0:is>
      </ns0:c>
      <ns0:c r="L206" s="2" t="inlineStr">
        <ns0:is>
          <ns0:t>identity_and_body_structure_verified</ns0:t>
        </ns0:is>
      </ns0:c>
      <ns0:c r="M206" s="2" t="inlineStr"/>
      <ns0:c r="N206" s="2" t="inlineStr">
        <ns0:is>
          <ns0:t>首页/前两页题名作者或目标DOI核对，全部页面解析及正文结构检查；不据文件名判全文。</ns0:t>
        </ns0:is>
      </ns0:c>
      <ns0:c r="O206" s="2" t="inlineStr">
        <ns0:is>
          <ns0:t>https://github.com/Colliam-Vermilion/FirstCodex/blob/results/ad-oxygen-literature-20261006/results/ad-oxygen-literature-20261006/original_files/R13819/fulltext/fulltext__accepted__431f5e76781d3cef.pdf</ns0:t>
        </ns0:is>
      </ns0:c>
    </ns0:row>
    <ns0:row r="207" ht="48" customHeight="1">
      <ns0:c r="A207" s="3" t="inlineStr">
        <ns0:is>
          <ns0:t>R10250</ns0:t>
        </ns0:is>
      </ns0:c>
      <ns0:c r="B207" s="3" t="inlineStr">
        <ns0:is>
          <ns0:t>Exploring nanobubble technology for enhanced anaerobic digestion of thermal-hydrolysis pre-treated sewage sludge</ns0:t>
        </ns0:is>
      </ns0:c>
      <ns0:c r="C207" s="3" t="inlineStr">
        <ns0:is>
          <ns0:t>10.1016/j.biteb.2024.101939</ns0:t>
        </ns0:is>
      </ns0:c>
      <ns0:c r="D207" s="3" t="inlineStr">
        <ns0:is>
          <ns0:t>fulltext</ns0:t>
        </ns0:is>
      </ns0:c>
      <ns0:c r="E207" s="3" t="inlineStr">
        <ns0:is>
          <ns0:t>出版版（Bioresource Technology Reports 27 (2024) 101939；PDF出版信息/DOI/CC BY声明核验）</ns0:t>
        </ns0:is>
      </ns0:c>
      <ns0:c r="F207" s="3" t="inlineStr">
        <ns0:is>
          <ns0:t>R10250_2024_Exploring_nanobubble_technology_for_enhanced_anaerobic_digestion_of_thermal_hydrolysis_pre_treated_s_4356ccc0339c.pdf</ns0:t>
        </ns0:is>
      </ns0:c>
      <ns0:c r="G207" s="3" t="inlineStr">
        <ns0:is>
          <ns0:t>original_files/R10250/fulltext/fulltext__published__4356ccc0339c4477.pdf</ns0:t>
        </ns0:is>
      </ns0:c>
      <ns0:c r="H207" s="3" t="inlineStr">
        <ns0:is>
          <ns0:t>cloud_existing</ns0:t>
        </ns0:is>
      </ns0:c>
      <ns0:c r="I207" s="3" t="inlineStr">
        <ns0:is>
          <ns0:t>original_files/fulltext/R10250_2024_Exploring_nanobubble_technology_for_enhanced_anaerobic_digestion_of_thermal_hydrolysis_pre_treated_s_4356ccc0339c.pdf</ns0:t>
        </ns0:is>
      </ns0:c>
      <ns0:c r="J207" s="3" t="n">
        <ns0:v>1741474</ns0:v>
      </ns0:c>
      <ns0:c r="K207" s="3" t="inlineStr">
        <ns0:is>
          <ns0:t>4356ccc0339c4477fde771db6d569eca4bc21ed48b35ced292dfa6a1153d9f72</ns0:t>
        </ns0:is>
      </ns0:c>
      <ns0:c r="L207" s="3" t="inlineStr">
        <ns0:is>
          <ns0:t>identity_and_body_structure_verified</ns0:t>
        </ns0:is>
      </ns0:c>
      <ns0:c r="M207" s="3" t="inlineStr"/>
      <ns0:c r="N207" s="3" t="inlineStr">
        <ns0:is>
          <ns0:t>首页/前两页题名作者或目标DOI核对，全部页面解析及正文结构检查；不据文件名判全文。</ns0:t>
        </ns0:is>
      </ns0:c>
      <ns0:c r="O207" s="3" t="inlineStr">
        <ns0:is>
          <ns0:t>https://github.com/Colliam-Vermilion/FirstCodex/blob/results/ad-oxygen-literature-20261006/results/ad-oxygen-literature-20261006/original_files/R10250/fulltext/fulltext__published__4356ccc0339c4477.pdf</ns0:t>
        </ns0:is>
      </ns0:c>
    </ns0:row>
    <ns0:row r="208" ht="48" customHeight="1">
      <ns0:c r="A208" s="2" t="inlineStr">
        <ns0:is>
          <ns0:t>R13280</ns0:t>
        </ns0:is>
      </ns0:c>
      <ns0:c r="B208" s="2" t="inlineStr">
        <ns0:is>
          <ns0:t>Microaeration Process Design, Control, and Monitoring for Biogas Desulfurization in Anaerobic Digestion</ns0:t>
        </ns0:is>
      </ns0:c>
      <ns0:c r="C208" s="2" t="inlineStr">
        <ns0:is>
          <ns0:t>10.1002/cben.70046</ns0:t>
        </ns0:is>
      </ns0:c>
      <ns0:c r="D208" s="2" t="inlineStr">
        <ns0:is>
          <ns0:t>fulltext</ns0:t>
        </ns0:is>
      </ns0:c>
      <ns0:c r="E208" s="2" t="inlineStr">
        <ns0:is>
          <ns0:t>出版版（版式及版权文字）</ns0:t>
        </ns0:is>
      </ns0:c>
      <ns0:c r="F208" s="2" t="inlineStr">
        <ns0:is>
          <ns0:t>fulltext.pdf</ns0:t>
        </ns0:is>
      </ns0:c>
      <ns0:c r="G208" s="2" t="inlineStr">
        <ns0:is>
          <ns0:t>original_files/R13280/fulltext/fulltext__published__43c4790939b9514f.pdf</ns0:t>
        </ns0:is>
      </ns0:c>
      <ns0:c r="H208" s="2" t="inlineStr">
        <ns0:is>
          <ns0:t>local_upload</ns0:t>
        </ns0:is>
      </ns0:c>
      <ns0:c r="I208" s="2" t="inlineStr">
        <ns0:is>
          <ns0:t>localdownload/R13280/fulltext.pdf</ns0:t>
        </ns0:is>
      </ns0:c>
      <ns0:c r="J208" s="2" t="n">
        <ns0:v>2261330</ns0:v>
      </ns0:c>
      <ns0:c r="K208" s="2" t="inlineStr">
        <ns0:is>
          <ns0:t>43c4790939b9514f12e00b7725459d0566f409ef17faf60b7677a8eb789b5f46</ns0:t>
        </ns0:is>
      </ns0:c>
      <ns0:c r="L208" s="2" t="inlineStr">
        <ns0:is>
          <ns0:t>identity_and_body_structure_verified</ns0:t>
        </ns0:is>
      </ns0:c>
      <ns0:c r="M208" s="2" t="inlineStr"/>
      <ns0:c r="N208" s="2" t="inlineStr">
        <ns0:is>
          <ns0:t>首页/前两页题名作者或目标DOI核对，全部页面解析及正文结构检查；不据文件名判全文。</ns0:t>
        </ns0:is>
      </ns0:c>
      <ns0:c r="O208" s="2" t="inlineStr">
        <ns0:is>
          <ns0:t>https://github.com/Colliam-Vermilion/FirstCodex/blob/results/ad-oxygen-literature-20261006/results/ad-oxygen-literature-20261006/original_files/R13280/fulltext/fulltext__published__43c4790939b9514f.pdf</ns0:t>
        </ns0:is>
      </ns0:c>
    </ns0:row>
    <ns0:row r="209" ht="48" customHeight="1">
      <ns0:c r="A209" s="3" t="inlineStr">
        <ns0:is>
          <ns0:t>R07039</ns0:t>
        </ns0:is>
      </ns0:c>
      <ns0:c r="B209" s="3" t="inlineStr">
        <ns0:is>
          <ns0:t>Performance evaluation and microbial community analysis of microaerobic pretreatment on thermophilic dry anaerobic digestion</ns0:t>
        </ns0:is>
      </ns0:c>
      <ns0:c r="C209" s="3" t="inlineStr">
        <ns0:is>
          <ns0:t>10.1016/j.bej.2020.107873</ns0:t>
        </ns0:is>
      </ns0:c>
      <ns0:c r="D209" s="3" t="inlineStr">
        <ns0:is>
          <ns0:t>fulltext</ns0:t>
        </ns0:is>
      </ns0:c>
      <ns0:c r="E209" s="3" t="inlineStr">
        <ns0:is>
          <ns0:t>出版版（版式及版权文字）</ns0:t>
        </ns0:is>
      </ns0:c>
      <ns0:c r="F209" s="3" t="inlineStr">
        <ns0:is>
          <ns0:t>fulltext.pdf</ns0:t>
        </ns0:is>
      </ns0:c>
      <ns0:c r="G209" s="3" t="inlineStr">
        <ns0:is>
          <ns0:t>original_files/R07039/fulltext/fulltext__published__443aa78550adec48.pdf</ns0:t>
        </ns0:is>
      </ns0:c>
      <ns0:c r="H209" s="3" t="inlineStr">
        <ns0:is>
          <ns0:t>local_upload</ns0:t>
        </ns0:is>
      </ns0:c>
      <ns0:c r="I209" s="3" t="inlineStr">
        <ns0:is>
          <ns0:t>localdownload/R07039/fulltext.pdf</ns0:t>
        </ns0:is>
      </ns0:c>
      <ns0:c r="J209" s="3" t="n">
        <ns0:v>867396</ns0:v>
      </ns0:c>
      <ns0:c r="K209" s="3" t="inlineStr">
        <ns0:is>
          <ns0:t>443aa78550adec48cf8d1f71374d6f1bd8c485ac696bee07bb4054a46ce2ce24</ns0:t>
        </ns0:is>
      </ns0:c>
      <ns0:c r="L209" s="3" t="inlineStr">
        <ns0:is>
          <ns0:t>identity_and_body_structure_verified</ns0:t>
        </ns0:is>
      </ns0:c>
      <ns0:c r="M209" s="3" t="inlineStr"/>
      <ns0:c r="N209" s="3" t="inlineStr">
        <ns0:is>
          <ns0:t>首页/前两页题名作者或目标DOI核对，全部页面解析及正文结构检查；不据文件名判全文。</ns0:t>
        </ns0:is>
      </ns0:c>
      <ns0:c r="O209" s="3" t="inlineStr">
        <ns0:is>
          <ns0:t>https://github.com/Colliam-Vermilion/FirstCodex/blob/results/ad-oxygen-literature-20261006/results/ad-oxygen-literature-20261006/original_files/R07039/fulltext/fulltext__published__443aa78550adec48.pdf</ns0:t>
        </ns0:is>
      </ns0:c>
    </ns0:row>
    <ns0:row r="210" ht="48" customHeight="1">
      <ns0:c r="A210" s="2" t="inlineStr">
        <ns0:is>
          <ns0:t>R13941</ns0:t>
        </ns0:is>
      </ns0:c>
      <ns0:c r="B210" s="2" t="inlineStr">
        <ns0:is>
          <ns0:t>Impact of micro-aerobic conditions in UASB Reactor using media to improve the removal efficiency of organics and nutrients from wastewater</ns0:t>
        </ns0:is>
      </ns0:c>
      <ns0:c r="C210" s="2" t="inlineStr">
        <ns0:is>
          <ns0:t>10.1080/09593330.2025.2609982</ns0:t>
        </ns0:is>
      </ns0:c>
      <ns0:c r="D210" s="2" t="inlineStr">
        <ns0:is>
          <ns0:t>supplementary</ns0:t>
        </ns0:is>
      </ns0:c>
      <ns0:c r="E210" s="2" t="inlineStr"/>
      <ns0:c r="F210" s="2" t="inlineStr">
        <ns0:is>
          <ns0:t>supplementary.docx</ns0:t>
        </ns0:is>
      </ns0:c>
      <ns0:c r="G210" s="2" t="inlineStr">
        <ns0:is>
          <ns0:t>original_files/R13941/supplementary/supplementary__444972b35253f037.docx</ns0:t>
        </ns0:is>
      </ns0:c>
      <ns0:c r="H210" s="2" t="inlineStr">
        <ns0:is>
          <ns0:t>local_upload</ns0:t>
        </ns0:is>
      </ns0:c>
      <ns0:c r="I210" s="2" t="inlineStr">
        <ns0:is>
          <ns0:t>localdownload/R13941/supplementary.docx</ns0:t>
        </ns0:is>
      </ns0:c>
      <ns0:c r="J210" s="2" t="n">
        <ns0:v>12858248</ns0:v>
      </ns0:c>
      <ns0:c r="K210" s="2" t="inlineStr">
        <ns0:is>
          <ns0:t>444972b35253f037f715476baa6710b03b9a21884a27e1a847e29ed1a868c780</ns0:t>
        </ns0:is>
      </ns0:c>
      <ns0:c r="L210" s="2" t="inlineStr">
        <ns0:is>
          <ns0:t>container_crc_verified</ns0:t>
        </ns0:is>
      </ns0:c>
      <ns0:c r="M210" s="2" t="inlineStr">
        <ns0:is>
          <ns0:t>directory_and_content_consistent_identity_pending</ns0:t>
        </ns0:is>
      </ns0:c>
      <ns0:c r="N210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10" s="2" t="inlineStr">
        <ns0:is>
          <ns0:t>https://github.com/Colliam-Vermilion/FirstCodex/blob/results/ad-oxygen-literature-20261006/results/ad-oxygen-literature-20261006/original_files/R13941/supplementary/supplementary__444972b35253f037.docx</ns0:t>
        </ns0:is>
      </ns0:c>
    </ns0:row>
    <ns0:row r="211" ht="48" customHeight="1">
      <ns0:c r="A211" s="3" t="inlineStr">
        <ns0:is>
          <ns0:t>R13882</ns0:t>
        </ns0:is>
      </ns0:c>
      <ns0:c r="B211" s="3" t="inlineStr">
        <ns0:is>
          <ns0:t>Practical approaches for retrofitting plug flow digester and process control to maximize hydrolysis and methane yield from piggery waste</ns0:t>
        </ns0:is>
      </ns0:c>
      <ns0:c r="C211" s="3" t="inlineStr">
        <ns0:is>
          <ns0:t>10.1016/j.jece.2021.105620</ns0:t>
        </ns0:is>
      </ns0:c>
      <ns0:c r="D211" s="3" t="inlineStr">
        <ns0:is>
          <ns0:t>supplementary</ns0:t>
        </ns0:is>
      </ns0:c>
      <ns0:c r="E211" s="3" t="inlineStr"/>
      <ns0:c r="F211" s="3" t="inlineStr">
        <ns0:is>
          <ns0:t>supplementary.doc</ns0:t>
        </ns0:is>
      </ns0:c>
      <ns0:c r="G211" s="3" t="inlineStr">
        <ns0:is>
          <ns0:t>original_files/R13882/supplementary/supplementary__44717b3d77657d0a.doc</ns0:t>
        </ns0:is>
      </ns0:c>
      <ns0:c r="H211" s="3" t="inlineStr">
        <ns0:is>
          <ns0:t>local_upload</ns0:t>
        </ns0:is>
      </ns0:c>
      <ns0:c r="I211" s="3" t="inlineStr">
        <ns0:is>
          <ns0:t>localdownload/R13882/supplementary.doc</ns0:t>
        </ns0:is>
      </ns0:c>
      <ns0:c r="J211" s="3" t="n">
        <ns0:v>388096</ns0:v>
      </ns0:c>
      <ns0:c r="K211" s="3" t="inlineStr">
        <ns0:is>
          <ns0:t>44717b3d77657d0a64ae0a0999044331ce781f8fcb1ee83a23b66fd07a604342</ns0:t>
        </ns0:is>
      </ns0:c>
      <ns0:c r="L211" s="3" t="inlineStr">
        <ns0:is>
          <ns0:t>legacy_word_decoded_with_antiword</ns0:t>
        </ns0:is>
      </ns0:c>
      <ns0:c r="M211" s="3" t="inlineStr">
        <ns0:is>
          <ns0:t>directory_and_content_consistent_identity_pending</ns0:t>
        </ns0:is>
      </ns0:c>
      <ns0:c r="N211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11" s="3" t="inlineStr">
        <ns0:is>
          <ns0:t>https://github.com/Colliam-Vermilion/FirstCodex/blob/results/ad-oxygen-literature-20261006/results/ad-oxygen-literature-20261006/original_files/R13882/supplementary/supplementary__44717b3d77657d0a.doc</ns0:t>
        </ns0:is>
      </ns0:c>
    </ns0:row>
    <ns0:row r="212" ht="48" customHeight="1">
      <ns0:c r="A212" s="2" t="inlineStr">
        <ns0:is>
          <ns0:t>R10819</ns0:t>
        </ns0:is>
      </ns0:c>
      <ns0:c r="B212" s="2" t="inlineStr">
        <ns0:is>
          <ns0:t>Study on synergistic effect of carrier combined with micro-aeration on anaerobic digestion of food waste</ns0:t>
        </ns0:is>
      </ns0:c>
      <ns0:c r="C212" s="2" t="inlineStr">
        <ns0:is>
          <ns0:t>10.1016/j.cej.2024.155731</ns0:t>
        </ns0:is>
      </ns0:c>
      <ns0:c r="D212" s="2" t="inlineStr">
        <ns0:is>
          <ns0:t>supplementary</ns0:t>
        </ns0:is>
      </ns0:c>
      <ns0:c r="E212" s="2" t="inlineStr"/>
      <ns0:c r="F212" s="2" t="inlineStr">
        <ns0:is>
          <ns0:t>supplementary.docx</ns0:t>
        </ns0:is>
      </ns0:c>
      <ns0:c r="G212" s="2" t="inlineStr">
        <ns0:is>
          <ns0:t>original_files/R10819/supplementary/supplementary__44ceef1a74711345.docx</ns0:t>
        </ns0:is>
      </ns0:c>
      <ns0:c r="H212" s="2" t="inlineStr">
        <ns0:is>
          <ns0:t>local_upload</ns0:t>
        </ns0:is>
      </ns0:c>
      <ns0:c r="I212" s="2" t="inlineStr">
        <ns0:is>
          <ns0:t>localdownload/R10819/supplementary.docx</ns0:t>
        </ns0:is>
      </ns0:c>
      <ns0:c r="J212" s="2" t="n">
        <ns0:v>15782705</ns0:v>
      </ns0:c>
      <ns0:c r="K212" s="2" t="inlineStr">
        <ns0:is>
          <ns0:t>44ceef1a74711345bb33ef12c01361f3f034c7e718073fe47304a2aa9961ca7a</ns0:t>
        </ns0:is>
      </ns0:c>
      <ns0:c r="L212" s="2" t="inlineStr">
        <ns0:is>
          <ns0:t>container_crc_verified</ns0:t>
        </ns0:is>
      </ns0:c>
      <ns0:c r="M212" s="2" t="inlineStr">
        <ns0:is>
          <ns0:t>title_in_attachment_verified</ns0:t>
        </ns0:is>
      </ns0:c>
      <ns0:c r="N212" s="2" t="inlineStr"/>
      <ns0:c r="O212" s="2" t="inlineStr">
        <ns0:is>
          <ns0:t>https://github.com/Colliam-Vermilion/FirstCodex/blob/results/ad-oxygen-literature-20261006/results/ad-oxygen-literature-20261006/original_files/R10819/supplementary/supplementary__44ceef1a74711345.docx</ns0:t>
        </ns0:is>
      </ns0:c>
    </ns0:row>
    <ns0:row r="213" ht="48" customHeight="1">
      <ns0:c r="A213" s="3" t="inlineStr">
        <ns0:is>
          <ns0:t>R11168</ns0:t>
        </ns0:is>
      </ns0:c>
      <ns0:c r="B213" s="3" t="inlineStr">
        <ns0:is>
          <ns0:t>Augmented methanogenic performance in straw-manure co-digestion via micro/nano bubble-enhanced syntrophic metabolism</ns0:t>
        </ns0:is>
      </ns0:c>
      <ns0:c r="C213" s="3" t="inlineStr">
        <ns0:is>
          <ns0:t>10.1016/j.biortech.2025.132955</ns0:t>
        </ns0:is>
      </ns0:c>
      <ns0:c r="D213" s="3" t="inlineStr">
        <ns0:is>
          <ns0:t>supplementary</ns0:t>
        </ns0:is>
      </ns0:c>
      <ns0:c r="E213" s="3" t="inlineStr"/>
      <ns0:c r="F213" s="3" t="inlineStr">
        <ns0:is>
          <ns0:t>supplementary.docx</ns0:t>
        </ns0:is>
      </ns0:c>
      <ns0:c r="G213" s="3" t="inlineStr">
        <ns0:is>
          <ns0:t>original_files/R11168/supplementary/supplementary__452021d2a82db226.docx</ns0:t>
        </ns0:is>
      </ns0:c>
      <ns0:c r="H213" s="3" t="inlineStr">
        <ns0:is>
          <ns0:t>local_upload</ns0:t>
        </ns0:is>
      </ns0:c>
      <ns0:c r="I213" s="3" t="inlineStr">
        <ns0:is>
          <ns0:t>localdownload/R11168/supplementary.docx</ns0:t>
        </ns0:is>
      </ns0:c>
      <ns0:c r="J213" s="3" t="n">
        <ns0:v>2581235</ns0:v>
      </ns0:c>
      <ns0:c r="K213" s="3" t="inlineStr">
        <ns0:is>
          <ns0:t>452021d2a82db226133e8f9a061eb97d788550bf8abc55fe2384773619a07e79</ns0:t>
        </ns0:is>
      </ns0:c>
      <ns0:c r="L213" s="3" t="inlineStr">
        <ns0:is>
          <ns0:t>container_crc_verified</ns0:t>
        </ns0:is>
      </ns0:c>
      <ns0:c r="M213" s="3" t="inlineStr">
        <ns0:is>
          <ns0:t>directory_and_content_consistent_identity_pending</ns0:t>
        </ns0:is>
      </ns0:c>
      <ns0:c r="N213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13" s="3" t="inlineStr">
        <ns0:is>
          <ns0:t>https://github.com/Colliam-Vermilion/FirstCodex/blob/results/ad-oxygen-literature-20261006/results/ad-oxygen-literature-20261006/original_files/R11168/supplementary/supplementary__452021d2a82db226.docx</ns0:t>
        </ns0:is>
      </ns0:c>
    </ns0:row>
    <ns0:row r="214" ht="48" customHeight="1">
      <ns0:c r="A214" s="2" t="inlineStr">
        <ns0:is>
          <ns0:t>R10383</ns0:t>
        </ns0:is>
      </ns0:c>
      <ns0:c r="B214" s="2" t="inlineStr">
        <ns0:is>
          <ns0:t>Influence of water electrolysis on hydrolysis and methanogenesis stages of anaerobic digestion at room temperature: Kinetic and metabolic analysis</ns0:t>
        </ns0:is>
      </ns0:c>
      <ns0:c r="C214" s="2" t="inlineStr">
        <ns0:is>
          <ns0:t>10.1016/j.biortech.2023.130096</ns0:t>
        </ns0:is>
      </ns0:c>
      <ns0:c r="D214" s="2" t="inlineStr">
        <ns0:is>
          <ns0:t>fulltext</ns0:t>
        </ns0:is>
      </ns0:c>
      <ns0:c r="E214" s="2" t="inlineStr">
        <ns0:is>
          <ns0:t>出版版（版式及版权文字）</ns0:t>
        </ns0:is>
      </ns0:c>
      <ns0:c r="F214" s="2" t="inlineStr">
        <ns0:is>
          <ns0:t>fulltext.pdf</ns0:t>
        </ns0:is>
      </ns0:c>
      <ns0:c r="G214" s="2" t="inlineStr">
        <ns0:is>
          <ns0:t>original_files/R10383/fulltext/fulltext__published__458e41b12a2105ff.pdf</ns0:t>
        </ns0:is>
      </ns0:c>
      <ns0:c r="H214" s="2" t="inlineStr">
        <ns0:is>
          <ns0:t>local_upload</ns0:t>
        </ns0:is>
      </ns0:c>
      <ns0:c r="I214" s="2" t="inlineStr">
        <ns0:is>
          <ns0:t>localdownload/R10383/fulltext.pdf</ns0:t>
        </ns0:is>
      </ns0:c>
      <ns0:c r="J214" s="2" t="n">
        <ns0:v>1635251</ns0:v>
      </ns0:c>
      <ns0:c r="K214" s="2" t="inlineStr">
        <ns0:is>
          <ns0:t>458e41b12a2105ff56865247434d220b1ab997d3427061ae8b3ad9f90db9ec84</ns0:t>
        </ns0:is>
      </ns0:c>
      <ns0:c r="L214" s="2" t="inlineStr">
        <ns0:is>
          <ns0:t>identity_and_body_structure_verified</ns0:t>
        </ns0:is>
      </ns0:c>
      <ns0:c r="M214" s="2" t="inlineStr"/>
      <ns0:c r="N214" s="2" t="inlineStr">
        <ns0:is>
          <ns0:t>首页/前两页题名作者或目标DOI核对，全部页面解析及正文结构检查；不据文件名判全文。</ns0:t>
        </ns0:is>
      </ns0:c>
      <ns0:c r="O214" s="2" t="inlineStr">
        <ns0:is>
          <ns0:t>https://github.com/Colliam-Vermilion/FirstCodex/blob/results/ad-oxygen-literature-20261006/results/ad-oxygen-literature-20261006/original_files/R10383/fulltext/fulltext__published__458e41b12a2105ff.pdf</ns0:t>
        </ns0:is>
      </ns0:c>
    </ns0:row>
    <ns0:row r="215" ht="48" customHeight="1">
      <ns0:c r="A215" s="3" t="inlineStr">
        <ns0:is>
          <ns0:t>R02386</ns0:t>
        </ns0:is>
      </ns0:c>
      <ns0:c r="B215" s="3" t="inlineStr">
        <ns0:is>
          <ns0:t>Comparison of micro-aerobic and anaerobic fermentative hydrogen production from corn straw</ns0:t>
        </ns0:is>
      </ns0:c>
      <ns0:c r="C215" s="3" t="inlineStr">
        <ns0:is>
          <ns0:t>10.1016/j.ijhydene.2016.01.141</ns0:t>
        </ns0:is>
      </ns0:c>
      <ns0:c r="D215" s="3" t="inlineStr">
        <ns0:is>
          <ns0:t>supplementary</ns0:t>
        </ns0:is>
      </ns0:c>
      <ns0:c r="E215" s="3" t="inlineStr"/>
      <ns0:c r="F215" s="3" t="inlineStr">
        <ns0:is>
          <ns0:t>supplementary-mmc3.txt</ns0:t>
        </ns0:is>
      </ns0:c>
      <ns0:c r="G215" s="3" t="inlineStr">
        <ns0:is>
          <ns0:t>original_files/R02386/supplementary/supplementary__45b710c2659733b1.txt</ns0:t>
        </ns0:is>
      </ns0:c>
      <ns0:c r="H215" t="inlineStr">
        <ns0:is>
          <ns0:t>local_upload; main@ab8353c误传副本</ns0:t>
        </ns0:is>
      </ns0:c>
      <ns0:c r="I215" t="inlineStr">
        <ns0:is>
          <ns0:t>localdownload/R02386/supplementary-mmc3.txt; main@ab8353c:R02386/supplementary-mmc3.txt</ns0:t>
        </ns0:is>
      </ns0:c>
      <ns0:c r="J215" s="3" t="n">
        <ns0:v>460</ns0:v>
      </ns0:c>
      <ns0:c r="K215" s="3" t="inlineStr">
        <ns0:is>
          <ns0:t>45b710c2659733b150ab0a8732db771d79b5d45fb04c1dc3e21c78eea467663c</ns0:t>
        </ns0:is>
      </ns0:c>
      <ns0:c r="L215" s="3" t="inlineStr">
        <ns0:is>
          <ns0:t>text_readable</ns0:t>
        </ns0:is>
      </ns0:c>
      <ns0:c r="M215" s="3" t="inlineStr">
        <ns0:is>
          <ns0:t>directory_and_content_consistent_identity_pending</ns0:t>
        </ns0:is>
      </ns0:c>
      <ns0:c r="N215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15" s="3" t="inlineStr">
        <ns0:is>
          <ns0:t>https://github.com/Colliam-Vermilion/FirstCodex/blob/results/ad-oxygen-literature-20261006/results/ad-oxygen-literature-20261006/original_files/R02386/supplementary/supplementary__45b710c2659733b1.txt</ns0:t>
        </ns0:is>
      </ns0:c>
    </ns0:row>
    <ns0:row r="216" ht="48" customHeight="1">
      <ns0:c r="A216" s="2" t="inlineStr">
        <ns0:is>
          <ns0:t>R08456</ns0:t>
        </ns0:is>
      </ns0:c>
      <ns0:c r="B216" s="2" t="inlineStr">
        <ns0:is>
          <ns0:t>Understanding the mechanisms behind micro-aeration to enhance anaerobic digestion of corn straw</ns0:t>
        </ns0:is>
      </ns0:c>
      <ns0:c r="C216" s="2" t="inlineStr">
        <ns0:is>
          <ns0:t>10.1016/j.fuel.2022.123604</ns0:t>
        </ns0:is>
      </ns0:c>
      <ns0:c r="D216" s="2" t="inlineStr">
        <ns0:is>
          <ns0:t>supplementary</ns0:t>
        </ns0:is>
      </ns0:c>
      <ns0:c r="E216" s="2" t="inlineStr"/>
      <ns0:c r="F216" s="2" t="inlineStr">
        <ns0:is>
          <ns0:t>supplementary.docx</ns0:t>
        </ns0:is>
      </ns0:c>
      <ns0:c r="G216" s="2" t="inlineStr">
        <ns0:is>
          <ns0:t>original_files/R08456/supplementary/supplementary__45e5908c4b979816.docx</ns0:t>
        </ns0:is>
      </ns0:c>
      <ns0:c r="H216" s="2" t="inlineStr">
        <ns0:is>
          <ns0:t>local_upload</ns0:t>
        </ns0:is>
      </ns0:c>
      <ns0:c r="I216" s="2" t="inlineStr">
        <ns0:is>
          <ns0:t>localdownload/R08456/supplementary.docx</ns0:t>
        </ns0:is>
      </ns0:c>
      <ns0:c r="J216" s="2" t="n">
        <ns0:v>1894738</ns0:v>
      </ns0:c>
      <ns0:c r="K216" s="2" t="inlineStr">
        <ns0:is>
          <ns0:t>45e5908c4b979816696fead3d6d3ce3d3da3eecd50908a196b4c45f9f42c7b9d</ns0:t>
        </ns0:is>
      </ns0:c>
      <ns0:c r="L216" s="2" t="inlineStr">
        <ns0:is>
          <ns0:t>container_crc_verified</ns0:t>
        </ns0:is>
      </ns0:c>
      <ns0:c r="M216" s="2" t="inlineStr">
        <ns0:is>
          <ns0:t>title_in_attachment_verified</ns0:t>
        </ns0:is>
      </ns0:c>
      <ns0:c r="N216" s="2" t="inlineStr"/>
      <ns0:c r="O216" s="2" t="inlineStr">
        <ns0:is>
          <ns0:t>https://github.com/Colliam-Vermilion/FirstCodex/blob/results/ad-oxygen-literature-20261006/results/ad-oxygen-literature-20261006/original_files/R08456/supplementary/supplementary__45e5908c4b979816.docx</ns0:t>
        </ns0:is>
      </ns0:c>
    </ns0:row>
    <ns0:row r="217" ht="48" customHeight="1">
      <ns0:c r="A217" s="3" t="inlineStr">
        <ns0:is>
          <ns0:t>R01347</ns0:t>
        </ns0:is>
      </ns0:c>
      <ns0:c r="B217" s="3" t="inlineStr">
        <ns0:is>
          <ns0:t>Microaeration for hydrogen sulfide removal in UASB reactor</ns0:t>
        </ns0:is>
      </ns0:c>
      <ns0:c r="C217" s="3" t="inlineStr">
        <ns0:is>
          <ns0:t>10.1016/j.biortech.2014.09.056</ns0:t>
        </ns0:is>
      </ns0:c>
      <ns0:c r="D217" s="3" t="inlineStr">
        <ns0:is>
          <ns0:t>fulltext</ns0:t>
        </ns0:is>
      </ns0:c>
      <ns0:c r="E217" s="3" t="inlineStr">
        <ns0:is>
          <ns0:t>出版版（版式及版权文字）</ns0:t>
        </ns0:is>
      </ns0:c>
      <ns0:c r="F217" s="3" t="inlineStr">
        <ns0:is>
          <ns0:t>fulltext.pdf</ns0:t>
        </ns0:is>
      </ns0:c>
      <ns0:c r="G217" s="3" t="inlineStr">
        <ns0:is>
          <ns0:t>original_files/R01347/fulltext/fulltext__published__45f836aff9088c2e.pdf</ns0:t>
        </ns0:is>
      </ns0:c>
      <ns0:c r="H217" s="3" t="inlineStr">
        <ns0:is>
          <ns0:t>local_upload</ns0:t>
        </ns0:is>
      </ns0:c>
      <ns0:c r="I217" s="3" t="inlineStr">
        <ns0:is>
          <ns0:t>localdownload/R01347/fulltext.pdf</ns0:t>
        </ns0:is>
      </ns0:c>
      <ns0:c r="J217" s="3" t="n">
        <ns0:v>886048</ns0:v>
      </ns0:c>
      <ns0:c r="K217" s="3" t="inlineStr">
        <ns0:is>
          <ns0:t>45f836aff9088c2e3dc90eb655f9edb76d87059f04bc6d28a96ad562dd988523</ns0:t>
        </ns0:is>
      </ns0:c>
      <ns0:c r="L217" s="3" t="inlineStr">
        <ns0:is>
          <ns0:t>identity_and_body_structure_verified</ns0:t>
        </ns0:is>
      </ns0:c>
      <ns0:c r="M217" s="3" t="inlineStr"/>
      <ns0:c r="N217" s="3" t="inlineStr">
        <ns0:is>
          <ns0:t>首页/前两页题名作者或目标DOI核对，全部页面解析及正文结构检查；不据文件名判全文。</ns0:t>
        </ns0:is>
      </ns0:c>
      <ns0:c r="O217" s="3" t="inlineStr">
        <ns0:is>
          <ns0:t>https://github.com/Colliam-Vermilion/FirstCodex/blob/results/ad-oxygen-literature-20261006/results/ad-oxygen-literature-20261006/original_files/R01347/fulltext/fulltext__published__45f836aff9088c2e.pdf</ns0:t>
        </ns0:is>
      </ns0:c>
    </ns0:row>
    <ns0:row r="218" ht="48" customHeight="1">
      <ns0:c r="A218" s="2" t="inlineStr">
        <ns0:is>
          <ns0:t>R03161</ns0:t>
        </ns0:is>
      </ns0:c>
      <ns0:c r="B218" s="2" t="inlineStr">
        <ns0:is>
          <ns0:t>Effect of liquid surface area on hydrogen sulfide oxidation during micro-aeration in dairy manure digesters</ns0:t>
        </ns0:is>
      </ns0:c>
      <ns0:c r="C218" s="2" t="inlineStr">
        <ns0:is>
          <ns0:t>10.1371/journal.pone.0185738</ns0:t>
        </ns0:is>
      </ns0:c>
      <ns0:c r="D218" s="2" t="inlineStr">
        <ns0:is>
          <ns0:t>source_evidence</ns0:t>
        </ns0:is>
      </ns0:c>
      <ns0:c r="E218" s="2" t="inlineStr"/>
      <ns0:c r="F218" s="2" t="inlineStr">
        <ns0:is>
          <ns0:t>PMC5627928_fullText.xml</ns0:t>
        </ns0:is>
      </ns0:c>
      <ns0:c r="G218" s="2" t="inlineStr">
        <ns0:is>
          <ns0:t>original_files/R03161/evidence/source_evidence__466f3a1e78e8b0f1.xml</ns0:t>
        </ns0:is>
      </ns0:c>
      <ns0:c r="H218" s="2" t="inlineStr">
        <ns0:is>
          <ns0:t>cloud_existing</ns0:t>
        </ns0:is>
      </ns0:c>
      <ns0:c r="I218" s="2" t="inlineStr">
        <ns0:is>
          <ns0:t>original_files/source_evidence/R03161/PMC5627928_fullText.xml</ns0:t>
        </ns0:is>
      </ns0:c>
      <ns0:c r="J218" s="2" t="n">
        <ns0:v>59018</ns0:v>
      </ns0:c>
      <ns0:c r="K218" s="2" t="inlineStr">
        <ns0:is>
          <ns0:t>466f3a1e78e8b0f148b1f28f97b61f7134c61488c837c5c5a26ef7316cebc1e9</ns0:t>
        </ns0:is>
      </ns0:c>
      <ns0:c r="L218" s="2" t="inlineStr">
        <ns0:is>
          <ns0:t>text_readable</ns0:t>
        </ns0:is>
      </ns0:c>
      <ns0:c r="M218" s="2" t="inlineStr"/>
      <ns0:c r="N218" s="2" t="inlineStr"/>
      <ns0:c r="O218" s="2" t="inlineStr">
        <ns0:is>
          <ns0:t>https://github.com/Colliam-Vermilion/FirstCodex/blob/results/ad-oxygen-literature-20261006/results/ad-oxygen-literature-20261006/original_files/R03161/evidence/source_evidence__466f3a1e78e8b0f1.xml</ns0:t>
        </ns0:is>
      </ns0:c>
    </ns0:row>
    <ns0:row r="219" ht="48" customHeight="1">
      <ns0:c r="A219" s="3" t="inlineStr">
        <ns0:is>
          <ns0:t>R13281</ns0:t>
        </ns0:is>
      </ns0:c>
      <ns0:c r="B219" s="3" t="inlineStr">
        <ns0:is>
          <ns0:t>Microaeration enhances methane production in anaerobic digestion: A systematic review and meta-analysis</ns0:t>
        </ns0:is>
      </ns0:c>
      <ns0:c r="C219" s="3" t="inlineStr">
        <ns0:is>
          <ns0:t>10.1016/j.biortech.2026.135162</ns0:t>
        </ns0:is>
      </ns0:c>
      <ns0:c r="D219" s="3" t="inlineStr">
        <ns0:is>
          <ns0:t>supplementary</ns0:t>
        </ns0:is>
      </ns0:c>
      <ns0:c r="E219" s="3" t="inlineStr"/>
      <ns0:c r="F219" s="3" t="inlineStr">
        <ns0:is>
          <ns0:t>supplementary.docx</ns0:t>
        </ns0:is>
      </ns0:c>
      <ns0:c r="G219" s="3" t="inlineStr">
        <ns0:is>
          <ns0:t>original_files/R13281/supplementary/supplementary__46b2f8160d50825a.docx</ns0:t>
        </ns0:is>
      </ns0:c>
      <ns0:c r="H219" s="3" t="inlineStr">
        <ns0:is>
          <ns0:t>local_upload</ns0:t>
        </ns0:is>
      </ns0:c>
      <ns0:c r="I219" s="3" t="inlineStr">
        <ns0:is>
          <ns0:t>localdownload/R13281/supplementary.docx</ns0:t>
        </ns0:is>
      </ns0:c>
      <ns0:c r="J219" s="3" t="n">
        <ns0:v>217994</ns0:v>
      </ns0:c>
      <ns0:c r="K219" s="3" t="inlineStr">
        <ns0:is>
          <ns0:t>46b2f8160d50825acc718fd8bf044e6ddbbe49dc885a00ef2401dc126b061734</ns0:t>
        </ns0:is>
      </ns0:c>
      <ns0:c r="L219" s="3" t="inlineStr">
        <ns0:is>
          <ns0:t>container_crc_verified</ns0:t>
        </ns0:is>
      </ns0:c>
      <ns0:c r="M219" s="3" t="inlineStr">
        <ns0:is>
          <ns0:t>title_in_attachment_verified</ns0:t>
        </ns0:is>
      </ns0:c>
      <ns0:c r="N219" s="3" t="inlineStr"/>
      <ns0:c r="O219" s="3" t="inlineStr">
        <ns0:is>
          <ns0:t>https://github.com/Colliam-Vermilion/FirstCodex/blob/results/ad-oxygen-literature-20261006/results/ad-oxygen-literature-20261006/original_files/R13281/supplementary/supplementary__46b2f8160d50825a.docx</ns0:t>
        </ns0:is>
      </ns0:c>
    </ns0:row>
    <ns0:row r="220" ht="48" customHeight="1">
      <ns0:c r="A220" s="2" t="inlineStr">
        <ns0:is>
          <ns0:t>R10383</ns0:t>
        </ns0:is>
      </ns0:c>
      <ns0:c r="B220" s="2" t="inlineStr">
        <ns0:is>
          <ns0:t>Influence of water electrolysis on hydrolysis and methanogenesis stages of anaerobic digestion at room temperature: Kinetic and metabolic analysis</ns0:t>
        </ns0:is>
      </ns0:c>
      <ns0:c r="C220" s="2" t="inlineStr">
        <ns0:is>
          <ns0:t>10.1016/j.biortech.2023.130096</ns0:t>
        </ns0:is>
      </ns0:c>
      <ns0:c r="D220" s="2" t="inlineStr">
        <ns0:is>
          <ns0:t>supplementary</ns0:t>
        </ns0:is>
      </ns0:c>
      <ns0:c r="E220" s="2" t="inlineStr"/>
      <ns0:c r="F220" s="2" t="inlineStr">
        <ns0:is>
          <ns0:t>supplementary.jpg</ns0:t>
        </ns0:is>
      </ns0:c>
      <ns0:c r="G220" s="2" t="inlineStr">
        <ns0:is>
          <ns0:t>original_files/R10383/supplementary/supplementary__4713f8dfe879de06.jpg</ns0:t>
        </ns0:is>
      </ns0:c>
      <ns0:c r="H220" s="2" t="inlineStr">
        <ns0:is>
          <ns0:t>local_upload</ns0:t>
        </ns0:is>
      </ns0:c>
      <ns0:c r="I220" s="2" t="inlineStr">
        <ns0:is>
          <ns0:t>localdownload/R10383/supplementary.jpg</ns0:t>
        </ns0:is>
      </ns0:c>
      <ns0:c r="J220" s="2" t="n">
        <ns0:v>114752</ns0:v>
      </ns0:c>
      <ns0:c r="K220" s="2" t="inlineStr">
        <ns0:is>
          <ns0:t>4713f8dfe879de06b9cd4be825b07a67990a4bb723a3de123125f580595e937e</ns0:t>
        </ns0:is>
      </ns0:c>
      <ns0:c r="L220" s="2" t="inlineStr">
        <ns0:is>
          <ns0:t>image_decode_verified</ns0:t>
        </ns0:is>
      </ns0:c>
      <ns0:c r="M220" s="2" t="inlineStr">
        <ns0:is>
          <ns0:t>directory_and_content_consistent_identity_pending</ns0:t>
        </ns0:is>
      </ns0:c>
      <ns0:c r="N220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20" s="2" t="inlineStr">
        <ns0:is>
          <ns0:t>https://github.com/Colliam-Vermilion/FirstCodex/blob/results/ad-oxygen-literature-20261006/results/ad-oxygen-literature-20261006/original_files/R10383/supplementary/supplementary__4713f8dfe879de06.jpg</ns0:t>
        </ns0:is>
      </ns0:c>
    </ns0:row>
    <ns0:row r="221" ht="48" customHeight="1">
      <ns0:c r="A221" s="3" t="inlineStr">
        <ns0:is>
          <ns0:t>R13960</ns0:t>
        </ns0:is>
      </ns0:c>
      <ns0:c r="B221" s="3" t="inlineStr">
        <ns0:is>
          <ns0:t>Nitrogen mass balance and biogas production in innovative semiaerobic-anaerobic-aerobic (S.An.A.) landfill</ns0:t>
        </ns0:is>
      </ns0:c>
      <ns0:c r="C221" s="3" t="inlineStr"/>
      <ns0:c r="D221" s="3" t="inlineStr">
        <ns0:is>
          <ns0:t>fulltext</ns0:t>
        </ns0:is>
      </ns0:c>
      <ns0:c r="E221" s="3" t="inlineStr">
        <ns0:is>
          <ns0:t>学位/学生报告原稿（分章节者按组）</ns0:t>
        </ns0:is>
      </ns0:c>
      <ns0:c r="F221" s="3" t="inlineStr">
        <ns0:is>
          <ns0:t>fulltext.pdf</ns0:t>
        </ns0:is>
      </ns0:c>
      <ns0:c r="G221" s="3" t="inlineStr">
        <ns0:is>
          <ns0:t>original_files/R13960/fulltext/fulltext__thesis__47d0f183004cfe45.pdf</ns0:t>
        </ns0:is>
      </ns0:c>
      <ns0:c r="H221" s="3" t="inlineStr">
        <ns0:is>
          <ns0:t>local_upload</ns0:t>
        </ns0:is>
      </ns0:c>
      <ns0:c r="I221" s="3" t="inlineStr">
        <ns0:is>
          <ns0:t>localdownload/R13960/fulltext.pdf</ns0:t>
        </ns0:is>
      </ns0:c>
      <ns0:c r="J221" s="3" t="n">
        <ns0:v>3287261</ns0:v>
      </ns0:c>
      <ns0:c r="K221" s="3" t="inlineStr">
        <ns0:is>
          <ns0:t>47d0f183004cfe457e2079a5092b59cfef326d50d012b20cc8e710be35edddea</ns0:t>
        </ns0:is>
      </ns0:c>
      <ns0:c r="L221" s="3" t="inlineStr">
        <ns0:is>
          <ns0:t>identity_and_body_structure_verified</ns0:t>
        </ns0:is>
      </ns0:c>
      <ns0:c r="M221" s="3" t="inlineStr"/>
      <ns0:c r="N221" s="3" t="inlineStr">
        <ns0:is>
          <ns0:t>首页/前两页题名作者或目标DOI核对，全部页面解析及正文结构检查；不据文件名判全文。</ns0:t>
        </ns0:is>
      </ns0:c>
      <ns0:c r="O221" s="3" t="inlineStr">
        <ns0:is>
          <ns0:t>https://github.com/Colliam-Vermilion/FirstCodex/blob/results/ad-oxygen-literature-20261006/results/ad-oxygen-literature-20261006/original_files/R13960/fulltext/fulltext__thesis__47d0f183004cfe45.pdf</ns0:t>
        </ns0:is>
      </ns0:c>
    </ns0:row>
    <ns0:row r="222" ht="48" customHeight="1">
      <ns0:c r="A222" s="2" t="inlineStr">
        <ns0:is>
          <ns0:t>R11099</ns0:t>
        </ns0:is>
      </ns0:c>
      <ns0:c r="B222" s="2" t="inlineStr">
        <ns0:is>
          <ns0:t>Air nanobubble simultaneously enhances hydrolysis and methane yield of sludge temperature phased-anaerobic digestion</ns0:t>
        </ns0:is>
      </ns0:c>
      <ns0:c r="C222" s="2" t="inlineStr">
        <ns0:is>
          <ns0:t>10.1016/j.biortech.2025.132084</ns0:t>
        </ns0:is>
      </ns0:c>
      <ns0:c r="D222" s="2" t="inlineStr">
        <ns0:is>
          <ns0:t>fulltext</ns0:t>
        </ns0:is>
      </ns0:c>
      <ns0:c r="E222" s="2" t="inlineStr">
        <ns0:is>
          <ns0:t>出版版（版式及版权文字）</ns0:t>
        </ns0:is>
      </ns0:c>
      <ns0:c r="F222" s="2" t="inlineStr">
        <ns0:is>
          <ns0:t>fulltext.pdf</ns0:t>
        </ns0:is>
      </ns0:c>
      <ns0:c r="G222" s="2" t="inlineStr">
        <ns0:is>
          <ns0:t>original_files/R11099/fulltext/fulltext__published__489410fc2ab502f5.pdf</ns0:t>
        </ns0:is>
      </ns0:c>
      <ns0:c r="H222" s="2" t="inlineStr">
        <ns0:is>
          <ns0:t>local_upload</ns0:t>
        </ns0:is>
      </ns0:c>
      <ns0:c r="I222" s="2" t="inlineStr">
        <ns0:is>
          <ns0:t>localdownload/R11099/fulltext.pdf</ns0:t>
        </ns0:is>
      </ns0:c>
      <ns0:c r="J222" s="2" t="n">
        <ns0:v>4644292</ns0:v>
      </ns0:c>
      <ns0:c r="K222" s="2" t="inlineStr">
        <ns0:is>
          <ns0:t>489410fc2ab502f56e9cfbb96df9edccb5d2c314563dc7f90ea4c563d4a4f0dc</ns0:t>
        </ns0:is>
      </ns0:c>
      <ns0:c r="L222" s="2" t="inlineStr">
        <ns0:is>
          <ns0:t>identity_and_body_structure_verified</ns0:t>
        </ns0:is>
      </ns0:c>
      <ns0:c r="M222" s="2" t="inlineStr"/>
      <ns0:c r="N222" s="2" t="inlineStr">
        <ns0:is>
          <ns0:t>首页/前两页题名作者或目标DOI核对，全部页面解析及正文结构检查；不据文件名判全文。</ns0:t>
        </ns0:is>
      </ns0:c>
      <ns0:c r="O222" s="2" t="inlineStr">
        <ns0:is>
          <ns0:t>https://github.com/Colliam-Vermilion/FirstCodex/blob/results/ad-oxygen-literature-20261006/results/ad-oxygen-literature-20261006/original_files/R11099/fulltext/fulltext__published__489410fc2ab502f5.pdf</ns0:t>
        </ns0:is>
      </ns0:c>
    </ns0:row>
    <ns0:row r="223" ht="48" customHeight="1">
      <ns0:c r="A223" s="3" t="inlineStr">
        <ns0:is>
          <ns0:t>R13902</ns0:t>
        </ns0:is>
      </ns0:c>
      <ns0:c r="B223" s="3" t="inlineStr">
        <ns0:is>
          <ns0:t>Investigating the Effects of Aerobic Hydrolysis on Scum Layer Formation during the Anaerobic Digestion of Corn Stalk Particles</ns0:t>
        </ns0:is>
      </ns0:c>
      <ns0:c r="C223" s="3" t="inlineStr">
        <ns0:is>
          <ns0:t>10.3390/su14116497</ns0:t>
        </ns0:is>
      </ns0:c>
      <ns0:c r="D223" s="3" t="inlineStr">
        <ns0:is>
          <ns0:t>fulltext</ns0:t>
        </ns0:is>
      </ns0:c>
      <ns0:c r="E223" s="3" t="inlineStr">
        <ns0:is>
          <ns0:t>出版版本（原页出版信息）</ns0:t>
        </ns0:is>
      </ns0:c>
      <ns0:c r="F223" s="3" t="inlineStr">
        <ns0:is>
          <ns0:t>R13902_2022_Investigating_the_Effects_of_Aerobic_Hydrolysis_on_Scum_Layer.pdf</ns0:t>
        </ns0:is>
      </ns0:c>
      <ns0:c r="G223" s="3" t="inlineStr">
        <ns0:is>
          <ns0:t>original_files/R13902/fulltext/fulltext__published__48b83d115db6ba97.pdf</ns0:t>
        </ns0:is>
      </ns0:c>
      <ns0:c r="H223" s="3" t="inlineStr">
        <ns0:is>
          <ns0:t>cloud_existing</ns0:t>
        </ns0:is>
      </ns0:c>
      <ns0:c r="I223" s="3" t="inlineStr">
        <ns0:is>
          <ns0:t>original_files/fulltext/R13902_2022_Investigating_the_Effects_of_Aerobic_Hydrolysis_on_Scum_Layer.pdf</ns0:t>
        </ns0:is>
      </ns0:c>
      <ns0:c r="J223" s="3" t="n">
        <ns0:v>4639078</ns0:v>
      </ns0:c>
      <ns0:c r="K223" s="3" t="inlineStr">
        <ns0:is>
          <ns0:t>48b83d115db6ba9713989e72cbf774fefd20506b20269ff5221cfd8839dcc8ce</ns0:t>
        </ns0:is>
      </ns0:c>
      <ns0:c r="L223" s="3" t="inlineStr">
        <ns0:is>
          <ns0:t>identity_and_body_structure_verified</ns0:t>
        </ns0:is>
      </ns0:c>
      <ns0:c r="M223" s="3" t="inlineStr"/>
      <ns0:c r="N223" s="3" t="inlineStr">
        <ns0:is>
          <ns0:t>首页/前两页题名作者或目标DOI核对，全部页面解析及正文结构检查；不据文件名判全文。</ns0:t>
        </ns0:is>
      </ns0:c>
      <ns0:c r="O223" s="3" t="inlineStr">
        <ns0:is>
          <ns0:t>https://github.com/Colliam-Vermilion/FirstCodex/blob/results/ad-oxygen-literature-20261006/results/ad-oxygen-literature-20261006/original_files/R13902/fulltext/fulltext__published__48b83d115db6ba97.pdf</ns0:t>
        </ns0:is>
      </ns0:c>
    </ns0:row>
    <ns0:row r="224" ht="48" customHeight="1">
      <ns0:c r="A224" s="2" t="inlineStr">
        <ns0:is>
          <ns0:t>R10097</ns0:t>
        </ns0:is>
      </ns0:c>
      <ns0:c r="B224" s="2" t="inlineStr">
        <ns0:is>
          <ns0:t>Effect of thermal pretreatment and nanobubble addition water on methane production from cowpea hull anaerobic digestion</ns0:t>
        </ns0:is>
      </ns0:c>
      <ns0:c r="C224" s="2" t="inlineStr">
        <ns0:is>
          <ns0:t>10.1007/s11164-023-05167-4</ns0:t>
        </ns0:is>
      </ns0:c>
      <ns0:c r="D224" s="2" t="inlineStr">
        <ns0:is>
          <ns0:t>fulltext</ns0:t>
        </ns0:is>
      </ns0:c>
      <ns0:c r="E224" s="2" t="inlineStr">
        <ns0:is>
          <ns0:t>出版版（版式及版权文字）</ns0:t>
        </ns0:is>
      </ns0:c>
      <ns0:c r="F224" s="2" t="inlineStr">
        <ns0:is>
          <ns0:t>fulltext.pdf</ns0:t>
        </ns0:is>
      </ns0:c>
      <ns0:c r="G224" s="2" t="inlineStr">
        <ns0:is>
          <ns0:t>original_files/R10097/fulltext/fulltext__published__491b63375fcbafa6.pdf</ns0:t>
        </ns0:is>
      </ns0:c>
      <ns0:c r="H224" s="2" t="inlineStr">
        <ns0:is>
          <ns0:t>local_upload</ns0:t>
        </ns0:is>
      </ns0:c>
      <ns0:c r="I224" s="2" t="inlineStr">
        <ns0:is>
          <ns0:t>localdownload/R10097/fulltext.pdf</ns0:t>
        </ns0:is>
      </ns0:c>
      <ns0:c r="J224" s="2" t="n">
        <ns0:v>1821793</ns0:v>
      </ns0:c>
      <ns0:c r="K224" s="2" t="inlineStr">
        <ns0:is>
          <ns0:t>491b63375fcbafa6ceb32c37b7d8b500b0c6f8a35c1f5cadb1706167ae8ae065</ns0:t>
        </ns0:is>
      </ns0:c>
      <ns0:c r="L224" s="2" t="inlineStr">
        <ns0:is>
          <ns0:t>identity_and_body_structure_verified</ns0:t>
        </ns0:is>
      </ns0:c>
      <ns0:c r="M224" s="2" t="inlineStr"/>
      <ns0:c r="N224" s="2" t="inlineStr">
        <ns0:is>
          <ns0:t>首页/前两页题名作者或目标DOI核对，全部页面解析及正文结构检查；不据文件名判全文。</ns0:t>
        </ns0:is>
      </ns0:c>
      <ns0:c r="O224" s="2" t="inlineStr">
        <ns0:is>
          <ns0:t>https://github.com/Colliam-Vermilion/FirstCodex/blob/results/ad-oxygen-literature-20261006/results/ad-oxygen-literature-20261006/original_files/R10097/fulltext/fulltext__published__491b63375fcbafa6.pdf</ns0:t>
        </ns0:is>
      </ns0:c>
    </ns0:row>
    <ns0:row r="225" ht="48" customHeight="1">
      <ns0:c r="A225" s="3" t="inlineStr">
        <ns0:is>
          <ns0:t>R13921</ns0:t>
        </ns0:is>
      </ns0:c>
      <ns0:c r="B225" s="3" t="inlineStr">
        <ns0:is>
          <ns0:t>Optimizing Anaerobic Acidogenesis: Synergistic Effects of Thermal Pretreatment of Composting, Oxygen Regulation, and Additive Supplementation</ns0:t>
        </ns0:is>
      </ns0:c>
      <ns0:c r="C225" s="3" t="inlineStr">
        <ns0:is>
          <ns0:t>10.3390/su17146494</ns0:t>
        </ns0:is>
      </ns0:c>
      <ns0:c r="D225" s="3" t="inlineStr">
        <ns0:is>
          <ns0:t>source_evidence</ns0:t>
        </ns0:is>
      </ns0:c>
      <ns0:c r="E225" s="3" t="inlineStr"/>
      <ns0:c r="F225" s="3" t="inlineStr">
        <ns0:is>
          <ns0:t>publisher_article_page_20261017.html</ns0:t>
        </ns0:is>
      </ns0:c>
      <ns0:c r="G225" s="3" t="inlineStr">
        <ns0:is>
          <ns0:t>original_files/R13921/evidence/source_evidence__494c1155f23eb033.html</ns0:t>
        </ns0:is>
      </ns0:c>
      <ns0:c r="H225" s="3" t="inlineStr">
        <ns0:is>
          <ns0:t>cloud_existing</ns0:t>
        </ns0:is>
      </ns0:c>
      <ns0:c r="I225" s="3" t="inlineStr">
        <ns0:is>
          <ns0:t>original_files/source_evidence/R13921/publisher_article_page_20261017.html</ns0:t>
        </ns0:is>
      </ns0:c>
      <ns0:c r="J225" s="3" t="n">
        <ns0:v>430268</ns0:v>
      </ns0:c>
      <ns0:c r="K225" s="3" t="inlineStr">
        <ns0:is>
          <ns0:t>494c1155f23eb033d76c7939a2cdd7975c7460003b1ebb73f2ce32419a74c98b</ns0:t>
        </ns0:is>
      </ns0:c>
      <ns0:c r="L225" s="3" t="inlineStr">
        <ns0:is>
          <ns0:t>text_readable</ns0:t>
        </ns0:is>
      </ns0:c>
      <ns0:c r="M225" s="3" t="inlineStr"/>
      <ns0:c r="N225" s="3" t="inlineStr"/>
      <ns0:c r="O225" s="3" t="inlineStr">
        <ns0:is>
          <ns0:t>https://github.com/Colliam-Vermilion/FirstCodex/blob/results/ad-oxygen-literature-20261006/results/ad-oxygen-literature-20261006/original_files/R13921/evidence/source_evidence__494c1155f23eb033.html</ns0:t>
        </ns0:is>
      </ns0:c>
    </ns0:row>
    <ns0:row r="226" ht="48" customHeight="1">
      <ns0:c r="A226" s="2" t="inlineStr">
        <ns0:is>
          <ns0:t>R00651</ns0:t>
        </ns0:is>
      </ns0:c>
      <ns0:c r="B226" s="2" t="inlineStr">
        <ns0:is>
          <ns0:t>Effect of micro-aeration on anaerobic digestion of primary sludge under septic tank conditions</ns0:t>
        </ns0:is>
      </ns0:c>
      <ns0:c r="C226" s="2" t="inlineStr">
        <ns0:is>
          <ns0:t>10.1007/s00449-012-0798-x</ns0:t>
        </ns0:is>
      </ns0:c>
      <ns0:c r="D226" s="2" t="inlineStr">
        <ns0:is>
          <ns0:t>fulltext</ns0:t>
        </ns0:is>
      </ns0:c>
      <ns0:c r="E226" s="2" t="inlineStr">
        <ns0:is>
          <ns0:t>出版版（版式及版权文字）</ns0:t>
        </ns0:is>
      </ns0:c>
      <ns0:c r="F226" s="2" t="inlineStr">
        <ns0:is>
          <ns0:t>fulltext.pdf</ns0:t>
        </ns0:is>
      </ns0:c>
      <ns0:c r="G226" s="2" t="inlineStr">
        <ns0:is>
          <ns0:t>original_files/R00651/fulltext/fulltext__published__4a05c2b25035cc74.pdf</ns0:t>
        </ns0:is>
      </ns0:c>
      <ns0:c r="H226" s="2" t="inlineStr">
        <ns0:is>
          <ns0:t>local_upload</ns0:t>
        </ns0:is>
      </ns0:c>
      <ns0:c r="I226" s="2" t="inlineStr">
        <ns0:is>
          <ns0:t>localdownload/R00651/fulltext.pdf</ns0:t>
        </ns0:is>
      </ns0:c>
      <ns0:c r="J226" s="2" t="n">
        <ns0:v>464185</ns0:v>
      </ns0:c>
      <ns0:c r="K226" s="2" t="inlineStr">
        <ns0:is>
          <ns0:t>4a05c2b25035cc748d825411e9d9b8040b0a26b78944f9cce4aa9e77525e1462</ns0:t>
        </ns0:is>
      </ns0:c>
      <ns0:c r="L226" s="2" t="inlineStr">
        <ns0:is>
          <ns0:t>identity_and_body_structure_verified</ns0:t>
        </ns0:is>
      </ns0:c>
      <ns0:c r="M226" s="2" t="inlineStr"/>
      <ns0:c r="N226" s="2" t="inlineStr">
        <ns0:is>
          <ns0:t>首页/前两页题名作者或目标DOI核对，全部页面解析及正文结构检查；不据文件名判全文。</ns0:t>
        </ns0:is>
      </ns0:c>
      <ns0:c r="O226" s="2" t="inlineStr">
        <ns0:is>
          <ns0:t>https://github.com/Colliam-Vermilion/FirstCodex/blob/results/ad-oxygen-literature-20261006/results/ad-oxygen-literature-20261006/original_files/R00651/fulltext/fulltext__published__4a05c2b25035cc74.pdf</ns0:t>
        </ns0:is>
      </ns0:c>
    </ns0:row>
    <ns0:row r="227" ht="48" customHeight="1">
      <ns0:c r="A227" s="3" t="inlineStr">
        <ns0:is>
          <ns0:t>R02199</ns0:t>
        </ns0:is>
      </ns0:c>
      <ns0:c r="B227" s="3" t="inlineStr">
        <ns0:is>
          <ns0:t>Treatment of petrochemical wastewater by microaerobic hydrolysis and anoxic/oxic processes and analysis of bacterial diversity</ns0:t>
        </ns0:is>
      </ns0:c>
      <ns0:c r="C227" s="3" t="inlineStr">
        <ns0:is>
          <ns0:t>10.1016/j.biortech.2015.07.087</ns0:t>
        </ns0:is>
      </ns0:c>
      <ns0:c r="D227" s="3" t="inlineStr">
        <ns0:is>
          <ns0:t>fulltext</ns0:t>
        </ns0:is>
      </ns0:c>
      <ns0:c r="E227" s="3" t="inlineStr">
        <ns0:is>
          <ns0:t>出版版（版式及版权文字）</ns0:t>
        </ns0:is>
      </ns0:c>
      <ns0:c r="F227" s="3" t="inlineStr">
        <ns0:is>
          <ns0:t>fulltext.pdf</ns0:t>
        </ns0:is>
      </ns0:c>
      <ns0:c r="G227" s="3" t="inlineStr">
        <ns0:is>
          <ns0:t>original_files/R02199/fulltext/fulltext__published__4a6994a2d2e1e3aa.pdf</ns0:t>
        </ns0:is>
      </ns0:c>
      <ns0:c r="H227" s="3" t="inlineStr">
        <ns0:is>
          <ns0:t>local_upload</ns0:t>
        </ns0:is>
      </ns0:c>
      <ns0:c r="I227" s="3" t="inlineStr">
        <ns0:is>
          <ns0:t>localdownload/R02199/fulltext.pdf</ns0:t>
        </ns0:is>
      </ns0:c>
      <ns0:c r="J227" s="3" t="n">
        <ns0:v>823083</ns0:v>
      </ns0:c>
      <ns0:c r="K227" s="3" t="inlineStr">
        <ns0:is>
          <ns0:t>4a6994a2d2e1e3aaa0eeeff847c7778c2416d35ba870907a944c8377f3f4cc11</ns0:t>
        </ns0:is>
      </ns0:c>
      <ns0:c r="L227" s="3" t="inlineStr">
        <ns0:is>
          <ns0:t>identity_and_body_structure_verified</ns0:t>
        </ns0:is>
      </ns0:c>
      <ns0:c r="M227" s="3" t="inlineStr"/>
      <ns0:c r="N227" s="3" t="inlineStr">
        <ns0:is>
          <ns0:t>首页/前两页题名作者或目标DOI核对，全部页面解析及正文结构检查；不据文件名判全文。</ns0:t>
        </ns0:is>
      </ns0:c>
      <ns0:c r="O227" s="3" t="inlineStr">
        <ns0:is>
          <ns0:t>https://github.com/Colliam-Vermilion/FirstCodex/blob/results/ad-oxygen-literature-20261006/results/ad-oxygen-literature-20261006/original_files/R02199/fulltext/fulltext__published__4a6994a2d2e1e3aa.pdf</ns0:t>
        </ns0:is>
      </ns0:c>
    </ns0:row>
    <ns0:row r="228" ht="48" customHeight="1">
      <ns0:c r="A228" s="2" t="inlineStr"/>
      <ns0:c r="B228" s="2" t="inlineStr"/>
      <ns0:c r="C228" s="2" t="inlineStr"/>
      <ns0:c r="D228" s="2" t="inlineStr">
        <ns0:is>
          <ns0:t>source_evidence</ns0:t>
        </ns0:is>
      </ns0:c>
      <ns0:c r="E228" s="2" t="inlineStr"/>
      <ns0:c r="F228" s="2" t="inlineStr">
        <ns0:is>
          <ns0:t>publisher_SI_access.jsonl</ns0:t>
        </ns0:is>
      </ns0:c>
      <ns0:c r="G228" s="2" t="inlineStr">
        <ns0:is>
          <ns0:t>original_files/_project_evidence/evidence/source_evidence__4b21769b7f80b111.jsonl</ns0:t>
        </ns0:is>
      </ns0:c>
      <ns0:c r="H228" s="2" t="inlineStr">
        <ns0:is>
          <ns0:t>cloud_existing</ns0:t>
        </ns0:is>
      </ns0:c>
      <ns0:c r="I228" s="2" t="inlineStr">
        <ns0:is>
          <ns0:t>original_files/publisher_checks_20261017/publisher_SI_access.jsonl</ns0:t>
        </ns0:is>
      </ns0:c>
      <ns0:c r="J228" s="2" t="n">
        <ns0:v>65768</ns0:v>
      </ns0:c>
      <ns0:c r="K228" s="2" t="inlineStr">
        <ns0:is>
          <ns0:t>4b21769b7f80b11100f60fea20ff7f320e5e0046b590484b737999c33172b835</ns0:t>
        </ns0:is>
      </ns0:c>
      <ns0:c r="L228" s="2" t="inlineStr">
        <ns0:is>
          <ns0:t>text_readable</ns0:t>
        </ns0:is>
      </ns0:c>
      <ns0:c r="M228" s="2" t="inlineStr"/>
      <ns0:c r="N228" s="2" t="inlineStr"/>
      <ns0:c r="O228" s="2" t="inlineStr">
        <ns0:is>
          <ns0:t>https://github.com/Colliam-Vermilion/FirstCodex/blob/results/ad-oxygen-literature-20261006/results/ad-oxygen-literature-20261006/original_files/_project_evidence/evidence/source_evidence__4b21769b7f80b111.jsonl</ns0:t>
        </ns0:is>
      </ns0:c>
    </ns0:row>
    <ns0:row r="229" ht="48" customHeight="1">
      <ns0:c r="A229" s="3" t="inlineStr">
        <ns0:is>
          <ns0:t>R13965</ns0:t>
        </ns0:is>
      </ns0:c>
      <ns0:c r="B229" s="3" t="inlineStr">
        <ns0:is>
          <ns0:t>Investigating the Anaerobic Digestion of Water Hyacinth (Eichhornia crassipes) Sourced from Hartbeespoort Dam in South Africa</ns0:t>
        </ns0:is>
      </ns0:c>
      <ns0:c r="C229" s="3" t="inlineStr">
        <ns0:is>
          <ns0:t>10.3390/fermentation9070685</ns0:t>
        </ns0:is>
      </ns0:c>
      <ns0:c r="D229" s="3" t="inlineStr">
        <ns0:is>
          <ns0:t>fulltext</ns0:t>
        </ns0:is>
      </ns0:c>
      <ns0:c r="E229" s="3" t="inlineStr">
        <ns0:is>
          <ns0:t>出版版本（原页出版信息）</ns0:t>
        </ns0:is>
      </ns0:c>
      <ns0:c r="F229" s="3" t="inlineStr">
        <ns0:is>
          <ns0:t>R13965_2023_Investigating_the_Anaerobic_Digestion_of_Water_Hyacinth_Eichhornia_crassipes.pdf</ns0:t>
        </ns0:is>
      </ns0:c>
      <ns0:c r="G229" s="3" t="inlineStr">
        <ns0:is>
          <ns0:t>original_files/R13965/fulltext/fulltext__published__4b881bf9f0bde719.pdf</ns0:t>
        </ns0:is>
      </ns0:c>
      <ns0:c r="H229" s="3" t="inlineStr">
        <ns0:is>
          <ns0:t>cloud_existing</ns0:t>
        </ns0:is>
      </ns0:c>
      <ns0:c r="I229" s="3" t="inlineStr">
        <ns0:is>
          <ns0:t>original_files/fulltext/R13965_2023_Investigating_the_Anaerobic_Digestion_of_Water_Hyacinth_Eichhornia_crassipes.pdf</ns0:t>
        </ns0:is>
      </ns0:c>
      <ns0:c r="J229" s="3" t="n">
        <ns0:v>1878597</ns0:v>
      </ns0:c>
      <ns0:c r="K229" s="3" t="inlineStr">
        <ns0:is>
          <ns0:t>4b881bf9f0bde719ab880f31ae27bd40ec2c16c3c617fdbce370a42fb2165405</ns0:t>
        </ns0:is>
      </ns0:c>
      <ns0:c r="L229" s="3" t="inlineStr">
        <ns0:is>
          <ns0:t>identity_and_body_structure_verified</ns0:t>
        </ns0:is>
      </ns0:c>
      <ns0:c r="M229" s="3" t="inlineStr"/>
      <ns0:c r="N229" s="3" t="inlineStr">
        <ns0:is>
          <ns0:t>首页/前两页题名作者或目标DOI核对，全部页面解析及正文结构检查；不据文件名判全文。</ns0:t>
        </ns0:is>
      </ns0:c>
      <ns0:c r="O229" s="3" t="inlineStr">
        <ns0:is>
          <ns0:t>https://github.com/Colliam-Vermilion/FirstCodex/blob/results/ad-oxygen-literature-20261006/results/ad-oxygen-literature-20261006/original_files/R13965/fulltext/fulltext__published__4b881bf9f0bde719.pdf</ns0:t>
        </ns0:is>
      </ns0:c>
    </ns0:row>
    <ns0:row r="230" ht="48" customHeight="1">
      <ns0:c r="A230" s="2" t="inlineStr">
        <ns0:is>
          <ns0:t>R13953</ns0:t>
        </ns0:is>
      </ns0:c>
      <ns0:c r="B230" s="2" t="inlineStr">
        <ns0:is>
          <ns0:t>Characterizing the variability of food waste quality: A need for efficient valorisation through anaerobic digestion</ns0:t>
        </ns0:is>
      </ns0:c>
      <ns0:c r="C230" s="2" t="inlineStr">
        <ns0:is>
          <ns0:t>10.1016/j.wasman.2016.01.041</ns0:t>
        </ns0:is>
      </ns0:c>
      <ns0:c r="D230" s="2" t="inlineStr">
        <ns0:is>
          <ns0:t>fulltext</ns0:t>
        </ns0:is>
      </ns0:c>
      <ns0:c r="E230" s="2" t="inlineStr">
        <ns0:is>
          <ns0:t>出版版（版式及版权文字）</ns0:t>
        </ns0:is>
      </ns0:c>
      <ns0:c r="F230" s="2" t="inlineStr">
        <ns0:is>
          <ns0:t>fulltext.pdf</ns0:t>
        </ns0:is>
      </ns0:c>
      <ns0:c r="G230" s="2" t="inlineStr">
        <ns0:is>
          <ns0:t>original_files/R13953/fulltext/fulltext__published__4b8b9f306e49519c.pdf</ns0:t>
        </ns0:is>
      </ns0:c>
      <ns0:c r="H230" s="2" t="inlineStr">
        <ns0:is>
          <ns0:t>local_upload</ns0:t>
        </ns0:is>
      </ns0:c>
      <ns0:c r="I230" s="2" t="inlineStr">
        <ns0:is>
          <ns0:t>localdownload/R13953/fulltext.pdf</ns0:t>
        </ns0:is>
      </ns0:c>
      <ns0:c r="J230" s="2" t="n">
        <ns0:v>623758</ns0:v>
      </ns0:c>
      <ns0:c r="K230" s="2" t="inlineStr">
        <ns0:is>
          <ns0:t>4b8b9f306e49519c8f6c6e7f8ff13d08536455f0b077a4cc89c7a45eb8e89e90</ns0:t>
        </ns0:is>
      </ns0:c>
      <ns0:c r="L230" s="2" t="inlineStr">
        <ns0:is>
          <ns0:t>identity_and_body_structure_verified</ns0:t>
        </ns0:is>
      </ns0:c>
      <ns0:c r="M230" s="2" t="inlineStr"/>
      <ns0:c r="N230" s="2" t="inlineStr">
        <ns0:is>
          <ns0:t>首页/前两页题名作者或目标DOI核对，全部页面解析及正文结构检查；不据文件名判全文。</ns0:t>
        </ns0:is>
      </ns0:c>
      <ns0:c r="O230" s="2" t="inlineStr">
        <ns0:is>
          <ns0:t>https://github.com/Colliam-Vermilion/FirstCodex/blob/results/ad-oxygen-literature-20261006/results/ad-oxygen-literature-20261006/original_files/R13953/fulltext/fulltext__published__4b8b9f306e49519c.pdf</ns0:t>
        </ns0:is>
      </ns0:c>
    </ns0:row>
    <ns0:row r="231" ht="48" customHeight="1">
      <ns0:c r="A231" s="3" t="inlineStr">
        <ns0:is>
          <ns0:t>R02719</ns0:t>
        </ns0:is>
      </ns0:c>
      <ns0:c r="B231" s="3" t="inlineStr">
        <ns0:is>
          <ns0:t>Performance evaluation of micro-aerobic hydrolysis of mixed sludge: Optimum aeration and effect on its biochemical methane potential</ns0:t>
        </ns0:is>
      </ns0:c>
      <ns0:c r="C231" s="3" t="inlineStr">
        <ns0:is>
          <ns0:t>10.1080/10934529.2016.1215195</ns0:t>
        </ns0:is>
      </ns0:c>
      <ns0:c r="D231" s="3" t="inlineStr">
        <ns0:is>
          <ns0:t>fulltext</ns0:t>
        </ns0:is>
      </ns0:c>
      <ns0:c r="E231" s="3" t="inlineStr">
        <ns0:is>
          <ns0:t>author accepted manuscript</ns0:t>
        </ns0:is>
      </ns0:c>
      <ns0:c r="F231" s="3" t="inlineStr">
        <ns0:is>
          <ns0:t>R02719_2016_Performance_evaluation_of_micro_aerobic_hydrolysis_of_mixed_sludge_Optimum_aeration_and_effect_on_it.pdf</ns0:t>
        </ns0:is>
      </ns0:c>
      <ns0:c r="G231" s="3" t="inlineStr">
        <ns0:is>
          <ns0:t>original_files/R02719/fulltext/fulltext__version_unverified__4bf5e309b2ef3431.pdf</ns0:t>
        </ns0:is>
      </ns0:c>
      <ns0:c r="H231" s="3" t="inlineStr">
        <ns0:is>
          <ns0:t>cloud_existing</ns0:t>
        </ns0:is>
      </ns0:c>
      <ns0:c r="I231" s="3" t="inlineStr">
        <ns0:is>
          <ns0:t>original_files/fulltext/R02719_2016_Performance_evaluation_of_micro_aerobic_hydrolysis_of_mixed_sludge_Optimum_aeration_and_effect_on_it.pdf</ns0:t>
        </ns0:is>
      </ns0:c>
      <ns0:c r="J231" s="3" t="n">
        <ns0:v>583591</ns0:v>
      </ns0:c>
      <ns0:c r="K231" s="3" t="inlineStr">
        <ns0:is>
          <ns0:t>4bf5e309b2ef343162a9588383a7ae0254118c33cdf2e96bec1a05459fae1523</ns0:t>
        </ns0:is>
      </ns0:c>
      <ns0:c r="L231" s="3" t="inlineStr">
        <ns0:is>
          <ns0:t>identity_and_body_structure_verified</ns0:t>
        </ns0:is>
      </ns0:c>
      <ns0:c r="M231" s="3" t="inlineStr"/>
      <ns0:c r="N231" s="3" t="inlineStr">
        <ns0:is>
          <ns0:t>首页/前两页题名作者或目标DOI核对，全部页面解析及正文结构检查；不据文件名判全文。</ns0:t>
        </ns0:is>
      </ns0:c>
      <ns0:c r="O231" s="3" t="inlineStr">
        <ns0:is>
          <ns0:t>https://github.com/Colliam-Vermilion/FirstCodex/blob/results/ad-oxygen-literature-20261006/results/ad-oxygen-literature-20261006/original_files/R02719/fulltext/fulltext__version_unverified__4bf5e309b2ef3431.pdf</ns0:t>
        </ns0:is>
      </ns0:c>
    </ns0:row>
    <ns0:row r="232" ht="48" customHeight="1">
      <ns0:c r="A232" s="2" t="inlineStr">
        <ns0:is>
          <ns0:t>R09618</ns0:t>
        </ns0:is>
      </ns0:c>
      <ns0:c r="B232" s="2" t="inlineStr">
        <ns0:is>
          <ns0:t>Two-step anaerobic digestion of rice straw with nanobubble water</ns0:t>
        </ns0:is>
      </ns0:c>
      <ns0:c r="C232" s="2" t="inlineStr">
        <ns0:is>
          <ns0:t>10.1016/j.biortech.2023.128928</ns0:t>
        </ns0:is>
      </ns0:c>
      <ns0:c r="D232" s="2" t="inlineStr">
        <ns0:is>
          <ns0:t>fulltext</ns0:t>
        </ns0:is>
      </ns0:c>
      <ns0:c r="E232" s="2" t="inlineStr">
        <ns0:is>
          <ns0:t>出版版（版式及版权文字）</ns0:t>
        </ns0:is>
      </ns0:c>
      <ns0:c r="F232" s="2" t="inlineStr">
        <ns0:is>
          <ns0:t>fulltext.pdf</ns0:t>
        </ns0:is>
      </ns0:c>
      <ns0:c r="G232" s="2" t="inlineStr">
        <ns0:is>
          <ns0:t>original_files/R09618/fulltext/fulltext__published__4c1c2a21a6964433.pdf</ns0:t>
        </ns0:is>
      </ns0:c>
      <ns0:c r="H232" s="2" t="inlineStr">
        <ns0:is>
          <ns0:t>local_upload</ns0:t>
        </ns0:is>
      </ns0:c>
      <ns0:c r="I232" s="2" t="inlineStr">
        <ns0:is>
          <ns0:t>localdownload/R09618/fulltext.pdf</ns0:t>
        </ns0:is>
      </ns0:c>
      <ns0:c r="J232" s="2" t="n">
        <ns0:v>2056895</ns0:v>
      </ns0:c>
      <ns0:c r="K232" s="2" t="inlineStr">
        <ns0:is>
          <ns0:t>4c1c2a21a69644331c03b29f4cef800ba98d3ca883561f37f102ea268cd454ba</ns0:t>
        </ns0:is>
      </ns0:c>
      <ns0:c r="L232" s="2" t="inlineStr">
        <ns0:is>
          <ns0:t>identity_and_body_structure_verified</ns0:t>
        </ns0:is>
      </ns0:c>
      <ns0:c r="M232" s="2" t="inlineStr"/>
      <ns0:c r="N232" s="2" t="inlineStr">
        <ns0:is>
          <ns0:t>首页/前两页题名作者或目标DOI核对，全部页面解析及正文结构检查；不据文件名判全文。</ns0:t>
        </ns0:is>
      </ns0:c>
      <ns0:c r="O232" s="2" t="inlineStr">
        <ns0:is>
          <ns0:t>https://github.com/Colliam-Vermilion/FirstCodex/blob/results/ad-oxygen-literature-20261006/results/ad-oxygen-literature-20261006/original_files/R09618/fulltext/fulltext__published__4c1c2a21a6964433.pdf</ns0:t>
        </ns0:is>
      </ns0:c>
    </ns0:row>
    <ns0:row r="233" ht="48" customHeight="1">
      <ns0:c r="A233" s="3" t="inlineStr">
        <ns0:is>
          <ns0:t>R13822</ns0:t>
        </ns0:is>
      </ns0:c>
      <ns0:c r="B233" s="3" t="inlineStr">
        <ns0:is>
          <ns0:t>Enhancement of acidogenic fermentation for volatile fatty acid production from food waste: Effect of redox potential and inoculum</ns0:t>
        </ns0:is>
      </ns0:c>
      <ns0:c r="C233" s="3" t="inlineStr">
        <ns0:is>
          <ns0:t>10.1016/j.biortech.2016.06.053</ns0:t>
        </ns0:is>
      </ns0:c>
      <ns0:c r="D233" s="3" t="inlineStr">
        <ns0:is>
          <ns0:t>fulltext</ns0:t>
        </ns0:is>
      </ns0:c>
      <ns0:c r="E233" s="3" t="inlineStr">
        <ns0:is>
          <ns0:t>出版版（版式及版权文字）</ns0:t>
        </ns0:is>
      </ns0:c>
      <ns0:c r="F233" s="3" t="inlineStr">
        <ns0:is>
          <ns0:t>fulltext.pdf</ns0:t>
        </ns0:is>
      </ns0:c>
      <ns0:c r="G233" s="3" t="inlineStr">
        <ns0:is>
          <ns0:t>original_files/R13822/fulltext/fulltext__published__4c3d611b2b8a6c59.pdf</ns0:t>
        </ns0:is>
      </ns0:c>
      <ns0:c r="H233" s="3" t="inlineStr">
        <ns0:is>
          <ns0:t>local_upload</ns0:t>
        </ns0:is>
      </ns0:c>
      <ns0:c r="I233" s="3" t="inlineStr">
        <ns0:is>
          <ns0:t>localdownload/R13822/fulltext.pdf</ns0:t>
        </ns0:is>
      </ns0:c>
      <ns0:c r="J233" s="3" t="n">
        <ns0:v>2019330</ns0:v>
      </ns0:c>
      <ns0:c r="K233" s="3" t="inlineStr">
        <ns0:is>
          <ns0:t>4c3d611b2b8a6c599c7a5d91e6dbd4a67ec164fe0360c89a67b16b2abf0caed9</ns0:t>
        </ns0:is>
      </ns0:c>
      <ns0:c r="L233" s="3" t="inlineStr">
        <ns0:is>
          <ns0:t>identity_and_body_structure_verified</ns0:t>
        </ns0:is>
      </ns0:c>
      <ns0:c r="M233" s="3" t="inlineStr"/>
      <ns0:c r="N233" s="3" t="inlineStr">
        <ns0:is>
          <ns0:t>首页/前两页题名作者或目标DOI核对，全部页面解析及正文结构检查；不据文件名判全文。</ns0:t>
        </ns0:is>
      </ns0:c>
      <ns0:c r="O233" s="3" t="inlineStr">
        <ns0:is>
          <ns0:t>https://github.com/Colliam-Vermilion/FirstCodex/blob/results/ad-oxygen-literature-20261006/results/ad-oxygen-literature-20261006/original_files/R13822/fulltext/fulltext__published__4c3d611b2b8a6c59.pdf</ns0:t>
        </ns0:is>
      </ns0:c>
    </ns0:row>
    <ns0:row r="234" ht="48" customHeight="1">
      <ns0:c r="A234" s="2" t="inlineStr">
        <ns0:is>
          <ns0:t>R02274</ns0:t>
        </ns0:is>
      </ns0:c>
      <ns0:c r="B234" s="2" t="inlineStr">
        <ns0:is>
          <ns0:t>ANAEROBIC DIGESTION OF WASTEWATER WITH HIGH SULFATE CONCENTRATION USING MICRO-AERATION AND NATURAL ZEOLITES</ns0:t>
        </ns0:is>
      </ns0:c>
      <ns0:c r="C234" s="2" t="inlineStr">
        <ns0:is>
          <ns0:t>10.1590/0104-6632.20160334s20150261</ns0:t>
        </ns0:is>
      </ns0:c>
      <ns0:c r="D234" s="2" t="inlineStr">
        <ns0:is>
          <ns0:t>fulltext</ns0:t>
        </ns0:is>
      </ns0:c>
      <ns0:c r="E234" s="2" t="inlineStr">
        <ns0:is>
          <ns0:t>出版版本（原页出版信息）</ns0:t>
        </ns0:is>
      </ns0:c>
      <ns0:c r="F234" s="2" t="inlineStr">
        <ns0:is>
          <ns0:t>R02274_2016_ANAEROBIC_DIGESTION_OF_WASTEWATER_WITH_HIGH_SULFATE_CONCENTRATION_USING.pdf</ns0:t>
        </ns0:is>
      </ns0:c>
      <ns0:c r="G234" s="2" t="inlineStr">
        <ns0:is>
          <ns0:t>original_files/R02274/fulltext/fulltext__published__4c7da8384f1f6e3d.pdf</ns0:t>
        </ns0:is>
      </ns0:c>
      <ns0:c r="H234" s="2" t="inlineStr">
        <ns0:is>
          <ns0:t>cloud_existing</ns0:t>
        </ns0:is>
      </ns0:c>
      <ns0:c r="I234" s="2" t="inlineStr">
        <ns0:is>
          <ns0:t>original_files/fulltext/R02274_2016_ANAEROBIC_DIGESTION_OF_WASTEWATER_WITH_HIGH_SULFATE_CONCENTRATION_USING.pdf</ns0:t>
        </ns0:is>
      </ns0:c>
      <ns0:c r="J234" s="2" t="n">
        <ns0:v>471480</ns0:v>
      </ns0:c>
      <ns0:c r="K234" s="2" t="inlineStr">
        <ns0:is>
          <ns0:t>4c7da8384f1f6e3d8bd2681eab23bdb95e3057009cf4c7ec7aacc7cdb9eaf43d</ns0:t>
        </ns0:is>
      </ns0:c>
      <ns0:c r="L234" s="2" t="inlineStr">
        <ns0:is>
          <ns0:t>identity_and_body_structure_verified</ns0:t>
        </ns0:is>
      </ns0:c>
      <ns0:c r="M234" s="2" t="inlineStr"/>
      <ns0:c r="N234" s="2" t="inlineStr">
        <ns0:is>
          <ns0:t>首页/前两页题名作者或目标DOI核对，全部页面解析及正文结构检查；不据文件名判全文。</ns0:t>
        </ns0:is>
      </ns0:c>
      <ns0:c r="O234" s="2" t="inlineStr">
        <ns0:is>
          <ns0:t>https://github.com/Colliam-Vermilion/FirstCodex/blob/results/ad-oxygen-literature-20261006/results/ad-oxygen-literature-20261006/original_files/R02274/fulltext/fulltext__published__4c7da8384f1f6e3d.pdf</ns0:t>
        </ns0:is>
      </ns0:c>
    </ns0:row>
    <ns0:row r="235" ht="48" customHeight="1">
      <ns0:c r="A235" s="3" t="inlineStr">
        <ns0:is>
          <ns0:t>R13910</ns0:t>
        </ns0:is>
      </ns0:c>
      <ns0:c r="B235" s="3" t="inlineStr">
        <ns0:is>
          <ns0:t>Effects of Ammonia Stripping and Other Physico-Chemical Pretreatments on Anaerobic Digestion of Swine Wastewater</ns0:t>
        </ns0:is>
      </ns0:c>
      <ns0:c r="C235" s="3" t="inlineStr">
        <ns0:is>
          <ns0:t>10.3390/en13133413</ns0:t>
        </ns0:is>
      </ns0:c>
      <ns0:c r="D235" s="3" t="inlineStr">
        <ns0:is>
          <ns0:t>fulltext</ns0:t>
        </ns0:is>
      </ns0:c>
      <ns0:c r="E235" s="3" t="inlineStr">
        <ns0:is>
          <ns0:t>出版版本（原页出版信息）</ns0:t>
        </ns0:is>
      </ns0:c>
      <ns0:c r="F235" s="3" t="inlineStr">
        <ns0:is>
          <ns0:t>R13910_2020_Effects_of_Ammonia_Stripping_and_Other_Physico-Chemical_Pretreatments_on.pdf</ns0:t>
        </ns0:is>
      </ns0:c>
      <ns0:c r="G235" s="3" t="inlineStr">
        <ns0:is>
          <ns0:t>original_files/R13910/fulltext/fulltext__published__4d03064db7853736.pdf</ns0:t>
        </ns0:is>
      </ns0:c>
      <ns0:c r="H235" s="3" t="inlineStr">
        <ns0:is>
          <ns0:t>cloud_existing</ns0:t>
        </ns0:is>
      </ns0:c>
      <ns0:c r="I235" s="3" t="inlineStr">
        <ns0:is>
          <ns0:t>original_files/fulltext/R13910_2020_Effects_of_Ammonia_Stripping_and_Other_Physico-Chemical_Pretreatments_on.pdf</ns0:t>
        </ns0:is>
      </ns0:c>
      <ns0:c r="J235" s="3" t="n">
        <ns0:v>6602157</ns0:v>
      </ns0:c>
      <ns0:c r="K235" s="3" t="inlineStr">
        <ns0:is>
          <ns0:t>4d03064db78537361c322da6076eaf111bcd95864ca0ce5acfb98ad2f9c1fa40</ns0:t>
        </ns0:is>
      </ns0:c>
      <ns0:c r="L235" s="3" t="inlineStr">
        <ns0:is>
          <ns0:t>identity_and_body_structure_verified</ns0:t>
        </ns0:is>
      </ns0:c>
      <ns0:c r="M235" s="3" t="inlineStr"/>
      <ns0:c r="N235" s="3" t="inlineStr">
        <ns0:is>
          <ns0:t>首页/前两页题名作者或目标DOI核对，全部页面解析及正文结构检查；不据文件名判全文。</ns0:t>
        </ns0:is>
      </ns0:c>
      <ns0:c r="O235" s="3" t="inlineStr">
        <ns0:is>
          <ns0:t>https://github.com/Colliam-Vermilion/FirstCodex/blob/results/ad-oxygen-literature-20261006/results/ad-oxygen-literature-20261006/original_files/R13910/fulltext/fulltext__published__4d03064db7853736.pdf</ns0:t>
        </ns0:is>
      </ns0:c>
    </ns0:row>
    <ns0:row r="236" ht="48" customHeight="1">
      <ns0:c r="A236" s="2" t="inlineStr">
        <ns0:is>
          <ns0:t>R12401</ns0:t>
        </ns0:is>
      </ns0:c>
      <ns0:c r="B236" s="2" t="inlineStr">
        <ns0:is>
          <ns0:t>Treatment options of nitrogen heterocyclic compounds in industrial wastewater: From fundamental technologies to energy valorization applications and future process design strategies</ns0:t>
        </ns0:is>
      </ns0:c>
      <ns0:c r="C236" s="2" t="inlineStr">
        <ns0:is>
          <ns0:t>10.1016/j.watres.2025.123575</ns0:t>
        </ns0:is>
      </ns0:c>
      <ns0:c r="D236" s="2" t="inlineStr">
        <ns0:is>
          <ns0:t>fulltext</ns0:t>
        </ns0:is>
      </ns0:c>
      <ns0:c r="E236" s="2" t="inlineStr">
        <ns0:is>
          <ns0:t>出版版（版式及版权文字）</ns0:t>
        </ns0:is>
      </ns0:c>
      <ns0:c r="F236" s="2" t="inlineStr">
        <ns0:is>
          <ns0:t>fulltext.pdf</ns0:t>
        </ns0:is>
      </ns0:c>
      <ns0:c r="G236" s="2" t="inlineStr">
        <ns0:is>
          <ns0:t>original_files/R12401/fulltext/fulltext__published__4db2c6aa789e227c.pdf</ns0:t>
        </ns0:is>
      </ns0:c>
      <ns0:c r="H236" s="2" t="inlineStr">
        <ns0:is>
          <ns0:t>local_upload</ns0:t>
        </ns0:is>
      </ns0:c>
      <ns0:c r="I236" s="2" t="inlineStr">
        <ns0:is>
          <ns0:t>localdownload/R12401/fulltext.pdf</ns0:t>
        </ns0:is>
      </ns0:c>
      <ns0:c r="J236" s="2" t="n">
        <ns0:v>6596173</ns0:v>
      </ns0:c>
      <ns0:c r="K236" s="2" t="inlineStr">
        <ns0:is>
          <ns0:t>4db2c6aa789e227c65b13e2ed71beca1a4e3832c563271dad7c2b6eb1594e486</ns0:t>
        </ns0:is>
      </ns0:c>
      <ns0:c r="L236" s="2" t="inlineStr">
        <ns0:is>
          <ns0:t>identity_and_body_structure_verified</ns0:t>
        </ns0:is>
      </ns0:c>
      <ns0:c r="M236" s="2" t="inlineStr"/>
      <ns0:c r="N236" s="2" t="inlineStr">
        <ns0:is>
          <ns0:t>首页/前两页题名作者或目标DOI核对，全部页面解析及正文结构检查；不据文件名判全文。</ns0:t>
        </ns0:is>
      </ns0:c>
      <ns0:c r="O236" s="2" t="inlineStr">
        <ns0:is>
          <ns0:t>https://github.com/Colliam-Vermilion/FirstCodex/blob/results/ad-oxygen-literature-20261006/results/ad-oxygen-literature-20261006/original_files/R12401/fulltext/fulltext__published__4db2c6aa789e227c.pdf</ns0:t>
        </ns0:is>
      </ns0:c>
    </ns0:row>
    <ns0:row r="237" ht="48" customHeight="1">
      <ns0:c r="A237" s="3" t="inlineStr">
        <ns0:is>
          <ns0:t>R04111</ns0:t>
        </ns0:is>
      </ns0:c>
      <ns0:c r="B237" s="3" t="inlineStr">
        <ns0:is>
          <ns0:t>Microaeration through a biomembrane for biogas desulfurization: lab-scale and pilot-scale experiences</ns0:t>
        </ns0:is>
      </ns0:c>
      <ns0:c r="C237" s="3" t="inlineStr">
        <ns0:is>
          <ns0:t>10.1039/c8ew00232k</ns0:t>
        </ns0:is>
      </ns0:c>
      <ns0:c r="D237" s="3" t="inlineStr">
        <ns0:is>
          <ns0:t>fulltext</ns0:t>
        </ns0:is>
      </ns0:c>
      <ns0:c r="E237" s="3" t="inlineStr">
        <ns0:is>
          <ns0:t>出版版（版式及版权文字）</ns0:t>
        </ns0:is>
      </ns0:c>
      <ns0:c r="F237" s="3" t="inlineStr">
        <ns0:is>
          <ns0:t>fulltext.pdf</ns0:t>
        </ns0:is>
      </ns0:c>
      <ns0:c r="G237" s="3" t="inlineStr">
        <ns0:is>
          <ns0:t>original_files/R04111/fulltext/fulltext__published__4e16411a50808da0.pdf</ns0:t>
        </ns0:is>
      </ns0:c>
      <ns0:c r="H237" s="3" t="inlineStr">
        <ns0:is>
          <ns0:t>local_upload</ns0:t>
        </ns0:is>
      </ns0:c>
      <ns0:c r="I237" s="3" t="inlineStr">
        <ns0:is>
          <ns0:t>localdownload/R04111/fulltext.pdf</ns0:t>
        </ns0:is>
      </ns0:c>
      <ns0:c r="J237" s="3" t="n">
        <ns0:v>2370488</ns0:v>
      </ns0:c>
      <ns0:c r="K237" s="3" t="inlineStr">
        <ns0:is>
          <ns0:t>4e16411a50808da04b9eee3d3090cc587e0222f008c01b6a99b9e26589e20caa</ns0:t>
        </ns0:is>
      </ns0:c>
      <ns0:c r="L237" s="3" t="inlineStr">
        <ns0:is>
          <ns0:t>identity_and_body_structure_verified</ns0:t>
        </ns0:is>
      </ns0:c>
      <ns0:c r="M237" s="3" t="inlineStr"/>
      <ns0:c r="N237" s="3" t="inlineStr">
        <ns0:is>
          <ns0:t>首页/前两页题名作者或目标DOI核对，全部页面解析及正文结构检查；不据文件名判全文。</ns0:t>
        </ns0:is>
      </ns0:c>
      <ns0:c r="O237" s="3" t="inlineStr">
        <ns0:is>
          <ns0:t>https://github.com/Colliam-Vermilion/FirstCodex/blob/results/ad-oxygen-literature-20261006/results/ad-oxygen-literature-20261006/original_files/R04111/fulltext/fulltext__published__4e16411a50808da0.pdf</ns0:t>
        </ns0:is>
      </ns0:c>
    </ns0:row>
    <ns0:row r="238" ht="48" customHeight="1">
      <ns0:c r="A238" s="2" t="inlineStr">
        <ns0:is>
          <ns0:t>R00379</ns0:t>
        </ns0:is>
      </ns0:c>
      <ns0:c r="B238" s="2" t="inlineStr">
        <ns0:is>
          <ns0:t>Robustness of the microaerobic removal of hydrogen sulfide from biogas</ns0:t>
        </ns0:is>
      </ns0:c>
      <ns0:c r="C238" s="2" t="inlineStr">
        <ns0:is>
          <ns0:t>10.2166/wst.2012.013</ns0:t>
        </ns0:is>
      </ns0:c>
      <ns0:c r="D238" s="2" t="inlineStr">
        <ns0:is>
          <ns0:t>fulltext</ns0:t>
        </ns0:is>
      </ns0:c>
      <ns0:c r="E238" s="2" t="inlineStr">
        <ns0:is>
          <ns0:t>出版版（版式及版权文字）</ns0:t>
        </ns0:is>
      </ns0:c>
      <ns0:c r="F238" s="2" t="inlineStr">
        <ns0:is>
          <ns0:t>fulltext.pdf</ns0:t>
        </ns0:is>
      </ns0:c>
      <ns0:c r="G238" s="2" t="inlineStr">
        <ns0:is>
          <ns0:t>original_files/R00379/fulltext/fulltext__published__4f8df7de0de247c6.pdf</ns0:t>
        </ns0:is>
      </ns0:c>
      <ns0:c r="H238" s="2" t="inlineStr">
        <ns0:is>
          <ns0:t>local_upload</ns0:t>
        </ns0:is>
      </ns0:c>
      <ns0:c r="I238" s="2" t="inlineStr">
        <ns0:is>
          <ns0:t>localdownload/R00379/fulltext.pdf</ns0:t>
        </ns0:is>
      </ns0:c>
      <ns0:c r="J238" s="2" t="n">
        <ns0:v>405788</ns0:v>
      </ns0:c>
      <ns0:c r="K238" s="2" t="inlineStr">
        <ns0:is>
          <ns0:t>4f8df7de0de247c639b66c209645dbb840bdcf8799fcc572d8eebd7343e46deb</ns0:t>
        </ns0:is>
      </ns0:c>
      <ns0:c r="L238" s="2" t="inlineStr">
        <ns0:is>
          <ns0:t>identity_and_body_structure_verified</ns0:t>
        </ns0:is>
      </ns0:c>
      <ns0:c r="M238" s="2" t="inlineStr"/>
      <ns0:c r="N238" s="2" t="inlineStr">
        <ns0:is>
          <ns0:t>首页/前两页题名作者或目标DOI核对，全部页面解析及正文结构检查；不据文件名判全文。</ns0:t>
        </ns0:is>
      </ns0:c>
      <ns0:c r="O238" s="2" t="inlineStr">
        <ns0:is>
          <ns0:t>https://github.com/Colliam-Vermilion/FirstCodex/blob/results/ad-oxygen-literature-20261006/results/ad-oxygen-literature-20261006/original_files/R00379/fulltext/fulltext__published__4f8df7de0de247c6.pdf</ns0:t>
        </ns0:is>
      </ns0:c>
    </ns0:row>
    <ns0:row r="239" ht="48" customHeight="1">
      <ns0:c r="A239" s="3" t="inlineStr">
        <ns0:is>
          <ns0:t>R07908</ns0:t>
        </ns0:is>
      </ns0:c>
      <ns0:c r="B239" s="3" t="inlineStr">
        <ns0:is>
          <ns0:t>Improving Anaerobic Digestion of Brewery and Distillery Spent Grains through Aeration across a Silicone Membrane</ns0:t>
        </ns0:is>
      </ns0:c>
      <ns0:c r="C239" s="3" t="inlineStr">
        <ns0:is>
          <ns0:t>10.3390/su14052755</ns0:t>
        </ns0:is>
      </ns0:c>
      <ns0:c r="D239" s="3" t="inlineStr">
        <ns0:is>
          <ns0:t>fulltext</ns0:t>
        </ns0:is>
      </ns0:c>
      <ns0:c r="E239" s="3" t="inlineStr">
        <ns0:is>
          <ns0:t>出版版本（原页出版信息）</ns0:t>
        </ns0:is>
      </ns0:c>
      <ns0:c r="F239" s="3" t="inlineStr">
        <ns0:is>
          <ns0:t>R07908_2022_Improving_Anaerobic_Digestion_of_Brewery_and_Distillery_Spent_Grains.pdf</ns0:t>
        </ns0:is>
      </ns0:c>
      <ns0:c r="G239" s="3" t="inlineStr">
        <ns0:is>
          <ns0:t>original_files/R07908/fulltext/fulltext__published__508bae4b9d86cb53.pdf</ns0:t>
        </ns0:is>
      </ns0:c>
      <ns0:c r="H239" s="3" t="inlineStr">
        <ns0:is>
          <ns0:t>cloud_existing</ns0:t>
        </ns0:is>
      </ns0:c>
      <ns0:c r="I239" s="3" t="inlineStr">
        <ns0:is>
          <ns0:t>original_files/fulltext/R07908_2022_Improving_Anaerobic_Digestion_of_Brewery_and_Distillery_Spent_Grains.pdf</ns0:t>
        </ns0:is>
      </ns0:c>
      <ns0:c r="J239" s="3" t="n">
        <ns0:v>959128</ns0:v>
      </ns0:c>
      <ns0:c r="K239" s="3" t="inlineStr">
        <ns0:is>
          <ns0:t>508bae4b9d86cb53fd905fe1ae4e5455f1eb6c23e8e4099ec488d6843b0c9b86</ns0:t>
        </ns0:is>
      </ns0:c>
      <ns0:c r="L239" s="3" t="inlineStr">
        <ns0:is>
          <ns0:t>identity_and_body_structure_verified</ns0:t>
        </ns0:is>
      </ns0:c>
      <ns0:c r="M239" s="3" t="inlineStr"/>
      <ns0:c r="N239" s="3" t="inlineStr">
        <ns0:is>
          <ns0:t>首页/前两页题名作者或目标DOI核对，全部页面解析及正文结构检查；不据文件名判全文。</ns0:t>
        </ns0:is>
      </ns0:c>
      <ns0:c r="O239" s="3" t="inlineStr">
        <ns0:is>
          <ns0:t>https://github.com/Colliam-Vermilion/FirstCodex/blob/results/ad-oxygen-literature-20261006/results/ad-oxygen-literature-20261006/original_files/R07908/fulltext/fulltext__published__508bae4b9d86cb53.pdf</ns0:t>
        </ns0:is>
      </ns0:c>
    </ns0:row>
    <ns0:row r="240" ht="48" customHeight="1">
      <ns0:c r="A240" s="2" t="inlineStr">
        <ns0:is>
          <ns0:t>R08016</ns0:t>
        </ns0:is>
      </ns0:c>
      <ns0:c r="B240" s="2" t="inlineStr">
        <ns0:is>
          <ns0:t>Micro-Aerobic Pre-Treatment vs. Thermal Pre-Treatment of Waste Activated Sludge for Its Subsequent Anaerobic Digestion in Semi-Continuous Digesters: A Comparative Study</ns0:t>
        </ns0:is>
      </ns0:c>
      <ns0:c r="C240" s="2" t="inlineStr">
        <ns0:is>
          <ns0:t>10.3390/fermentation8100565</ns0:t>
        </ns0:is>
      </ns0:c>
      <ns0:c r="D240" s="2" t="inlineStr">
        <ns0:is>
          <ns0:t>fulltext</ns0:t>
        </ns0:is>
      </ns0:c>
      <ns0:c r="E240" s="2" t="inlineStr">
        <ns0:is>
          <ns0:t>出版版本（原页出版信息）</ns0:t>
        </ns0:is>
      </ns0:c>
      <ns0:c r="F240" s="2" t="inlineStr">
        <ns0:is>
          <ns0:t>R08016_2022_Micro-Aerobic_Pre-Treatment_vs_Thermal_Pre-Treatment_of_Waste_Activated_Sludge.pdf</ns0:t>
        </ns0:is>
      </ns0:c>
      <ns0:c r="G240" s="2" t="inlineStr">
        <ns0:is>
          <ns0:t>original_files/R08016/fulltext/fulltext__published__50ed49bc2c646167.pdf</ns0:t>
        </ns0:is>
      </ns0:c>
      <ns0:c r="H240" s="2" t="inlineStr">
        <ns0:is>
          <ns0:t>cloud_existing</ns0:t>
        </ns0:is>
      </ns0:c>
      <ns0:c r="I240" s="2" t="inlineStr">
        <ns0:is>
          <ns0:t>original_files/fulltext/R08016_2022_Micro-Aerobic_Pre-Treatment_vs_Thermal_Pre-Treatment_of_Waste_Activated_Sludge.pdf</ns0:t>
        </ns0:is>
      </ns0:c>
      <ns0:c r="J240" s="2" t="n">
        <ns0:v>1843426</ns0:v>
      </ns0:c>
      <ns0:c r="K240" s="2" t="inlineStr">
        <ns0:is>
          <ns0:t>50ed49bc2c646167efb9fd14f44c6ac482f1e8581341292393f406414575960f</ns0:t>
        </ns0:is>
      </ns0:c>
      <ns0:c r="L240" s="2" t="inlineStr">
        <ns0:is>
          <ns0:t>identity_and_body_structure_verified</ns0:t>
        </ns0:is>
      </ns0:c>
      <ns0:c r="M240" s="2" t="inlineStr"/>
      <ns0:c r="N240" s="2" t="inlineStr">
        <ns0:is>
          <ns0:t>首页/前两页题名作者或目标DOI核对，全部页面解析及正文结构检查；不据文件名判全文。</ns0:t>
        </ns0:is>
      </ns0:c>
      <ns0:c r="O240" s="2" t="inlineStr">
        <ns0:is>
          <ns0:t>https://github.com/Colliam-Vermilion/FirstCodex/blob/results/ad-oxygen-literature-20261006/results/ad-oxygen-literature-20261006/original_files/R08016/fulltext/fulltext__published__50ed49bc2c646167.pdf</ns0:t>
        </ns0:is>
      </ns0:c>
    </ns0:row>
    <ns0:row r="241" ht="48" customHeight="1">
      <ns0:c r="A241" s="3" t="inlineStr">
        <ns0:is>
          <ns0:t>R02370</ns0:t>
        </ns0:is>
      </ns0:c>
      <ns0:c r="B241" s="3" t="inlineStr">
        <ns0:is>
          <ns0:t>Change of the Digested Sludge Quality at Microaerobic Digestion</ns0:t>
        </ns0:is>
      </ns0:c>
      <ns0:c r="C241" s="3" t="inlineStr"/>
      <ns0:c r="D241" s="3" t="inlineStr">
        <ns0:is>
          <ns0:t>fulltext</ns0:t>
        </ns0:is>
      </ns0:c>
      <ns0:c r="E241" s="3" t="inlineStr">
        <ns0:is>
          <ns0:t>出版版（版式及版权文字）</ns0:t>
        </ns0:is>
      </ns0:c>
      <ns0:c r="F241" s="3" t="inlineStr">
        <ns0:is>
          <ns0:t>fulltext.pdf</ns0:t>
        </ns0:is>
      </ns0:c>
      <ns0:c r="G241" s="3" t="inlineStr">
        <ns0:is>
          <ns0:t>original_files/R02370/fulltext/fulltext__published__534deaaf21ea8112.pdf</ns0:t>
        </ns0:is>
      </ns0:c>
      <ns0:c r="H241" t="inlineStr">
        <ns0:is>
          <ns0:t>local_upload; main@ab8353c误传副本</ns0:t>
        </ns0:is>
      </ns0:c>
      <ns0:c r="I241" t="inlineStr">
        <ns0:is>
          <ns0:t>localdownload/R02370/fulltext.pdf; main@ab8353c:R02370/fulltext.pdf</ns0:t>
        </ns0:is>
      </ns0:c>
      <ns0:c r="J241" s="3" t="n">
        <ns0:v>814081</ns0:v>
      </ns0:c>
      <ns0:c r="K241" s="3" t="inlineStr">
        <ns0:is>
          <ns0:t>534deaaf21ea81128d1d8f274bfdcfeb929363b9d6872939487b6f2945bc6fb6</ns0:t>
        </ns0:is>
      </ns0:c>
      <ns0:c r="L241" s="3" t="inlineStr">
        <ns0:is>
          <ns0:t>identity_and_body_structure_verified</ns0:t>
        </ns0:is>
      </ns0:c>
      <ns0:c r="M241" s="3" t="inlineStr"/>
      <ns0:c r="N241" s="3" t="inlineStr">
        <ns0:is>
          <ns0:t>首页/前两页题名作者或目标DOI核对，全部页面解析及正文结构检查；不据文件名判全文。</ns0:t>
        </ns0:is>
      </ns0:c>
      <ns0:c r="O241" s="3" t="inlineStr">
        <ns0:is>
          <ns0:t>https://github.com/Colliam-Vermilion/FirstCodex/blob/results/ad-oxygen-literature-20261006/results/ad-oxygen-literature-20261006/original_files/R02370/fulltext/fulltext__published__534deaaf21ea8112.pdf</ns0:t>
        </ns0:is>
      </ns0:c>
    </ns0:row>
    <ns0:row r="242" ht="48" customHeight="1">
      <ns0:c r="A242" s="2" t="inlineStr">
        <ns0:is>
          <ns0:t>R13955</ns0:t>
        </ns0:is>
      </ns0:c>
      <ns0:c r="B242" s="2" t="inlineStr">
        <ns0:is>
          <ns0:t>Biogas Production from Lignocellulosic Biomass : Impact of pre-treatment, co-digestion, harvest time and inoculation</ns0:t>
        </ns0:is>
      </ns0:c>
      <ns0:c r="C242" s="2" t="inlineStr"/>
      <ns0:c r="D242" s="2" t="inlineStr">
        <ns0:is>
          <ns0:t>fulltext</ns0:t>
        </ns0:is>
      </ns0:c>
      <ns0:c r="E242" s="2" t="inlineStr">
        <ns0:is>
          <ns0:t>学位/学生报告原稿（分章节者按组）</ns0:t>
        </ns0:is>
      </ns0:c>
      <ns0:c r="F242" s="2" t="inlineStr">
        <ns0:is>
          <ns0:t>R13955_2017_Biogas_Production_Thesis__20261017_variant_536763265cdc.pdf</ns0:t>
        </ns0:is>
      </ns0:c>
      <ns0:c r="G242" s="2" t="inlineStr">
        <ns0:is>
          <ns0:t>original_files/R13955/fulltext/fulltext__thesis__536763265cdc087f.pdf</ns0:t>
        </ns0:is>
      </ns0:c>
      <ns0:c r="H242" s="2" t="inlineStr">
        <ns0:is>
          <ns0:t>cloud_existing</ns0:t>
        </ns0:is>
      </ns0:c>
      <ns0:c r="I242" s="2" t="inlineStr">
        <ns0:is>
          <ns0:t>original_files/fulltext/R13955_2017_Biogas_Production_Thesis__20261017_variant_536763265cdc.pdf</ns0:t>
        </ns0:is>
      </ns0:c>
      <ns0:c r="J242" s="2" t="n">
        <ns0:v>14662119</ns0:v>
      </ns0:c>
      <ns0:c r="K242" s="2" t="inlineStr">
        <ns0:is>
          <ns0:t>536763265cdc087f2b0941e5305f33d2b98cc70ec29c58af4e238d1801b5fdce</ns0:t>
        </ns0:is>
      </ns0:c>
      <ns0:c r="L242" s="2" t="inlineStr">
        <ns0:is>
          <ns0:t>identity_and_body_structure_verified</ns0:t>
        </ns0:is>
      </ns0:c>
      <ns0:c r="M242" s="2" t="inlineStr"/>
      <ns0:c r="N242" s="2" t="inlineStr">
        <ns0:is>
          <ns0:t>首页/前两页题名作者或目标DOI核对，全部页面解析及正文结构检查；不据文件名判全文。</ns0:t>
        </ns0:is>
      </ns0:c>
      <ns0:c r="O242" s="2" t="inlineStr">
        <ns0:is>
          <ns0:t>https://github.com/Colliam-Vermilion/FirstCodex/blob/results/ad-oxygen-literature-20261006/results/ad-oxygen-literature-20261006/original_files/R13955/fulltext/fulltext__thesis__536763265cdc087f.pdf</ns0:t>
        </ns0:is>
      </ns0:c>
    </ns0:row>
    <ns0:row r="243" ht="48" customHeight="1">
      <ns0:c r="A243" s="3" t="inlineStr">
        <ns0:is>
          <ns0:t>R06833</ns0:t>
        </ns0:is>
      </ns0:c>
      <ns0:c r="B243" s="3" t="inlineStr">
        <ns0:is>
          <ns0:t>Intermittent air mixing system for anaerobic digestion of animal wastewater: Operating conditions and full-scale validation</ns0:t>
        </ns0:is>
      </ns0:c>
      <ns0:c r="C243" s="3" t="inlineStr">
        <ns0:is>
          <ns0:t>10.1016/j.biortech.2021.125304</ns0:t>
        </ns0:is>
      </ns0:c>
      <ns0:c r="D243" s="3" t="inlineStr">
        <ns0:is>
          <ns0:t>fulltext</ns0:t>
        </ns0:is>
      </ns0:c>
      <ns0:c r="E243" s="3" t="inlineStr">
        <ns0:is>
          <ns0:t>出版版（版式及版权文字）</ns0:t>
        </ns0:is>
      </ns0:c>
      <ns0:c r="F243" s="3" t="inlineStr">
        <ns0:is>
          <ns0:t>fulltext.pdf</ns0:t>
        </ns0:is>
      </ns0:c>
      <ns0:c r="G243" s="3" t="inlineStr">
        <ns0:is>
          <ns0:t>original_files/R06833/fulltext/fulltext__published__53f509fabb5e17de.pdf</ns0:t>
        </ns0:is>
      </ns0:c>
      <ns0:c r="H243" s="3" t="inlineStr">
        <ns0:is>
          <ns0:t>local_upload</ns0:t>
        </ns0:is>
      </ns0:c>
      <ns0:c r="I243" s="3" t="inlineStr">
        <ns0:is>
          <ns0:t>localdownload/R06833/fulltext.pdf</ns0:t>
        </ns0:is>
      </ns0:c>
      <ns0:c r="J243" s="3" t="n">
        <ns0:v>694659</ns0:v>
      </ns0:c>
      <ns0:c r="K243" s="3" t="inlineStr">
        <ns0:is>
          <ns0:t>53f509fabb5e17ded9dcd86439ae9251400aa4f57fa822958a4e74bbd6e4050c</ns0:t>
        </ns0:is>
      </ns0:c>
      <ns0:c r="L243" s="3" t="inlineStr">
        <ns0:is>
          <ns0:t>identity_and_body_structure_verified</ns0:t>
        </ns0:is>
      </ns0:c>
      <ns0:c r="M243" s="3" t="inlineStr"/>
      <ns0:c r="N243" s="3" t="inlineStr">
        <ns0:is>
          <ns0:t>首页/前两页题名作者或目标DOI核对，全部页面解析及正文结构检查；不据文件名判全文。</ns0:t>
        </ns0:is>
      </ns0:c>
      <ns0:c r="O243" s="3" t="inlineStr">
        <ns0:is>
          <ns0:t>https://github.com/Colliam-Vermilion/FirstCodex/blob/results/ad-oxygen-literature-20261006/results/ad-oxygen-literature-20261006/original_files/R06833/fulltext/fulltext__published__53f509fabb5e17de.pdf</ns0:t>
        </ns0:is>
      </ns0:c>
    </ns0:row>
    <ns0:row r="244" ht="48" customHeight="1">
      <ns0:c r="A244" s="2" t="inlineStr">
        <ns0:is>
          <ns0:t>R13969</ns0:t>
        </ns0:is>
      </ns0:c>
      <ns0:c r="B244" s="2" t="inlineStr">
        <ns0:is>
          <ns0:t>Effects of microaeration on hydrogen and methane production from cassava wastewater using a two-stage UASB system</ns0:t>
        </ns0:is>
      </ns0:c>
      <ns0:c r="C244" s="2" t="inlineStr">
        <ns0:is>
          <ns0:t>10.58837/chula.the.2015.1953</ns0:t>
        </ns0:is>
      </ns0:c>
      <ns0:c r="D244" s="2" t="inlineStr">
        <ns0:is>
          <ns0:t>fulltext</ns0:t>
        </ns0:is>
      </ns0:c>
      <ns0:c r="E244" s="2" t="inlineStr">
        <ns0:is>
          <ns0:t>学位/学生报告原稿（分章节者按组）</ns0:t>
        </ns0:is>
      </ns0:c>
      <ns0:c r="F244" s="2" t="inlineStr">
        <ns0:is>
          <ns0:t>R13969_Pairin_tu_ch5_p.pdf</ns0:t>
        </ns0:is>
      </ns0:c>
      <ns0:c r="G244" s="2" t="inlineStr">
        <ns0:is>
          <ns0:t>original_files/R13969/fulltext/fulltext__thesis__546cae968d98e8de.pdf</ns0:t>
        </ns0:is>
      </ns0:c>
      <ns0:c r="H244" s="2" t="inlineStr">
        <ns0:is>
          <ns0:t>cloud_existing</ns0:t>
        </ns0:is>
      </ns0:c>
      <ns0:c r="I244" s="2" t="inlineStr">
        <ns0:is>
          <ns0:t>original_files/fulltext/R13969_Pairin_tu_ch5_p.pdf</ns0:t>
        </ns0:is>
      </ns0:c>
      <ns0:c r="J244" s="2" t="n">
        <ns0:v>637595</ns0:v>
      </ns0:c>
      <ns0:c r="K244" s="2" t="inlineStr">
        <ns0:is>
          <ns0:t>546cae968d98e8de6bc8531eb6157f426feb10dd51c5b00ecfeca016b79f69c8</ns0:t>
        </ns0:is>
      </ns0:c>
      <ns0:c r="L244" s="2" t="inlineStr">
        <ns0:is>
          <ns0:t>complete_multipart_thesis_group_verified</ns0:t>
        </ns0:is>
      </ns0:c>
      <ns0:c r="M244" s="2" t="inlineStr"/>
      <ns0:c r="N244" s="2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244" s="2" t="inlineStr">
        <ns0:is>
          <ns0:t>https://github.com/Colliam-Vermilion/FirstCodex/blob/results/ad-oxygen-literature-20261006/results/ad-oxygen-literature-20261006/original_files/R13969/fulltext/fulltext__thesis__546cae968d98e8de.pdf</ns0:t>
        </ns0:is>
      </ns0:c>
    </ns0:row>
    <ns0:row r="245" ht="48" customHeight="1">
      <ns0:c r="A245" s="3" t="inlineStr">
        <ns0:is>
          <ns0:t>R02863</ns0:t>
        </ns0:is>
      </ns0:c>
      <ns0:c r="B245" s="3" t="inlineStr">
        <ns0:is>
          <ns0:t>Transformations, Inhibition and Inhibition Control Methods of Sulfur in Sludge Anaerobic Digestion: A Review</ns0:t>
        </ns0:is>
      </ns0:c>
      <ns0:c r="C245" s="3" t="inlineStr">
        <ns0:is>
          <ns0:t>10.2174/1385272820666160513152913</ns0:t>
        </ns0:is>
      </ns0:c>
      <ns0:c r="D245" s="3" t="inlineStr">
        <ns0:is>
          <ns0:t>source_evidence</ns0:t>
        </ns0:is>
      </ns0:c>
      <ns0:c r="E245" s="3" t="inlineStr"/>
      <ns0:c r="F245" s="3" t="inlineStr">
        <ns0:is>
          <ns0:t>publisher_article_page_20261017.html</ns0:t>
        </ns0:is>
      </ns0:c>
      <ns0:c r="G245" s="3" t="inlineStr">
        <ns0:is>
          <ns0:t>original_files/R02863/evidence/source_evidence__54771bcb9e18baba.html</ns0:t>
        </ns0:is>
      </ns0:c>
      <ns0:c r="H245" s="3" t="inlineStr">
        <ns0:is>
          <ns0:t>cloud_existing</ns0:t>
        </ns0:is>
      </ns0:c>
      <ns0:c r="I245" s="3" t="inlineStr">
        <ns0:is>
          <ns0:t>original_files/source_evidence/R02863/publisher_article_page_20261017.html</ns0:t>
        </ns0:is>
      </ns0:c>
      <ns0:c r="J245" s="3" t="n">
        <ns0:v>145988</ns0:v>
      </ns0:c>
      <ns0:c r="K245" s="3" t="inlineStr">
        <ns0:is>
          <ns0:t>54771bcb9e18babaa26f3bbfb99bfc921da4cf2d965ee5e64e2905f87582b172</ns0:t>
        </ns0:is>
      </ns0:c>
      <ns0:c r="L245" s="3" t="inlineStr">
        <ns0:is>
          <ns0:t>text_readable</ns0:t>
        </ns0:is>
      </ns0:c>
      <ns0:c r="M245" s="3" t="inlineStr"/>
      <ns0:c r="N245" s="3" t="inlineStr"/>
      <ns0:c r="O245" s="3" t="inlineStr">
        <ns0:is>
          <ns0:t>https://github.com/Colliam-Vermilion/FirstCodex/blob/results/ad-oxygen-literature-20261006/results/ad-oxygen-literature-20261006/original_files/R02863/evidence/source_evidence__54771bcb9e18baba.html</ns0:t>
        </ns0:is>
      </ns0:c>
    </ns0:row>
    <ns0:row r="246" ht="48" customHeight="1">
      <ns0:c r="A246" s="2" t="inlineStr">
        <ns0:is>
          <ns0:t>R08877</ns0:t>
        </ns0:is>
      </ns0:c>
      <ns0:c r="B246" s="2" t="inlineStr">
        <ns0:is>
          <ns0:t>Effects of Low Oxygen Dosages on an Anaerobic Membrane Bioreactor, Simulating the Oxygen Load in an Anaerobic Digester-Dissolved Air Flotation (AD-DAF) System</ns0:t>
        </ns0:is>
      </ns0:c>
      <ns0:c r="C246" s="2" t="inlineStr">
        <ns0:is>
          <ns0:t>10.1021/acsestwater.3c00544</ns0:t>
        </ns0:is>
      </ns0:c>
      <ns0:c r="D246" s="2" t="inlineStr">
        <ns0:is>
          <ns0:t>supplementary</ns0:t>
        </ns0:is>
      </ns0:c>
      <ns0:c r="E246" s="2" t="inlineStr"/>
      <ns0:c r="F246" s="2" t="inlineStr">
        <ns0:is>
          <ns0:t>ew3c00544_si_001.pdf</ns0:t>
        </ns0:is>
      </ns0:c>
      <ns0:c r="G246" s="2" t="inlineStr">
        <ns0:is>
          <ns0:t>original_files/R08877/supplementary/supplementary__54c68cdd7a64c260.pdf</ns0:t>
        </ns0:is>
      </ns0:c>
      <ns0:c r="H246" s="2" t="inlineStr">
        <ns0:is>
          <ns0:t>cloud_existing</ns0:t>
        </ns0:is>
      </ns0:c>
      <ns0:c r="I246" s="2" t="inlineStr">
        <ns0:is>
          <ns0:t>original_files/supplementary/R08877/ew3c00544_si_001.pdf</ns0:t>
        </ns0:is>
      </ns0:c>
      <ns0:c r="J246" s="2" t="n">
        <ns0:v>296723</ns0:v>
      </ns0:c>
      <ns0:c r="K246" s="2" t="inlineStr">
        <ns0:is>
          <ns0:t>54c68cdd7a64c260a084eb8cc9cd9849207b8e09b99db8af3152606cdd3a1f28</ns0:t>
        </ns0:is>
      </ns0:c>
      <ns0:c r="L246" s="2" t="inlineStr">
        <ns0:is>
          <ns0:t>pdf_readable_requires_role_review</ns0:t>
        </ns0:is>
      </ns0:c>
      <ns0:c r="M246" s="2" t="inlineStr">
        <ns0:is>
          <ns0:t>existing_official_attachment_evidence_retained</ns0:t>
        </ns0:is>
      </ns0:c>
      <ns0:c r="N246" s="2" t="inlineStr"/>
      <ns0:c r="O246" s="2" t="inlineStr">
        <ns0:is>
          <ns0:t>https://github.com/Colliam-Vermilion/FirstCodex/blob/results/ad-oxygen-literature-20261006/results/ad-oxygen-literature-20261006/original_files/R08877/supplementary/supplementary__54c68cdd7a64c260.pdf</ns0:t>
        </ns0:is>
      </ns0:c>
    </ns0:row>
    <ns0:row r="247" ht="48" customHeight="1">
      <ns0:c r="A247" s="3" t="inlineStr">
        <ns0:is>
          <ns0:t>R13961</ns0:t>
        </ns0:is>
      </ns0:c>
      <ns0:c r="B247" s="3" t="inlineStr">
        <ns0:is>
          <ns0:t>Comparison of oleate conversion under microaerophilic and anaerobic conditions</ns0:t>
        </ns0:is>
      </ns0:c>
      <ns0:c r="C247" s="3" t="inlineStr"/>
      <ns0:c r="D247" s="3" t="inlineStr">
        <ns0:is>
          <ns0:t>abstract</ns0:t>
        </ns0:is>
      </ns0:c>
      <ns0:c r="E247" s="3" t="inlineStr"/>
      <ns0:c r="F247" s="3" t="inlineStr">
        <ns0:is>
          <ns0:t>abstract.pdf</ns0:t>
        </ns0:is>
      </ns0:c>
      <ns0:c r="G247" s="3" t="inlineStr">
        <ns0:is>
          <ns0:t>original_files/R13961/abstract_poster/abstract__562753f2a6ce761d.pdf</ns0:t>
        </ns0:is>
      </ns0:c>
      <ns0:c r="H247" s="3" t="inlineStr">
        <ns0:is>
          <ns0:t>local_upload</ns0:t>
        </ns0:is>
      </ns0:c>
      <ns0:c r="I247" s="3" t="inlineStr">
        <ns0:is>
          <ns0:t>localdownload/R13961/abstract.pdf</ns0:t>
        </ns0:is>
      </ns0:c>
      <ns0:c r="J247" s="3" t="n">
        <ns0:v>537898</ns0:v>
      </ns0:c>
      <ns0:c r="K247" s="3" t="inlineStr">
        <ns0:is>
          <ns0:t>562753f2a6ce761d8b59314f708142895cf12e6a731910750ff226abe870bf0d</ns0:t>
        </ns0:is>
      </ns0:c>
      <ns0:c r="L247" s="3" t="inlineStr">
        <ns0:is>
          <ns0:t>abstract_identity_verified_not_fulltext</ns0:t>
        </ns0:is>
      </ns0:c>
      <ns0:c r="M247" s="3" t="inlineStr"/>
      <ns0:c r="N247" s="3" t="inlineStr">
        <ns0:is>
          <ns0:t>内容为会议摘要/展示材料，题名核对，仅摘要，不计已取得全文。</ns0:t>
        </ns0:is>
      </ns0:c>
      <ns0:c r="O247" s="3" t="inlineStr">
        <ns0:is>
          <ns0:t>https://github.com/Colliam-Vermilion/FirstCodex/blob/results/ad-oxygen-literature-20261006/results/ad-oxygen-literature-20261006/original_files/R13961/abstract_poster/abstract__562753f2a6ce761d.pdf</ns0:t>
        </ns0:is>
      </ns0:c>
    </ns0:row>
    <ns0:row r="248" ht="48" customHeight="1">
      <ns0:c r="A248" s="2" t="inlineStr">
        <ns0:is>
          <ns0:t>R12985</ns0:t>
        </ns0:is>
      </ns0:c>
      <ns0:c r="B248" s="2" t="inlineStr">
        <ns0:is>
          <ns0:t>Evaluation of Anaerobic Digestion Amended with Micro-Aeration and/or Sound Treatment on the Resistome and Virulence Factor Gene Profiles in Poultry Litter</ns0:t>
        </ns0:is>
      </ns0:c>
      <ns0:c r="C248" s="2" t="inlineStr">
        <ns0:is>
          <ns0:t>10.3390/antibiotics15020153</ns0:t>
        </ns0:is>
      </ns0:c>
      <ns0:c r="D248" s="2" t="inlineStr">
        <ns0:is>
          <ns0:t>derived</ns0:t>
        </ns0:is>
      </ns0:c>
      <ns0:c r="E248" s="2" t="inlineStr"/>
      <ns0:c r="F248" s="2" t="inlineStr">
        <ns0:is>
          <ns0:t>Supplementary Table S2-origin species for ARG alignments.xlsx</ns0:t>
        </ns0:is>
      </ns0:c>
      <ns0:c r="G248" s="2" t="inlineStr">
        <ns0:is>
          <ns0:t>original_files/R12985/derived/derived__566b622e9e41dce1.xlsx</ns0:t>
        </ns0:is>
      </ns0:c>
      <ns0:c r="H248" s="2" t="inlineStr">
        <ns0:is>
          <ns0:t>cloud_existing</ns0:t>
        </ns0:is>
      </ns0:c>
      <ns0:c r="I248" s="2" t="inlineStr">
        <ns0:is>
          <ns0:t>original_files/supplementary/R12985/extracted/Supplementary Table S2-origin species for ARG alignments.xlsx</ns0:t>
        </ns0:is>
      </ns0:c>
      <ns0:c r="J248" s="2" t="n">
        <ns0:v>20081</ns0:v>
      </ns0:c>
      <ns0:c r="K248" s="2" t="inlineStr">
        <ns0:is>
          <ns0:t>566b622e9e41dce192aa4e95ba6109b96510adfe331bb094e244b364b1e2e15d</ns0:t>
        </ns0:is>
      </ns0:c>
      <ns0:c r="L248" s="2" t="inlineStr">
        <ns0:is>
          <ns0:t>xlsx_open_and_zip_crc_verified</ns0:t>
        </ns0:is>
      </ns0:c>
      <ns0:c r="M248" s="2" t="inlineStr"/>
      <ns0:c r="N248" s="2" t="inlineStr"/>
      <ns0:c r="O248" s="2" t="inlineStr">
        <ns0:is>
          <ns0:t>https://github.com/Colliam-Vermilion/FirstCodex/blob/results/ad-oxygen-literature-20261006/results/ad-oxygen-literature-20261006/original_files/R12985/derived/derived__566b622e9e41dce1.xlsx</ns0:t>
        </ns0:is>
      </ns0:c>
    </ns0:row>
    <ns0:row r="249" ht="48" customHeight="1">
      <ns0:c r="A249" s="3" t="inlineStr">
        <ns0:is>
          <ns0:t>R06092</ns0:t>
        </ns0:is>
      </ns0:c>
      <ns0:c r="B249" s="3" t="inlineStr">
        <ns0:is>
          <ns0:t>Simultaneous H2S mitigation and methanization enhancement of chicken manure through the introduction of the micro-aeration approach</ns0:t>
        </ns0:is>
      </ns0:c>
      <ns0:c r="C249" s="3" t="inlineStr">
        <ns0:is>
          <ns0:t>10.1016/j.chemosphere.2020.126687</ns0:t>
        </ns0:is>
      </ns0:c>
      <ns0:c r="D249" s="3" t="inlineStr">
        <ns0:is>
          <ns0:t>fulltext</ns0:t>
        </ns0:is>
      </ns0:c>
      <ns0:c r="E249" s="3" t="inlineStr">
        <ns0:is>
          <ns0:t>出版版（版式及版权文字）</ns0:t>
        </ns0:is>
      </ns0:c>
      <ns0:c r="F249" s="3" t="inlineStr">
        <ns0:is>
          <ns0:t>fulltext.pdf</ns0:t>
        </ns0:is>
      </ns0:c>
      <ns0:c r="G249" s="3" t="inlineStr">
        <ns0:is>
          <ns0:t>original_files/R06092/fulltext/fulltext__published__5716062113242d9a.pdf</ns0:t>
        </ns0:is>
      </ns0:c>
      <ns0:c r="H249" s="3" t="inlineStr">
        <ns0:is>
          <ns0:t>local_upload</ns0:t>
        </ns0:is>
      </ns0:c>
      <ns0:c r="I249" s="3" t="inlineStr">
        <ns0:is>
          <ns0:t>localdownload/R06092/fulltext.pdf</ns0:t>
        </ns0:is>
      </ns0:c>
      <ns0:c r="J249" s="3" t="n">
        <ns0:v>1610736</ns0:v>
      </ns0:c>
      <ns0:c r="K249" s="3" t="inlineStr">
        <ns0:is>
          <ns0:t>5716062113242d9a7f08972a2b5152a0b67da5fbd6d240fd3e76ccede85d7fd4</ns0:t>
        </ns0:is>
      </ns0:c>
      <ns0:c r="L249" s="3" t="inlineStr">
        <ns0:is>
          <ns0:t>identity_and_body_structure_verified</ns0:t>
        </ns0:is>
      </ns0:c>
      <ns0:c r="M249" s="3" t="inlineStr"/>
      <ns0:c r="N249" s="3" t="inlineStr">
        <ns0:is>
          <ns0:t>首页/前两页题名作者或目标DOI核对，全部页面解析及正文结构检查；不据文件名判全文。</ns0:t>
        </ns0:is>
      </ns0:c>
      <ns0:c r="O249" s="3" t="inlineStr">
        <ns0:is>
          <ns0:t>https://github.com/Colliam-Vermilion/FirstCodex/blob/results/ad-oxygen-literature-20261006/results/ad-oxygen-literature-20261006/original_files/R06092/fulltext/fulltext__published__5716062113242d9a.pdf</ns0:t>
        </ns0:is>
      </ns0:c>
    </ns0:row>
    <ns0:row r="250" ht="48" customHeight="1">
      <ns0:c r="A250" s="2" t="inlineStr"/>
      <ns0:c r="B250" s="2" t="inlineStr"/>
      <ns0:c r="C250" s="2" t="inlineStr"/>
      <ns0:c r="D250" s="2" t="inlineStr">
        <ns0:is>
          <ns0:t>source_evidence</ns0:t>
        </ns0:is>
      </ns0:c>
      <ns0:c r="E250" s="2" t="inlineStr"/>
      <ns0:c r="F250" s="2" t="inlineStr">
        <ns0:is>
          <ns0:t>exact_item_followup_access.jsonl</ns0:t>
        </ns0:is>
      </ns0:c>
      <ns0:c r="G250" s="2" t="inlineStr">
        <ns0:is>
          <ns0:t>original_files/_project_evidence/evidence/source_evidence__5780d38b334cc47f.jsonl</ns0:t>
        </ns0:is>
      </ns0:c>
      <ns0:c r="H250" s="2" t="inlineStr">
        <ns0:is>
          <ns0:t>cloud_existing</ns0:t>
        </ns0:is>
      </ns0:c>
      <ns0:c r="I250" s="2" t="inlineStr">
        <ns0:is>
          <ns0:t>original_files/repository_followups_20261017/exact_item_followup_access.jsonl</ns0:t>
        </ns0:is>
      </ns0:c>
      <ns0:c r="J250" s="2" t="n">
        <ns0:v>9795</ns0:v>
      </ns0:c>
      <ns0:c r="K250" s="2" t="inlineStr">
        <ns0:is>
          <ns0:t>5780d38b334cc47f8221d18669fa1256afecffc3319a2ca47beacbfed92a1153</ns0:t>
        </ns0:is>
      </ns0:c>
      <ns0:c r="L250" s="2" t="inlineStr">
        <ns0:is>
          <ns0:t>text_readable</ns0:t>
        </ns0:is>
      </ns0:c>
      <ns0:c r="M250" s="2" t="inlineStr"/>
      <ns0:c r="N250" s="2" t="inlineStr"/>
      <ns0:c r="O250" s="2" t="inlineStr">
        <ns0:is>
          <ns0:t>https://github.com/Colliam-Vermilion/FirstCodex/blob/results/ad-oxygen-literature-20261006/results/ad-oxygen-literature-20261006/original_files/_project_evidence/evidence/source_evidence__5780d38b334cc47f.jsonl</ns0:t>
        </ns0:is>
      </ns0:c>
    </ns0:row>
    <ns0:row r="251" ht="48" customHeight="1">
      <ns0:c r="A251" s="3" t="inlineStr">
        <ns0:is>
          <ns0:t>R10300</ns0:t>
        </ns0:is>
      </ns0:c>
      <ns0:c r="B251" s="3" t="inlineStr">
        <ns0:is>
          <ns0:t>Headspace micro-oxygenation as a strategy for efficient biogas desulfurization and biomethane generation in a centralized sewage sludge digestion plant</ns0:t>
        </ns0:is>
      </ns0:c>
      <ns0:c r="C251" s="3" t="inlineStr">
        <ns0:is>
          <ns0:t>10.1016/j.biombioe.2024.107151</ns0:t>
        </ns0:is>
      </ns0:c>
      <ns0:c r="D251" s="3" t="inlineStr">
        <ns0:is>
          <ns0:t>fulltext</ns0:t>
        </ns0:is>
      </ns0:c>
      <ns0:c r="E251" s="3" t="inlineStr">
        <ns0:is>
          <ns0:t>出版版（版式及版权文字）</ns0:t>
        </ns0:is>
      </ns0:c>
      <ns0:c r="F251" s="3" t="inlineStr">
        <ns0:is>
          <ns0:t>fulltext.pdf</ns0:t>
        </ns0:is>
      </ns0:c>
      <ns0:c r="G251" s="3" t="inlineStr">
        <ns0:is>
          <ns0:t>original_files/R10300/fulltext/fulltext__published__57f1f48cc9a5859e.pdf</ns0:t>
        </ns0:is>
      </ns0:c>
      <ns0:c r="H251" s="3" t="inlineStr">
        <ns0:is>
          <ns0:t>local_upload</ns0:t>
        </ns0:is>
      </ns0:c>
      <ns0:c r="I251" s="3" t="inlineStr">
        <ns0:is>
          <ns0:t>localdownload/R10300/fulltext.pdf</ns0:t>
        </ns0:is>
      </ns0:c>
      <ns0:c r="J251" s="3" t="n">
        <ns0:v>3360702</ns0:v>
      </ns0:c>
      <ns0:c r="K251" s="3" t="inlineStr">
        <ns0:is>
          <ns0:t>57f1f48cc9a5859e50677f13447788646f2402d824803e88e741abeb51255575</ns0:t>
        </ns0:is>
      </ns0:c>
      <ns0:c r="L251" s="3" t="inlineStr">
        <ns0:is>
          <ns0:t>identity_and_body_structure_verified</ns0:t>
        </ns0:is>
      </ns0:c>
      <ns0:c r="M251" s="3" t="inlineStr"/>
      <ns0:c r="N251" s="3" t="inlineStr">
        <ns0:is>
          <ns0:t>首页/前两页题名作者或目标DOI核对，全部页面解析及正文结构检查；不据文件名判全文。</ns0:t>
        </ns0:is>
      </ns0:c>
      <ns0:c r="O251" s="3" t="inlineStr">
        <ns0:is>
          <ns0:t>https://github.com/Colliam-Vermilion/FirstCodex/blob/results/ad-oxygen-literature-20261006/results/ad-oxygen-literature-20261006/original_files/R10300/fulltext/fulltext__published__57f1f48cc9a5859e.pdf</ns0:t>
        </ns0:is>
      </ns0:c>
    </ns0:row>
    <ns0:row r="252" ht="48" customHeight="1">
      <ns0:c r="A252" s="2" t="inlineStr">
        <ns0:is>
          <ns0:t>R02454</ns0:t>
        </ns0:is>
      </ns0:c>
      <ns0:c r="B252" s="2" t="inlineStr">
        <ns0:is>
          <ns0:t>Effect of oxygen on the microbial activities of thermophilic anaerobic biomass</ns0:t>
        </ns0:is>
      </ns0:c>
      <ns0:c r="C252" s="2" t="inlineStr">
        <ns0:is>
          <ns0:t>10.1016/j.biortech.2016.03.085</ns0:t>
        </ns0:is>
      </ns0:c>
      <ns0:c r="D252" s="2" t="inlineStr">
        <ns0:is>
          <ns0:t>fulltext</ns0:t>
        </ns0:is>
      </ns0:c>
      <ns0:c r="E252" s="2" t="inlineStr">
        <ns0:is>
          <ns0:t>出版版本（原页出版信息）</ns0:t>
        </ns0:is>
      </ns0:c>
      <ns0:c r="F252" s="2" t="inlineStr">
        <ns0:is>
          <ns0:t>R02454_2016_Effect_of_oxygen_on_the_microbial_activities_of_thermophilic.pdf</ns0:t>
        </ns0:is>
      </ns0:c>
      <ns0:c r="G252" s="2" t="inlineStr">
        <ns0:is>
          <ns0:t>original_files/R02454/fulltext/fulltext__published__59977732e1c6bb84.pdf</ns0:t>
        </ns0:is>
      </ns0:c>
      <ns0:c r="H252" s="2" t="inlineStr">
        <ns0:is>
          <ns0:t>cloud_existing</ns0:t>
        </ns0:is>
      </ns0:c>
      <ns0:c r="I252" s="2" t="inlineStr">
        <ns0:is>
          <ns0:t>original_files/fulltext/R02454_2016_Effect_of_oxygen_on_the_microbial_activities_of_thermophilic.pdf</ns0:t>
        </ns0:is>
      </ns0:c>
      <ns0:c r="J252" s="2" t="n">
        <ns0:v>667767</ns0:v>
      </ns0:c>
      <ns0:c r="K252" s="2" t="inlineStr">
        <ns0:is>
          <ns0:t>59977732e1c6bb84508f823f00ae1c48f9809a63ba2bce7cdb6997d8cf1d90f9</ns0:t>
        </ns0:is>
      </ns0:c>
      <ns0:c r="L252" s="2" t="inlineStr">
        <ns0:is>
          <ns0:t>identity_and_body_structure_verified</ns0:t>
        </ns0:is>
      </ns0:c>
      <ns0:c r="M252" s="2" t="inlineStr"/>
      <ns0:c r="N252" s="2" t="inlineStr">
        <ns0:is>
          <ns0:t>首页/前两页题名作者或目标DOI核对，全部页面解析及正文结构检查；不据文件名判全文。</ns0:t>
        </ns0:is>
      </ns0:c>
      <ns0:c r="O252" s="2" t="inlineStr">
        <ns0:is>
          <ns0:t>https://github.com/Colliam-Vermilion/FirstCodex/blob/results/ad-oxygen-literature-20261006/results/ad-oxygen-literature-20261006/original_files/R02454/fulltext/fulltext__published__59977732e1c6bb84.pdf</ns0:t>
        </ns0:is>
      </ns0:c>
    </ns0:row>
    <ns0:row r="253" ht="48" customHeight="1">
      <ns0:c r="A253" s="3" t="inlineStr">
        <ns0:is>
          <ns0:t>R11534</ns0:t>
        </ns0:is>
      </ns0:c>
      <ns0:c r="B253" s="3" t="inlineStr">
        <ns0:is>
          <ns0:t>Enhancing hydrolysis acidification process for coal gasification wastewater treatment through micro-aeration strategy: The role of micro-oxygen environment</ns0:t>
        </ns0:is>
      </ns0:c>
      <ns0:c r="C253" s="3" t="inlineStr">
        <ns0:is>
          <ns0:t>10.1016/j.watres.2025.123898</ns0:t>
        </ns0:is>
      </ns0:c>
      <ns0:c r="D253" s="3" t="inlineStr">
        <ns0:is>
          <ns0:t>fulltext</ns0:t>
        </ns0:is>
      </ns0:c>
      <ns0:c r="E253" s="3" t="inlineStr">
        <ns0:is>
          <ns0:t>出版版（版式及版权文字）</ns0:t>
        </ns0:is>
      </ns0:c>
      <ns0:c r="F253" s="3" t="inlineStr">
        <ns0:is>
          <ns0:t>fulltext.pdf</ns0:t>
        </ns0:is>
      </ns0:c>
      <ns0:c r="G253" s="3" t="inlineStr">
        <ns0:is>
          <ns0:t>original_files/R11534/fulltext/fulltext__published__599c50defaebcb96.pdf</ns0:t>
        </ns0:is>
      </ns0:c>
      <ns0:c r="H253" s="3" t="inlineStr">
        <ns0:is>
          <ns0:t>local_upload</ns0:t>
        </ns0:is>
      </ns0:c>
      <ns0:c r="I253" s="3" t="inlineStr">
        <ns0:is>
          <ns0:t>localdownload/R11534/fulltext.pdf</ns0:t>
        </ns0:is>
      </ns0:c>
      <ns0:c r="J253" s="3" t="n">
        <ns0:v>11076669</ns0:v>
      </ns0:c>
      <ns0:c r="K253" s="3" t="inlineStr">
        <ns0:is>
          <ns0:t>599c50defaebcb96822b184c7472f053571376a6cd3d4ea267aa395cbeb2b58b</ns0:t>
        </ns0:is>
      </ns0:c>
      <ns0:c r="L253" s="3" t="inlineStr">
        <ns0:is>
          <ns0:t>identity_and_body_structure_verified</ns0:t>
        </ns0:is>
      </ns0:c>
      <ns0:c r="M253" s="3" t="inlineStr"/>
      <ns0:c r="N253" s="3" t="inlineStr">
        <ns0:is>
          <ns0:t>首页/前两页题名作者或目标DOI核对，全部页面解析及正文结构检查；不据文件名判全文。</ns0:t>
        </ns0:is>
      </ns0:c>
      <ns0:c r="O253" s="3" t="inlineStr">
        <ns0:is>
          <ns0:t>https://github.com/Colliam-Vermilion/FirstCodex/blob/results/ad-oxygen-literature-20261006/results/ad-oxygen-literature-20261006/original_files/R11534/fulltext/fulltext__published__599c50defaebcb96.pdf</ns0:t>
        </ns0:is>
      </ns0:c>
    </ns0:row>
    <ns0:row r="254" ht="48" customHeight="1">
      <ns0:c r="A254" s="2" t="inlineStr">
        <ns0:is>
          <ns0:t>R13958</ns0:t>
        </ns0:is>
      </ns0:c>
      <ns0:c r="B254" s="2" t="inlineStr">
        <ns0:is>
          <ns0:t>Effects of Cell Lysis in Gas Yield and Sludge Stabilization by Combined Process of Thermophilic Aerobic and Anaerobic Digestion</ns0:t>
        </ns0:is>
      </ns0:c>
      <ns0:c r="C254" s="2" t="inlineStr">
        <ns0:is>
          <ns0:t>10.1016/j.proenv.2016.02.007</ns0:t>
        </ns0:is>
      </ns0:c>
      <ns0:c r="D254" s="2" t="inlineStr">
        <ns0:is>
          <ns0:t>fulltext</ns0:t>
        </ns0:is>
      </ns0:c>
      <ns0:c r="E254" s="2" t="inlineStr">
        <ns0:is>
          <ns0:t>出版版（版式及版权文字）</ns0:t>
        </ns0:is>
      </ns0:c>
      <ns0:c r="F254" s="2" t="inlineStr">
        <ns0:is>
          <ns0:t>fulltext.pdf</ns0:t>
        </ns0:is>
      </ns0:c>
      <ns0:c r="G254" s="2" t="inlineStr">
        <ns0:is>
          <ns0:t>original_files/R13958/fulltext/fulltext__published__599e1d0536c7a33e.pdf</ns0:t>
        </ns0:is>
      </ns0:c>
      <ns0:c r="H254" s="2" t="inlineStr">
        <ns0:is>
          <ns0:t>local_upload</ns0:t>
        </ns0:is>
      </ns0:c>
      <ns0:c r="I254" s="2" t="inlineStr">
        <ns0:is>
          <ns0:t>localdownload/R13958/fulltext.pdf</ns0:t>
        </ns0:is>
      </ns0:c>
      <ns0:c r="J254" s="2" t="n">
        <ns0:v>546664</ns0:v>
      </ns0:c>
      <ns0:c r="K254" s="2" t="inlineStr">
        <ns0:is>
          <ns0:t>599e1d0536c7a33e3a1471e5dbb1e72614f5d548c94fa0c7051f4c956a14a770</ns0:t>
        </ns0:is>
      </ns0:c>
      <ns0:c r="L254" s="2" t="inlineStr">
        <ns0:is>
          <ns0:t>identity_and_body_structure_verified</ns0:t>
        </ns0:is>
      </ns0:c>
      <ns0:c r="M254" s="2" t="inlineStr"/>
      <ns0:c r="N254" s="2" t="inlineStr">
        <ns0:is>
          <ns0:t>首页/前两页题名作者或目标DOI核对，全部页面解析及正文结构检查；不据文件名判全文。</ns0:t>
        </ns0:is>
      </ns0:c>
      <ns0:c r="O254" s="2" t="inlineStr">
        <ns0:is>
          <ns0:t>https://github.com/Colliam-Vermilion/FirstCodex/blob/results/ad-oxygen-literature-20261006/results/ad-oxygen-literature-20261006/original_files/R13958/fulltext/fulltext__published__599e1d0536c7a33e.pdf</ns0:t>
        </ns0:is>
      </ns0:c>
    </ns0:row>
    <ns0:row r="255" ht="48" customHeight="1">
      <ns0:c r="A255" s="3" t="inlineStr">
        <ns0:is>
          <ns0:t>R10187</ns0:t>
        </ns0:is>
      </ns0:c>
      <ns0:c r="B255" s="3" t="inlineStr">
        <ns0:is>
          <ns0:t>Enhancement of methane production from anaerobic digestion of Erigeron canadensis via O2-nanobubble water supplementation</ns0:t>
        </ns0:is>
      </ns0:c>
      <ns0:c r="C255" s="3" t="inlineStr">
        <ns0:is>
          <ns0:t>10.1016/j.chemosphere.2024.141732</ns0:t>
        </ns0:is>
      </ns0:c>
      <ns0:c r="D255" s="3" t="inlineStr">
        <ns0:is>
          <ns0:t>fulltext</ns0:t>
        </ns0:is>
      </ns0:c>
      <ns0:c r="E255" s="3" t="inlineStr">
        <ns0:is>
          <ns0:t>出版版（版式及版权文字）</ns0:t>
        </ns0:is>
      </ns0:c>
      <ns0:c r="F255" s="3" t="inlineStr">
        <ns0:is>
          <ns0:t>fulltext.pdf</ns0:t>
        </ns0:is>
      </ns0:c>
      <ns0:c r="G255" s="3" t="inlineStr">
        <ns0:is>
          <ns0:t>original_files/R10187/fulltext/fulltext__published__59b1f03109077622.pdf</ns0:t>
        </ns0:is>
      </ns0:c>
      <ns0:c r="H255" s="3" t="inlineStr">
        <ns0:is>
          <ns0:t>local_upload</ns0:t>
        </ns0:is>
      </ns0:c>
      <ns0:c r="I255" s="3" t="inlineStr">
        <ns0:is>
          <ns0:t>localdownload/R10187/fulltext.pdf</ns0:t>
        </ns0:is>
      </ns0:c>
      <ns0:c r="J255" s="3" t="n">
        <ns0:v>6398450</ns0:v>
      </ns0:c>
      <ns0:c r="K255" s="3" t="inlineStr">
        <ns0:is>
          <ns0:t>59b1f03109077622f022be7080817e2362f06fb56f98131edb14e09974a58bc2</ns0:t>
        </ns0:is>
      </ns0:c>
      <ns0:c r="L255" s="3" t="inlineStr">
        <ns0:is>
          <ns0:t>identity_and_body_structure_verified</ns0:t>
        </ns0:is>
      </ns0:c>
      <ns0:c r="M255" s="3" t="inlineStr"/>
      <ns0:c r="N255" s="3" t="inlineStr">
        <ns0:is>
          <ns0:t>首页/前两页题名作者或目标DOI核对，全部页面解析及正文结构检查；不据文件名判全文。</ns0:t>
        </ns0:is>
      </ns0:c>
      <ns0:c r="O255" s="3" t="inlineStr">
        <ns0:is>
          <ns0:t>https://github.com/Colliam-Vermilion/FirstCodex/blob/results/ad-oxygen-literature-20261006/results/ad-oxygen-literature-20261006/original_files/R10187/fulltext/fulltext__published__59b1f03109077622.pdf</ns0:t>
        </ns0:is>
      </ns0:c>
    </ns0:row>
    <ns0:row r="256" ht="48" customHeight="1">
      <ns0:c r="A256" s="2" t="inlineStr">
        <ns0:is>
          <ns0:t>R10377</ns0:t>
        </ns0:is>
      </ns0:c>
      <ns0:c r="B256" s="2" t="inlineStr">
        <ns0:is>
          <ns0:t>Influence of micro-aeration in the production of volatile fatty acids (VFA) from wastewaters with high salinity</ns0:t>
        </ns0:is>
      </ns0:c>
      <ns0:c r="C256" s="2" t="inlineStr">
        <ns0:is>
          <ns0:t>10.1016/j.fuel.2024.132566</ns0:t>
        </ns0:is>
      </ns0:c>
      <ns0:c r="D256" s="2" t="inlineStr">
        <ns0:is>
          <ns0:t>fulltext</ns0:t>
        </ns0:is>
      </ns0:c>
      <ns0:c r="E256" s="2" t="inlineStr">
        <ns0:is>
          <ns0:t>出版版本（原页出版信息）</ns0:t>
        </ns0:is>
      </ns0:c>
      <ns0:c r="F256" s="2" t="inlineStr">
        <ns0:is>
          <ns0:t>R10377_2024_Influence_of_micro-aeration_in_the_production_of_volatile_fatty.pdf</ns0:t>
        </ns0:is>
      </ns0:c>
      <ns0:c r="G256" s="2" t="inlineStr">
        <ns0:is>
          <ns0:t>original_files/R10377/fulltext/fulltext__published__5a2aa4d61f4753eb.pdf</ns0:t>
        </ns0:is>
      </ns0:c>
      <ns0:c r="H256" s="2" t="inlineStr">
        <ns0:is>
          <ns0:t>cloud_existing</ns0:t>
        </ns0:is>
      </ns0:c>
      <ns0:c r="I256" s="2" t="inlineStr">
        <ns0:is>
          <ns0:t>original_files/fulltext/R10377_2024_Influence_of_micro-aeration_in_the_production_of_volatile_fatty.pdf</ns0:t>
        </ns0:is>
      </ns0:c>
      <ns0:c r="J256" s="2" t="n">
        <ns0:v>3109250</ns0:v>
      </ns0:c>
      <ns0:c r="K256" s="2" t="inlineStr">
        <ns0:is>
          <ns0:t>5a2aa4d61f4753eb4586d1b515635a8a3bc57529cd7897f92d9203e185d7a99a</ns0:t>
        </ns0:is>
      </ns0:c>
      <ns0:c r="L256" s="2" t="inlineStr">
        <ns0:is>
          <ns0:t>identity_and_body_structure_verified</ns0:t>
        </ns0:is>
      </ns0:c>
      <ns0:c r="M256" s="2" t="inlineStr"/>
      <ns0:c r="N256" s="2" t="inlineStr">
        <ns0:is>
          <ns0:t>首页/前两页题名作者或目标DOI核对，全部页面解析及正文结构检查；不据文件名判全文。</ns0:t>
        </ns0:is>
      </ns0:c>
      <ns0:c r="O256" s="2" t="inlineStr">
        <ns0:is>
          <ns0:t>https://github.com/Colliam-Vermilion/FirstCodex/blob/results/ad-oxygen-literature-20261006/results/ad-oxygen-literature-20261006/original_files/R10377/fulltext/fulltext__published__5a2aa4d61f4753eb.pdf</ns0:t>
        </ns0:is>
      </ns0:c>
    </ns0:row>
    <ns0:row r="257" ht="48" customHeight="1">
      <ns0:c r="A257" s="3" t="inlineStr">
        <ns0:is>
          <ns0:t>R05638</ns0:t>
        </ns0:is>
      </ns0:c>
      <ns0:c r="B257" s="3" t="inlineStr">
        <ns0:is>
          <ns0:t>Evaluation of Microaeration and Sound to Increase Biogas Production from Poultry Litter</ns0:t>
        </ns0:is>
      </ns0:c>
      <ns0:c r="C257" s="3" t="inlineStr">
        <ns0:is>
          <ns0:t>10.3390/environments7080062</ns0:t>
        </ns0:is>
      </ns0:c>
      <ns0:c r="D257" s="3" t="inlineStr">
        <ns0:is>
          <ns0:t>source_evidence</ns0:t>
        </ns0:is>
      </ns0:c>
      <ns0:c r="E257" s="3" t="inlineStr"/>
      <ns0:c r="F257" s="3" t="inlineStr">
        <ns0:is>
          <ns0:t>publisher_article_page_20261017.html</ns0:t>
        </ns0:is>
      </ns0:c>
      <ns0:c r="G257" s="3" t="inlineStr">
        <ns0:is>
          <ns0:t>original_files/R05638/evidence/source_evidence__5a4d4f0ca0d15e21.html</ns0:t>
        </ns0:is>
      </ns0:c>
      <ns0:c r="H257" s="3" t="inlineStr">
        <ns0:is>
          <ns0:t>cloud_existing</ns0:t>
        </ns0:is>
      </ns0:c>
      <ns0:c r="I257" s="3" t="inlineStr">
        <ns0:is>
          <ns0:t>original_files/source_evidence/R05638/publisher_article_page_20261017.html</ns0:t>
        </ns0:is>
      </ns0:c>
      <ns0:c r="J257" s="3" t="n">
        <ns0:v>368026</ns0:v>
      </ns0:c>
      <ns0:c r="K257" s="3" t="inlineStr">
        <ns0:is>
          <ns0:t>5a4d4f0ca0d15e21f8a8ae53fe5515c4aca6e32a3c413ad852bd347f3d70dfb1</ns0:t>
        </ns0:is>
      </ns0:c>
      <ns0:c r="L257" s="3" t="inlineStr">
        <ns0:is>
          <ns0:t>text_readable</ns0:t>
        </ns0:is>
      </ns0:c>
      <ns0:c r="M257" s="3" t="inlineStr"/>
      <ns0:c r="N257" s="3" t="inlineStr"/>
      <ns0:c r="O257" s="3" t="inlineStr">
        <ns0:is>
          <ns0:t>https://github.com/Colliam-Vermilion/FirstCodex/blob/results/ad-oxygen-literature-20261006/results/ad-oxygen-literature-20261006/original_files/R05638/evidence/source_evidence__5a4d4f0ca0d15e21.html</ns0:t>
        </ns0:is>
      </ns0:c>
    </ns0:row>
    <ns0:row r="258" ht="48" customHeight="1">
      <ns0:c r="A258" s="2" t="inlineStr">
        <ns0:is>
          <ns0:t>R13863</ns0:t>
        </ns0:is>
      </ns0:c>
      <ns0:c r="B258" s="2" t="inlineStr">
        <ns0:is>
          <ns0:t>Biochemical methane potential from sewage sludge: Effect of an aerobic pretreatment and fly ash addition as source of trace elements.</ns0:t>
        </ns0:is>
      </ns0:c>
      <ns0:c r="C258" s="2" t="inlineStr">
        <ns0:is>
          <ns0:t>10.1016/j.wasman.2017.03.023</ns0:t>
        </ns0:is>
      </ns0:c>
      <ns0:c r="D258" s="2" t="inlineStr">
        <ns0:is>
          <ns0:t>fulltext</ns0:t>
        </ns0:is>
      </ns0:c>
      <ns0:c r="E258" s="2" t="inlineStr">
        <ns0:is>
          <ns0:t>出版版（版式及版权文字）</ns0:t>
        </ns0:is>
      </ns0:c>
      <ns0:c r="F258" s="2" t="inlineStr">
        <ns0:is>
          <ns0:t>fulltext.pdf</ns0:t>
        </ns0:is>
      </ns0:c>
      <ns0:c r="G258" s="2" t="inlineStr">
        <ns0:is>
          <ns0:t>original_files/R13863/fulltext/fulltext__published__5ad8c9f9f4fa457a.pdf</ns0:t>
        </ns0:is>
      </ns0:c>
      <ns0:c r="H258" s="2" t="inlineStr">
        <ns0:is>
          <ns0:t>local_upload</ns0:t>
        </ns0:is>
      </ns0:c>
      <ns0:c r="I258" s="2" t="inlineStr">
        <ns0:is>
          <ns0:t>localdownload/R13863/fulltext.pdf</ns0:t>
        </ns0:is>
      </ns0:c>
      <ns0:c r="J258" s="2" t="n">
        <ns0:v>828759</ns0:v>
      </ns0:c>
      <ns0:c r="K258" s="2" t="inlineStr">
        <ns0:is>
          <ns0:t>5ad8c9f9f4fa457a191bfbae989c228336a848d2eda47c34c33aa72e2a4e3dd4</ns0:t>
        </ns0:is>
      </ns0:c>
      <ns0:c r="L258" s="2" t="inlineStr">
        <ns0:is>
          <ns0:t>identity_and_body_structure_verified</ns0:t>
        </ns0:is>
      </ns0:c>
      <ns0:c r="M258" s="2" t="inlineStr"/>
      <ns0:c r="N258" s="2" t="inlineStr">
        <ns0:is>
          <ns0:t>首页/前两页题名作者或目标DOI核对，全部页面解析及正文结构检查；不据文件名判全文。</ns0:t>
        </ns0:is>
      </ns0:c>
      <ns0:c r="O258" s="2" t="inlineStr">
        <ns0:is>
          <ns0:t>https://github.com/Colliam-Vermilion/FirstCodex/blob/results/ad-oxygen-literature-20261006/results/ad-oxygen-literature-20261006/original_files/R13863/fulltext/fulltext__published__5ad8c9f9f4fa457a.pdf</ns0:t>
        </ns0:is>
      </ns0:c>
    </ns0:row>
    <ns0:row r="259" ht="48" customHeight="1">
      <ns0:c r="A259" s="3" t="inlineStr">
        <ns0:is>
          <ns0:t>R13879</ns0:t>
        </ns0:is>
      </ns0:c>
      <ns0:c r="B259" s="3" t="inlineStr">
        <ns0:is>
          <ns0:t>Improved anaerobic digestion performance of Miscanthus floridulus by different pretreatment methods and preliminary economic analysis</ns0:t>
        </ns0:is>
      </ns0:c>
      <ns0:c r="C259" s="3" t="inlineStr">
        <ns0:is>
          <ns0:t>10.1016/j.enconman.2018.01.014</ns0:t>
        </ns0:is>
      </ns0:c>
      <ns0:c r="D259" s="3" t="inlineStr">
        <ns0:is>
          <ns0:t>fulltext</ns0:t>
        </ns0:is>
      </ns0:c>
      <ns0:c r="E259" s="3" t="inlineStr">
        <ns0:is>
          <ns0:t>出版版（版式及版权文字）</ns0:t>
        </ns0:is>
      </ns0:c>
      <ns0:c r="F259" s="3" t="inlineStr">
        <ns0:is>
          <ns0:t>fulltext.pdf</ns0:t>
        </ns0:is>
      </ns0:c>
      <ns0:c r="G259" s="3" t="inlineStr">
        <ns0:is>
          <ns0:t>original_files/R13879/fulltext/fulltext__published__5bfea725303d30c1.pdf</ns0:t>
        </ns0:is>
      </ns0:c>
      <ns0:c r="H259" s="3" t="inlineStr">
        <ns0:is>
          <ns0:t>local_upload</ns0:t>
        </ns0:is>
      </ns0:c>
      <ns0:c r="I259" s="3" t="inlineStr">
        <ns0:is>
          <ns0:t>localdownload/R13879/fulltext.pdf</ns0:t>
        </ns0:is>
      </ns0:c>
      <ns0:c r="J259" s="3" t="n">
        <ns0:v>795733</ns0:v>
      </ns0:c>
      <ns0:c r="K259" s="3" t="inlineStr">
        <ns0:is>
          <ns0:t>5bfea725303d30c13810e712a5058ba92cd1ed984cd724ff60f72b4c8ed3f9bc</ns0:t>
        </ns0:is>
      </ns0:c>
      <ns0:c r="L259" s="3" t="inlineStr">
        <ns0:is>
          <ns0:t>identity_and_body_structure_verified</ns0:t>
        </ns0:is>
      </ns0:c>
      <ns0:c r="M259" s="3" t="inlineStr"/>
      <ns0:c r="N259" s="3" t="inlineStr">
        <ns0:is>
          <ns0:t>首页/前两页题名作者或目标DOI核对，全部页面解析及正文结构检查；不据文件名判全文。</ns0:t>
        </ns0:is>
      </ns0:c>
      <ns0:c r="O259" s="3" t="inlineStr">
        <ns0:is>
          <ns0:t>https://github.com/Colliam-Vermilion/FirstCodex/blob/results/ad-oxygen-literature-20261006/results/ad-oxygen-literature-20261006/original_files/R13879/fulltext/fulltext__published__5bfea725303d30c1.pdf</ns0:t>
        </ns0:is>
      </ns0:c>
    </ns0:row>
    <ns0:row r="260" ht="48" customHeight="1">
      <ns0:c r="A260" s="2" t="inlineStr">
        <ns0:is>
          <ns0:t>R00915</ns0:t>
        </ns0:is>
      </ns0:c>
      <ns0:c r="B260" s="2" t="inlineStr">
        <ns0:is>
          <ns0:t>Redox potential control and applications in microaerobic and anaerobic fermentations</ns0:t>
        </ns0:is>
      </ns0:c>
      <ns0:c r="C260" s="2" t="inlineStr">
        <ns0:is>
          <ns0:t>10.1016/j.biotechadv.2012.11.005</ns0:t>
        </ns0:is>
      </ns0:c>
      <ns0:c r="D260" s="2" t="inlineStr">
        <ns0:is>
          <ns0:t>fulltext</ns0:t>
        </ns0:is>
      </ns0:c>
      <ns0:c r="E260" s="2" t="inlineStr">
        <ns0:is>
          <ns0:t>出版版（版式及版权文字）</ns0:t>
        </ns0:is>
      </ns0:c>
      <ns0:c r="F260" s="2" t="inlineStr">
        <ns0:is>
          <ns0:t>fulltext.pdf</ns0:t>
        </ns0:is>
      </ns0:c>
      <ns0:c r="G260" s="2" t="inlineStr">
        <ns0:is>
          <ns0:t>original_files/R00915/fulltext/fulltext__published__5c669a9f493b8a83.pdf</ns0:t>
        </ns0:is>
      </ns0:c>
      <ns0:c r="H260" s="2" t="inlineStr">
        <ns0:is>
          <ns0:t>local_upload</ns0:t>
        </ns0:is>
      </ns0:c>
      <ns0:c r="I260" s="2" t="inlineStr">
        <ns0:is>
          <ns0:t>localdownload/R00915/fulltext.pdf</ns0:t>
        </ns0:is>
      </ns0:c>
      <ns0:c r="J260" s="2" t="n">
        <ns0:v>1087702</ns0:v>
      </ns0:c>
      <ns0:c r="K260" s="2" t="inlineStr">
        <ns0:is>
          <ns0:t>5c669a9f493b8a83e0fffcdf3d5c2e0c2fe6ac287e15c1cfb14999fd50aa9191</ns0:t>
        </ns0:is>
      </ns0:c>
      <ns0:c r="L260" s="2" t="inlineStr">
        <ns0:is>
          <ns0:t>identity_and_body_structure_verified</ns0:t>
        </ns0:is>
      </ns0:c>
      <ns0:c r="M260" s="2" t="inlineStr"/>
      <ns0:c r="N260" s="2" t="inlineStr">
        <ns0:is>
          <ns0:t>首页/前两页题名作者或目标DOI核对，全部页面解析及正文结构检查；不据文件名判全文。</ns0:t>
        </ns0:is>
      </ns0:c>
      <ns0:c r="O260" s="2" t="inlineStr">
        <ns0:is>
          <ns0:t>https://github.com/Colliam-Vermilion/FirstCodex/blob/results/ad-oxygen-literature-20261006/results/ad-oxygen-literature-20261006/original_files/R00915/fulltext/fulltext__published__5c669a9f493b8a83.pdf</ns0:t>
        </ns0:is>
      </ns0:c>
    </ns0:row>
    <ns0:row r="261" ht="48" customHeight="1">
      <ns0:c r="A261" s="3" t="inlineStr">
        <ns0:is>
          <ns0:t>R04060</ns0:t>
        </ns0:is>
      </ns0:c>
      <ns0:c r="B261" s="3" t="inlineStr">
        <ns0:is>
          <ns0:t>Inter-stage thermophilic aerobic digestion may increase organic matter removal from wastewater sludge without decreasing biogas production</ns0:t>
        </ns0:is>
      </ns0:c>
      <ns0:c r="C261" s="3" t="inlineStr">
        <ns0:is>
          <ns0:t>10.2166/wst.2017.590</ns0:t>
        </ns0:is>
      </ns0:c>
      <ns0:c r="D261" s="3" t="inlineStr">
        <ns0:is>
          <ns0:t>fulltext</ns0:t>
        </ns0:is>
      </ns0:c>
      <ns0:c r="E261" s="3" t="inlineStr">
        <ns0:is>
          <ns0:t>出版版（版式及版权文字）</ns0:t>
        </ns0:is>
      </ns0:c>
      <ns0:c r="F261" s="3" t="inlineStr">
        <ns0:is>
          <ns0:t>fulltext.pdf</ns0:t>
        </ns0:is>
      </ns0:c>
      <ns0:c r="G261" s="3" t="inlineStr">
        <ns0:is>
          <ns0:t>original_files/R04060/fulltext/fulltext__published__5cb0e5b9a358787b.pdf</ns0:t>
        </ns0:is>
      </ns0:c>
      <ns0:c r="H261" s="3" t="inlineStr">
        <ns0:is>
          <ns0:t>local_upload</ns0:t>
        </ns0:is>
      </ns0:c>
      <ns0:c r="I261" s="3" t="inlineStr">
        <ns0:is>
          <ns0:t>localdownload/R04060/fulltext.pdf</ns0:t>
        </ns0:is>
      </ns0:c>
      <ns0:c r="J261" s="3" t="n">
        <ns0:v>256756</ns0:v>
      </ns0:c>
      <ns0:c r="K261" s="3" t="inlineStr">
        <ns0:is>
          <ns0:t>5cb0e5b9a358787b0372cd47291d6e4263f7a8b62aec464bf4999625319a94f5</ns0:t>
        </ns0:is>
      </ns0:c>
      <ns0:c r="L261" s="3" t="inlineStr">
        <ns0:is>
          <ns0:t>identity_and_body_structure_verified</ns0:t>
        </ns0:is>
      </ns0:c>
      <ns0:c r="M261" s="3" t="inlineStr"/>
      <ns0:c r="N261" s="3" t="inlineStr">
        <ns0:is>
          <ns0:t>首页/前两页题名作者或目标DOI核对，全部页面解析及正文结构检查；不据文件名判全文。</ns0:t>
        </ns0:is>
      </ns0:c>
      <ns0:c r="O261" s="3" t="inlineStr">
        <ns0:is>
          <ns0:t>https://github.com/Colliam-Vermilion/FirstCodex/blob/results/ad-oxygen-literature-20261006/results/ad-oxygen-literature-20261006/original_files/R04060/fulltext/fulltext__published__5cb0e5b9a358787b.pdf</ns0:t>
        </ns0:is>
      </ns0:c>
    </ns0:row>
    <ns0:row r="262" ht="48" customHeight="1">
      <ns0:c r="A262" s="2" t="inlineStr">
        <ns0:is>
          <ns0:t>R11104</ns0:t>
        </ns0:is>
      </ns0:c>
      <ns0:c r="B262" s="2" t="inlineStr">
        <ns0:is>
          <ns0:t>Alleviation of propionic acid inhibition and enhancement of methane production in anaerobic digestion by micronano-bubble water supplementation</ns0:t>
        </ns0:is>
      </ns0:c>
      <ns0:c r="C262" s="2" t="inlineStr">
        <ns0:is>
          <ns0:t>10.1016/j.biortech.2025.132425</ns0:t>
        </ns0:is>
      </ns0:c>
      <ns0:c r="D262" s="2" t="inlineStr">
        <ns0:is>
          <ns0:t>supplementary</ns0:t>
        </ns0:is>
      </ns0:c>
      <ns0:c r="E262" s="2" t="inlineStr"/>
      <ns0:c r="F262" s="2" t="inlineStr">
        <ns0:is>
          <ns0:t>supplementary.docx</ns0:t>
        </ns0:is>
      </ns0:c>
      <ns0:c r="G262" s="2" t="inlineStr">
        <ns0:is>
          <ns0:t>original_files/R11104/supplementary/supplementary__5d37f833467dd163.docx</ns0:t>
        </ns0:is>
      </ns0:c>
      <ns0:c r="H262" s="2" t="inlineStr">
        <ns0:is>
          <ns0:t>local_upload</ns0:t>
        </ns0:is>
      </ns0:c>
      <ns0:c r="I262" s="2" t="inlineStr">
        <ns0:is>
          <ns0:t>localdownload/R11104/supplementary.docx</ns0:t>
        </ns0:is>
      </ns0:c>
      <ns0:c r="J262" s="2" t="n">
        <ns0:v>145449</ns0:v>
      </ns0:c>
      <ns0:c r="K262" s="2" t="inlineStr">
        <ns0:is>
          <ns0:t>5d37f833467dd1639a2f1ff59c3e34273f1b23bb48f45d0332332f99d6881b9f</ns0:t>
        </ns0:is>
      </ns0:c>
      <ns0:c r="L262" s="2" t="inlineStr">
        <ns0:is>
          <ns0:t>container_crc_verified</ns0:t>
        </ns0:is>
      </ns0:c>
      <ns0:c r="M262" s="2" t="inlineStr">
        <ns0:is>
          <ns0:t>directory_and_content_consistent_identity_pending</ns0:t>
        </ns0:is>
      </ns0:c>
      <ns0:c r="N262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62" s="2" t="inlineStr">
        <ns0:is>
          <ns0:t>https://github.com/Colliam-Vermilion/FirstCodex/blob/results/ad-oxygen-literature-20261006/results/ad-oxygen-literature-20261006/original_files/R11104/supplementary/supplementary__5d37f833467dd163.docx</ns0:t>
        </ns0:is>
      </ns0:c>
    </ns0:row>
    <ns0:row r="263" ht="48" customHeight="1">
      <ns0:c r="A263" s="3" t="inlineStr">
        <ns0:is>
          <ns0:t>R13909</ns0:t>
        </ns0:is>
      </ns0:c>
      <ns0:c r="B263" s="3" t="inlineStr">
        <ns0:is>
          <ns0:t>The S.An.A.® concept: Semi-aerobic, Anaerobic, Aerated bioreactor landfill</ns0:t>
        </ns0:is>
      </ns0:c>
      <ns0:c r="C263" s="3" t="inlineStr">
        <ns0:is>
          <ns0:t>10.1016/j.wasman.2017.05.006</ns0:t>
        </ns0:is>
      </ns0:c>
      <ns0:c r="D263" s="3" t="inlineStr">
        <ns0:is>
          <ns0:t>fulltext</ns0:t>
        </ns0:is>
      </ns0:c>
      <ns0:c r="E263" s="3" t="inlineStr">
        <ns0:is>
          <ns0:t>出版版（版式及版权文字）</ns0:t>
        </ns0:is>
      </ns0:c>
      <ns0:c r="F263" s="3" t="inlineStr">
        <ns0:is>
          <ns0:t>fulltext.pdf</ns0:t>
        </ns0:is>
      </ns0:c>
      <ns0:c r="G263" s="3" t="inlineStr">
        <ns0:is>
          <ns0:t>original_files/R13909/fulltext/fulltext__published__5d6c0de12ad9e8f9.pdf</ns0:t>
        </ns0:is>
      </ns0:c>
      <ns0:c r="H263" s="3" t="inlineStr">
        <ns0:is>
          <ns0:t>local_upload</ns0:t>
        </ns0:is>
      </ns0:c>
      <ns0:c r="I263" s="3" t="inlineStr">
        <ns0:is>
          <ns0:t>localdownload/R13909/fulltext.pdf</ns0:t>
        </ns0:is>
      </ns0:c>
      <ns0:c r="J263" s="3" t="n">
        <ns0:v>1612262</ns0:v>
      </ns0:c>
      <ns0:c r="K263" s="3" t="inlineStr">
        <ns0:is>
          <ns0:t>5d6c0de12ad9e8f9bc83a77578404a657beb49ad4d6b091501472048c2954a95</ns0:t>
        </ns0:is>
      </ns0:c>
      <ns0:c r="L263" s="3" t="inlineStr">
        <ns0:is>
          <ns0:t>identity_and_body_structure_verified</ns0:t>
        </ns0:is>
      </ns0:c>
      <ns0:c r="M263" s="3" t="inlineStr"/>
      <ns0:c r="N263" s="3" t="inlineStr">
        <ns0:is>
          <ns0:t>首页/前两页题名作者或目标DOI核对，全部页面解析及正文结构检查；不据文件名判全文。</ns0:t>
        </ns0:is>
      </ns0:c>
      <ns0:c r="O263" s="3" t="inlineStr">
        <ns0:is>
          <ns0:t>https://github.com/Colliam-Vermilion/FirstCodex/blob/results/ad-oxygen-literature-20261006/results/ad-oxygen-literature-20261006/original_files/R13909/fulltext/fulltext__published__5d6c0de12ad9e8f9.pdf</ns0:t>
        </ns0:is>
      </ns0:c>
    </ns0:row>
    <ns0:row r="264" ht="48" customHeight="1">
      <ns0:c r="A264" s="2" t="inlineStr">
        <ns0:is>
          <ns0:t>R09618</ns0:t>
        </ns0:is>
      </ns0:c>
      <ns0:c r="B264" s="2" t="inlineStr">
        <ns0:is>
          <ns0:t>Two-step anaerobic digestion of rice straw with nanobubble water</ns0:t>
        </ns0:is>
      </ns0:c>
      <ns0:c r="C264" s="2" t="inlineStr">
        <ns0:is>
          <ns0:t>10.1016/j.biortech.2023.128928</ns0:t>
        </ns0:is>
      </ns0:c>
      <ns0:c r="D264" s="2" t="inlineStr">
        <ns0:is>
          <ns0:t>supplementary</ns0:t>
        </ns0:is>
      </ns0:c>
      <ns0:c r="E264" s="2" t="inlineStr"/>
      <ns0:c r="F264" s="2" t="inlineStr">
        <ns0:is>
          <ns0:t>supplementary.docx</ns0:t>
        </ns0:is>
      </ns0:c>
      <ns0:c r="G264" s="2" t="inlineStr">
        <ns0:is>
          <ns0:t>original_files/R09618/supplementary/supplementary__5d6e50ed68417129.docx</ns0:t>
        </ns0:is>
      </ns0:c>
      <ns0:c r="H264" s="2" t="inlineStr">
        <ns0:is>
          <ns0:t>local_upload</ns0:t>
        </ns0:is>
      </ns0:c>
      <ns0:c r="I264" s="2" t="inlineStr">
        <ns0:is>
          <ns0:t>localdownload/R09618/supplementary.docx</ns0:t>
        </ns0:is>
      </ns0:c>
      <ns0:c r="J264" s="2" t="n">
        <ns0:v>1058937</ns0:v>
      </ns0:c>
      <ns0:c r="K264" s="2" t="inlineStr">
        <ns0:is>
          <ns0:t>5d6e50ed684171292c53168b8b23645daa625f3c4c94db75e8dab53719e8a37c</ns0:t>
        </ns0:is>
      </ns0:c>
      <ns0:c r="L264" s="2" t="inlineStr">
        <ns0:is>
          <ns0:t>container_crc_verified</ns0:t>
        </ns0:is>
      </ns0:c>
      <ns0:c r="M264" s="2" t="inlineStr">
        <ns0:is>
          <ns0:t>title_in_attachment_verified</ns0:t>
        </ns0:is>
      </ns0:c>
      <ns0:c r="N264" s="2" t="inlineStr"/>
      <ns0:c r="O264" s="2" t="inlineStr">
        <ns0:is>
          <ns0:t>https://github.com/Colliam-Vermilion/FirstCodex/blob/results/ad-oxygen-literature-20261006/results/ad-oxygen-literature-20261006/original_files/R09618/supplementary/supplementary__5d6e50ed68417129.docx</ns0:t>
        </ns0:is>
      </ns0:c>
    </ns0:row>
    <ns0:row r="265" ht="48" customHeight="1">
      <ns0:c r="A265" s="3" t="inlineStr">
        <ns0:is>
          <ns0:t>R13928</ns0:t>
        </ns0:is>
      </ns0:c>
      <ns0:c r="B265" s="3" t="inlineStr">
        <ns0:is>
          <ns0:t>The impact of aerobic pretreatment of agro and industrial wastes on their biomethanation potential in Nisargruna technology</ns0:t>
        </ns0:is>
      </ns0:c>
      <ns0:c r="C265" s="3" t="inlineStr">
        <ns0:is>
          <ns0:t>10.38150/sajeb.11(5).p548-556</ns0:t>
        </ns0:is>
      </ns0:c>
      <ns0:c r="D265" s="3" t="inlineStr">
        <ns0:is>
          <ns0:t>uncertain</ns0:t>
        </ns0:is>
      </ns0:c>
      <ns0:c r="E265" s="3" t="inlineStr"/>
      <ns0:c r="F265" s="3" t="inlineStr">
        <ns0:is>
          <ns0:t>R13928_2021_The_impact_of_aerobic_pretreatment_of_agro_and_industrial_wastes_on_their_biomethanation_potential_i_5dee7aa7153b.pdf</ns0:t>
        </ns0:is>
      </ns0:c>
      <ns0:c r="G265" s="3" t="inlineStr">
        <ns0:is>
          <ns0:t>original_files/R13928/uncertain/uncertain__5dee7aa7153bfd4b.pdf</ns0:t>
        </ns0:is>
      </ns0:c>
      <ns0:c r="H265" s="3" t="inlineStr">
        <ns0:is>
          <ns0:t>cloud_existing</ns0:t>
        </ns0:is>
      </ns0:c>
      <ns0:c r="I265" s="3" t="inlineStr">
        <ns0:is>
          <ns0:t>original_files/continuation_20261017/candidates/R13928_2021_The_impact_of_aerobic_pretreatment_of_agro_and_industrial_wastes_on_their_biomethanation_potential_i_5dee7aa7153b.pdf</ns0:t>
        </ns0:is>
      </ns0:c>
      <ns0:c r="J265" s="3" t="n">
        <ns0:v>244322</ns0:v>
      </ns0:c>
      <ns0:c r="K265" s="3" t="inlineStr">
        <ns0:is>
          <ns0:t>5dee7aa7153bfd4bc736df01fe5c0659d64179a6cc2b80aec9227a70a89bba90</ns0:t>
        </ns0:is>
      </ns0:c>
      <ns0:c r="L265" s="3" t="inlineStr">
        <ns0:is>
          <ns0:t>historical_candidate_not_target_fulltext</ns0:t>
        </ns0:is>
      </ns0:c>
      <ns0:c r="M265" s="3" t="inlineStr"/>
      <ns0:c r="N265" s="3" t="inlineStr">
        <ns0:is>
          <ns0:t>历史候选抓取物：出版商目录/广告、期刊索引或检索页等，目标身份及正文不成立；原件保留，不计全文或科研补充材料。</ns0:t>
        </ns0:is>
      </ns0:c>
      <ns0:c r="O265" s="3" t="inlineStr">
        <ns0:is>
          <ns0:t>https://github.com/Colliam-Vermilion/FirstCodex/blob/results/ad-oxygen-literature-20261006/results/ad-oxygen-literature-20261006/original_files/R13928/uncertain/uncertain__5dee7aa7153bfd4b.pdf</ns0:t>
        </ns0:is>
      </ns0:c>
    </ns0:row>
    <ns0:row r="266" ht="48" customHeight="1">
      <ns0:c r="A266" s="2" t="inlineStr">
        <ns0:is>
          <ns0:t>R05473</ns0:t>
        </ns0:is>
      </ns0:c>
      <ns0:c r="B266" s="2" t="inlineStr">
        <ns0:is>
          <ns0:t>Comparison of Biogas Production Using Different Digester Operational Strategies</ns0:t>
        </ns0:is>
      </ns0:c>
      <ns0:c r="C266" s="2" t="inlineStr"/>
      <ns0:c r="D266" s="2" t="inlineStr">
        <ns0:is>
          <ns0:t>poster</ns0:t>
        </ns0:is>
      </ns0:c>
      <ns0:c r="E266" s="2" t="inlineStr"/>
      <ns0:c r="F266" s="2" t="inlineStr">
        <ns0:is>
          <ns0:t>poster.pdf</ns0:t>
        </ns0:is>
      </ns0:c>
      <ns0:c r="G266" s="2" t="inlineStr">
        <ns0:is>
          <ns0:t>original_files/R05473/abstract_poster/poster__5e04fc0e9476a808.pdf</ns0:t>
        </ns0:is>
      </ns0:c>
      <ns0:c r="H266" s="2" t="inlineStr">
        <ns0:is>
          <ns0:t>local_upload</ns0:t>
        </ns0:is>
      </ns0:c>
      <ns0:c r="I266" s="2" t="inlineStr">
        <ns0:is>
          <ns0:t>localdownload/R05473/poster.pdf</ns0:t>
        </ns0:is>
      </ns0:c>
      <ns0:c r="J266" s="2" t="n">
        <ns0:v>1306914</ns0:v>
      </ns0:c>
      <ns0:c r="K266" s="2" t="inlineStr">
        <ns0:is>
          <ns0:t>5e04fc0e9476a808710a08f5c1e1be01dcf89174152376f27c728e2712b72eb9</ns0:t>
        </ns0:is>
      </ns0:c>
      <ns0:c r="L266" s="2" t="inlineStr">
        <ns0:is>
          <ns0:t>poster_identity_verified_not_fulltext</ns0:t>
        </ns0:is>
      </ns0:c>
      <ns0:c r="M266" s="2" t="inlineStr"/>
      <ns0:c r="N266" s="2" t="inlineStr">
        <ns0:is>
          <ns0:t>研究海报，仅海报，不计论文全文。</ns0:t>
        </ns0:is>
      </ns0:c>
      <ns0:c r="O266" s="2" t="inlineStr">
        <ns0:is>
          <ns0:t>https://github.com/Colliam-Vermilion/FirstCodex/blob/results/ad-oxygen-literature-20261006/results/ad-oxygen-literature-20261006/original_files/R05473/abstract_poster/poster__5e04fc0e9476a808.pdf</ns0:t>
        </ns0:is>
      </ns0:c>
    </ns0:row>
    <ns0:row r="267" ht="48" customHeight="1">
      <ns0:c r="A267" s="3" t="inlineStr">
        <ns0:is>
          <ns0:t>R13972</ns0:t>
        </ns0:is>
      </ns0:c>
      <ns0:c r="B267" s="3" t="inlineStr">
        <ns0:is>
          <ns0:t>Enhancing methane production of anaerobic digested sewage sludge by advanced wet oxidation &amp; steam explosion pretreatment</ns0:t>
        </ns0:is>
      </ns0:c>
      <ns0:c r="C267" s="3" t="inlineStr">
        <ns0:is>
          <ns0:t>10.1016/j.eti.2022.102923</ns0:t>
        </ns0:is>
      </ns0:c>
      <ns0:c r="D267" s="3" t="inlineStr">
        <ns0:is>
          <ns0:t>fulltext</ns0:t>
        </ns0:is>
      </ns0:c>
      <ns0:c r="E267" s="3" t="inlineStr">
        <ns0:is>
          <ns0:t>出版版（版式及版权文字）</ns0:t>
        </ns0:is>
      </ns0:c>
      <ns0:c r="F267" s="3" t="inlineStr">
        <ns0:is>
          <ns0:t>fulltext.pdf</ns0:t>
        </ns0:is>
      </ns0:c>
      <ns0:c r="G267" s="3" t="inlineStr">
        <ns0:is>
          <ns0:t>original_files/R13972/fulltext/fulltext__published__5e28a259f16f5a00.pdf</ns0:t>
        </ns0:is>
      </ns0:c>
      <ns0:c r="H267" s="3" t="inlineStr">
        <ns0:is>
          <ns0:t>local_upload</ns0:t>
        </ns0:is>
      </ns0:c>
      <ns0:c r="I267" s="3" t="inlineStr">
        <ns0:is>
          <ns0:t>localdownload/R13972/fulltext.pdf</ns0:t>
        </ns0:is>
      </ns0:c>
      <ns0:c r="J267" s="3" t="n">
        <ns0:v>1386321</ns0:v>
      </ns0:c>
      <ns0:c r="K267" s="3" t="inlineStr">
        <ns0:is>
          <ns0:t>5e28a259f16f5a00044d882c65680b4478227a704c1a492c9cbea09e0ff47995</ns0:t>
        </ns0:is>
      </ns0:c>
      <ns0:c r="L267" s="3" t="inlineStr">
        <ns0:is>
          <ns0:t>identity_and_body_structure_verified</ns0:t>
        </ns0:is>
      </ns0:c>
      <ns0:c r="M267" s="3" t="inlineStr"/>
      <ns0:c r="N267" s="3" t="inlineStr">
        <ns0:is>
          <ns0:t>首页/前两页题名作者或目标DOI核对，全部页面解析及正文结构检查；不据文件名判全文。</ns0:t>
        </ns0:is>
      </ns0:c>
      <ns0:c r="O267" s="3" t="inlineStr">
        <ns0:is>
          <ns0:t>https://github.com/Colliam-Vermilion/FirstCodex/blob/results/ad-oxygen-literature-20261006/results/ad-oxygen-literature-20261006/original_files/R13972/fulltext/fulltext__published__5e28a259f16f5a00.pdf</ns0:t>
        </ns0:is>
      </ns0:c>
    </ns0:row>
    <ns0:row r="268" ht="48" customHeight="1">
      <ns0:c r="A268" s="2" t="inlineStr">
        <ns0:is>
          <ns0:t>R12562</ns0:t>
        </ns0:is>
      </ns0:c>
      <ns0:c r="B268" s="2" t="inlineStr">
        <ns0:is>
          <ns0:t>Air nanobubble effectively enhances tetracycline degradation and antibiotic resistance genes reduction in sludge anaerobic digestion</ns0:t>
        </ns0:is>
      </ns0:c>
      <ns0:c r="C268" s="2" t="inlineStr">
        <ns0:is>
          <ns0:t>10.1016/j.biortech.2026.134703</ns0:t>
        </ns0:is>
      </ns0:c>
      <ns0:c r="D268" s="2" t="inlineStr">
        <ns0:is>
          <ns0:t>fulltext</ns0:t>
        </ns0:is>
      </ns0:c>
      <ns0:c r="E268" s="2" t="inlineStr">
        <ns0:is>
          <ns0:t>出版版（版式及版权文字）</ns0:t>
        </ns0:is>
      </ns0:c>
      <ns0:c r="F268" s="2" t="inlineStr">
        <ns0:is>
          <ns0:t>fulltext.pdf</ns0:t>
        </ns0:is>
      </ns0:c>
      <ns0:c r="G268" s="2" t="inlineStr">
        <ns0:is>
          <ns0:t>original_files/R12562/fulltext/fulltext__published__5e2da5c213ea560e.pdf</ns0:t>
        </ns0:is>
      </ns0:c>
      <ns0:c r="H268" s="2" t="inlineStr">
        <ns0:is>
          <ns0:t>local_upload</ns0:t>
        </ns0:is>
      </ns0:c>
      <ns0:c r="I268" s="2" t="inlineStr">
        <ns0:is>
          <ns0:t>localdownload/R12562/fulltext.pdf</ns0:t>
        </ns0:is>
      </ns0:c>
      <ns0:c r="J268" s="2" t="n">
        <ns0:v>8788559</ns0:v>
      </ns0:c>
      <ns0:c r="K268" s="2" t="inlineStr">
        <ns0:is>
          <ns0:t>5e2da5c213ea560e8e9b1b3da4f41c8325b684923f766c12a5fa1ffa84e1dcb3</ns0:t>
        </ns0:is>
      </ns0:c>
      <ns0:c r="L268" s="2" t="inlineStr">
        <ns0:is>
          <ns0:t>identity_and_body_structure_verified</ns0:t>
        </ns0:is>
      </ns0:c>
      <ns0:c r="M268" s="2" t="inlineStr"/>
      <ns0:c r="N268" s="2" t="inlineStr">
        <ns0:is>
          <ns0:t>首页/前两页题名作者或目标DOI核对，全部页面解析及正文结构检查；不据文件名判全文。</ns0:t>
        </ns0:is>
      </ns0:c>
      <ns0:c r="O268" s="2" t="inlineStr">
        <ns0:is>
          <ns0:t>https://github.com/Colliam-Vermilion/FirstCodex/blob/results/ad-oxygen-literature-20261006/results/ad-oxygen-literature-20261006/original_files/R12562/fulltext/fulltext__published__5e2da5c213ea560e.pdf</ns0:t>
        </ns0:is>
      </ns0:c>
    </ns0:row>
    <ns0:row r="269" ht="48" customHeight="1">
      <ns0:c r="A269" s="3" t="inlineStr">
        <ns0:is>
          <ns0:t>R08462</ns0:t>
        </ns0:is>
      </ns0:c>
      <ns0:c r="B269" s="3" t="inlineStr">
        <ns0:is>
          <ns0:t>Upgrade the high-load anaerobic digestion and relieve acid stress through the strategy of side-stream micro-aeration: biochemical performances, microbial response and intrinsic mechanisms</ns0:t>
        </ns0:is>
      </ns0:c>
      <ns0:c r="C269" s="3" t="inlineStr">
        <ns0:is>
          <ns0:t>10.1016/j.watres.2022.118850</ns0:t>
        </ns0:is>
      </ns0:c>
      <ns0:c r="D269" s="3" t="inlineStr">
        <ns0:is>
          <ns0:t>supplementary</ns0:t>
        </ns0:is>
      </ns0:c>
      <ns0:c r="E269" s="3" t="inlineStr"/>
      <ns0:c r="F269" s="3" t="inlineStr">
        <ns0:is>
          <ns0:t>supplementary.docx</ns0:t>
        </ns0:is>
      </ns0:c>
      <ns0:c r="G269" s="3" t="inlineStr">
        <ns0:is>
          <ns0:t>original_files/R08462/supplementary/supplementary__5e2e3579320c0218.docx</ns0:t>
        </ns0:is>
      </ns0:c>
      <ns0:c r="H269" s="3" t="inlineStr">
        <ns0:is>
          <ns0:t>local_upload</ns0:t>
        </ns0:is>
      </ns0:c>
      <ns0:c r="I269" s="3" t="inlineStr">
        <ns0:is>
          <ns0:t>localdownload/R08462/supplementary.docx</ns0:t>
        </ns0:is>
      </ns0:c>
      <ns0:c r="J269" s="3" t="n">
        <ns0:v>953610</ns0:v>
      </ns0:c>
      <ns0:c r="K269" s="3" t="inlineStr">
        <ns0:is>
          <ns0:t>5e2e3579320c021854d91feafeffc531850e6b9ad0ec645a8e5606f4cb064e32</ns0:t>
        </ns0:is>
      </ns0:c>
      <ns0:c r="L269" s="3" t="inlineStr">
        <ns0:is>
          <ns0:t>container_crc_verified</ns0:t>
        </ns0:is>
      </ns0:c>
      <ns0:c r="M269" s="3" t="inlineStr">
        <ns0:is>
          <ns0:t>title_in_attachment_verified</ns0:t>
        </ns0:is>
      </ns0:c>
      <ns0:c r="N269" s="3" t="inlineStr"/>
      <ns0:c r="O269" s="3" t="inlineStr">
        <ns0:is>
          <ns0:t>https://github.com/Colliam-Vermilion/FirstCodex/blob/results/ad-oxygen-literature-20261006/results/ad-oxygen-literature-20261006/original_files/R08462/supplementary/supplementary__5e2e3579320c0218.docx</ns0:t>
        </ns0:is>
      </ns0:c>
    </ns0:row>
    <ns0:row r="270" ht="48" customHeight="1">
      <ns0:c r="A270" s="2" t="inlineStr">
        <ns0:is>
          <ns0:t>R05396</ns0:t>
        </ns0:is>
      </ns0:c>
      <ns0:c r="B270" s="2" t="inlineStr">
        <ns0:is>
          <ns0:t>Bio-pretreatment promote hydrolysis and acidification of oilseed rape straw: Roles of fermentation broth and micro-oxygen</ns0:t>
        </ns0:is>
      </ns0:c>
      <ns0:c r="C270" s="2" t="inlineStr">
        <ns0:is>
          <ns0:t>10.1016/j.biortech.2020.123272</ns0:t>
        </ns0:is>
      </ns0:c>
      <ns0:c r="D270" s="2" t="inlineStr">
        <ns0:is>
          <ns0:t>supplementary</ns0:t>
        </ns0:is>
      </ns0:c>
      <ns0:c r="E270" s="2" t="inlineStr"/>
      <ns0:c r="F270" s="2" t="inlineStr">
        <ns0:is>
          <ns0:t>supplementary.docx</ns0:t>
        </ns0:is>
      </ns0:c>
      <ns0:c r="G270" s="2" t="inlineStr">
        <ns0:is>
          <ns0:t>original_files/R05396/supplementary/supplementary__5e7c6f02f21c479f.docx</ns0:t>
        </ns0:is>
      </ns0:c>
      <ns0:c r="H270" s="2" t="inlineStr">
        <ns0:is>
          <ns0:t>local_upload</ns0:t>
        </ns0:is>
      </ns0:c>
      <ns0:c r="I270" s="2" t="inlineStr">
        <ns0:is>
          <ns0:t>localdownload/R05396/supplementary.docx</ns0:t>
        </ns0:is>
      </ns0:c>
      <ns0:c r="J270" s="2" t="n">
        <ns0:v>23640218</ns0:v>
      </ns0:c>
      <ns0:c r="K270" s="2" t="inlineStr">
        <ns0:is>
          <ns0:t>5e7c6f02f21c479f48987d2f27f3c857f5a7f2605b6728de78ced29d7358a0be</ns0:t>
        </ns0:is>
      </ns0:c>
      <ns0:c r="L270" s="2" t="inlineStr">
        <ns0:is>
          <ns0:t>container_crc_verified</ns0:t>
        </ns0:is>
      </ns0:c>
      <ns0:c r="M270" s="2" t="inlineStr">
        <ns0:is>
          <ns0:t>title_in_attachment_verified</ns0:t>
        </ns0:is>
      </ns0:c>
      <ns0:c r="N270" s="2" t="inlineStr"/>
      <ns0:c r="O270" s="2" t="inlineStr">
        <ns0:is>
          <ns0:t>https://github.com/Colliam-Vermilion/FirstCodex/blob/results/ad-oxygen-literature-20261006/results/ad-oxygen-literature-20261006/original_files/R05396/supplementary/supplementary__5e7c6f02f21c479f.docx</ns0:t>
        </ns0:is>
      </ns0:c>
    </ns0:row>
    <ns0:row r="271" ht="48" customHeight="1">
      <ns0:c r="A271" s="3" t="inlineStr">
        <ns0:is>
          <ns0:t>R06967</ns0:t>
        </ns0:is>
      </ns0:c>
      <ns0:c r="B271" s="3" t="inlineStr">
        <ns0:is>
          <ns0:t>Nanobubble technology in anaerobic digestion: A review</ns0:t>
        </ns0:is>
      </ns0:c>
      <ns0:c r="C271" s="3" t="inlineStr">
        <ns0:is>
          <ns0:t>10.1016/j.biortech.2021.124916</ns0:t>
        </ns0:is>
      </ns0:c>
      <ns0:c r="D271" s="3" t="inlineStr">
        <ns0:is>
          <ns0:t>fulltext</ns0:t>
        </ns0:is>
      </ns0:c>
      <ns0:c r="E271" s="3" t="inlineStr">
        <ns0:is>
          <ns0:t>出版版（版式及版权文字）</ns0:t>
        </ns0:is>
      </ns0:c>
      <ns0:c r="F271" s="3" t="inlineStr">
        <ns0:is>
          <ns0:t>fulltext.pdf</ns0:t>
        </ns0:is>
      </ns0:c>
      <ns0:c r="G271" s="3" t="inlineStr">
        <ns0:is>
          <ns0:t>original_files/R06967/fulltext/fulltext__published__5e7eafedc101e992.pdf</ns0:t>
        </ns0:is>
      </ns0:c>
      <ns0:c r="H271" s="3" t="inlineStr">
        <ns0:is>
          <ns0:t>local_upload</ns0:t>
        </ns0:is>
      </ns0:c>
      <ns0:c r="I271" s="3" t="inlineStr">
        <ns0:is>
          <ns0:t>localdownload/R06967/fulltext.pdf</ns0:t>
        </ns0:is>
      </ns0:c>
      <ns0:c r="J271" s="3" t="n">
        <ns0:v>890870</ns0:v>
      </ns0:c>
      <ns0:c r="K271" s="3" t="inlineStr">
        <ns0:is>
          <ns0:t>5e7eafedc101e9926fbc9a6d33bd4170bfeb41f78b39e39451be254ab02fd107</ns0:t>
        </ns0:is>
      </ns0:c>
      <ns0:c r="L271" s="3" t="inlineStr">
        <ns0:is>
          <ns0:t>identity_and_body_structure_verified</ns0:t>
        </ns0:is>
      </ns0:c>
      <ns0:c r="M271" s="3" t="inlineStr"/>
      <ns0:c r="N271" s="3" t="inlineStr">
        <ns0:is>
          <ns0:t>首页/前两页题名作者或目标DOI核对，全部页面解析及正文结构检查；不据文件名判全文。</ns0:t>
        </ns0:is>
      </ns0:c>
      <ns0:c r="O271" s="3" t="inlineStr">
        <ns0:is>
          <ns0:t>https://github.com/Colliam-Vermilion/FirstCodex/blob/results/ad-oxygen-literature-20261006/results/ad-oxygen-literature-20261006/original_files/R06967/fulltext/fulltext__published__5e7eafedc101e992.pdf</ns0:t>
        </ns0:is>
      </ns0:c>
    </ns0:row>
    <ns0:row r="272" ht="48" customHeight="1">
      <ns0:c r="A272" s="2" t="inlineStr">
        <ns0:is>
          <ns0:t>R13967</ns0:t>
        </ns0:is>
      </ns0:c>
      <ns0:c r="B272" s="2" t="inlineStr">
        <ns0:is>
          <ns0:t>An Improved Biomass Waste Anaerobic Degradation Technology for Producing Bio-gas Energy and Bio-fertilizers</ns0:t>
        </ns0:is>
      </ns0:c>
      <ns0:c r="C272" s="2" t="inlineStr"/>
      <ns0:c r="D272" s="2" t="inlineStr">
        <ns0:is>
          <ns0:t>fulltext</ns0:t>
        </ns0:is>
      </ns0:c>
      <ns0:c r="E272" s="2" t="inlineStr">
        <ns0:is>
          <ns0:t>会议出版版本（原件©2012 ACEEE Summer Study）</ns0:t>
        </ns0:is>
      </ns0:c>
      <ns0:c r="F272" s="2" t="inlineStr">
        <ns0:is>
          <ns0:t>R13967_2012_An_Improved_Biomass_Waste_Anaerobic_Degradation_Technology_for_Producing.pdf</ns0:t>
        </ns0:is>
      </ns0:c>
      <ns0:c r="G272" s="2" t="inlineStr">
        <ns0:is>
          <ns0:t>original_files/R13967/fulltext/fulltext__published__5e9f84dbaf01dd19.pdf</ns0:t>
        </ns0:is>
      </ns0:c>
      <ns0:c r="H272" s="2" t="inlineStr">
        <ns0:is>
          <ns0:t>cloud_existing</ns0:t>
        </ns0:is>
      </ns0:c>
      <ns0:c r="I272" s="2" t="inlineStr">
        <ns0:is>
          <ns0:t>original_files/fulltext/R13967_2012_An_Improved_Biomass_Waste_Anaerobic_Degradation_Technology_for_Producing.pdf</ns0:t>
        </ns0:is>
      </ns0:c>
      <ns0:c r="J272" s="2" t="n">
        <ns0:v>160020</ns0:v>
      </ns0:c>
      <ns0:c r="K272" s="2" t="inlineStr">
        <ns0:is>
          <ns0:t>5e9f84dbaf01dd19674f09cbce96f338f32fe21a37a883bb9658e49af7072194</ns0:t>
        </ns0:is>
      </ns0:c>
      <ns0:c r="L272" s="2" t="inlineStr">
        <ns0:is>
          <ns0:t>identity_and_body_structure_verified</ns0:t>
        </ns0:is>
      </ns0:c>
      <ns0:c r="M272" s="2" t="inlineStr"/>
      <ns0:c r="N272" s="2" t="inlineStr">
        <ns0:is>
          <ns0:t>首页/前两页题名作者或目标DOI核对，全部页面解析及正文结构检查；不据文件名判全文。</ns0:t>
        </ns0:is>
      </ns0:c>
      <ns0:c r="O272" s="2" t="inlineStr">
        <ns0:is>
          <ns0:t>https://github.com/Colliam-Vermilion/FirstCodex/blob/results/ad-oxygen-literature-20261006/results/ad-oxygen-literature-20261006/original_files/R13967/fulltext/fulltext__published__5e9f84dbaf01dd19.pdf</ns0:t>
        </ns0:is>
      </ns0:c>
    </ns0:row>
    <ns0:row r="273" ht="48" customHeight="1">
      <ns0:c r="A273" s="3" t="inlineStr">
        <ns0:is>
          <ns0:t>R13879</ns0:t>
        </ns0:is>
      </ns0:c>
      <ns0:c r="B273" s="3" t="inlineStr">
        <ns0:is>
          <ns0:t>Improved anaerobic digestion performance of Miscanthus floridulus by different pretreatment methods and preliminary economic analysis</ns0:t>
        </ns0:is>
      </ns0:c>
      <ns0:c r="C273" s="3" t="inlineStr">
        <ns0:is>
          <ns0:t>10.1016/j.enconman.2018.01.014</ns0:t>
        </ns0:is>
      </ns0:c>
      <ns0:c r="D273" s="3" t="inlineStr">
        <ns0:is>
          <ns0:t>supplementary</ns0:t>
        </ns0:is>
      </ns0:c>
      <ns0:c r="E273" s="3" t="inlineStr"/>
      <ns0:c r="F273" s="3" t="inlineStr">
        <ns0:is>
          <ns0:t>supplementary.pdf</ns0:t>
        </ns0:is>
      </ns0:c>
      <ns0:c r="G273" s="3" t="inlineStr">
        <ns0:is>
          <ns0:t>original_files/R13879/supplementary/supplementary__5f449d5947bff00b.pdf</ns0:t>
        </ns0:is>
      </ns0:c>
      <ns0:c r="H273" s="3" t="inlineStr">
        <ns0:is>
          <ns0:t>local_upload</ns0:t>
        </ns0:is>
      </ns0:c>
      <ns0:c r="I273" s="3" t="inlineStr">
        <ns0:is>
          <ns0:t>localdownload/R13879/supplementary.pdf</ns0:t>
        </ns0:is>
      </ns0:c>
      <ns0:c r="J273" s="3" t="n">
        <ns0:v>438421</ns0:v>
      </ns0:c>
      <ns0:c r="K273" s="3" t="inlineStr">
        <ns0:is>
          <ns0:t>5f449d5947bff00b1fb6c2b1906fc0eb064e02b11a95f242a8e4ab0b293f6894</ns0:t>
        </ns0:is>
      </ns0:c>
      <ns0:c r="L273" s="3" t="inlineStr">
        <ns0:is>
          <ns0:t>pdf_readable_requires_role_review</ns0:t>
        </ns0:is>
      </ns0:c>
      <ns0:c r="M273" s="3" t="inlineStr">
        <ns0:is>
          <ns0:t>directory_and_content_consistent_identity_pending</ns0:t>
        </ns0:is>
      </ns0:c>
      <ns0:c r="N273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73" s="3" t="inlineStr">
        <ns0:is>
          <ns0:t>https://github.com/Colliam-Vermilion/FirstCodex/blob/results/ad-oxygen-literature-20261006/results/ad-oxygen-literature-20261006/original_files/R13879/supplementary/supplementary__5f449d5947bff00b.pdf</ns0:t>
        </ns0:is>
      </ns0:c>
    </ns0:row>
    <ns0:row r="274" ht="48" customHeight="1">
      <ns0:c r="A274" s="2" t="inlineStr">
        <ns0:is>
          <ns0:t>R13236</ns0:t>
        </ns0:is>
      </ns0:c>
      <ns0:c r="B274" s="2" t="inlineStr">
        <ns0:is>
          <ns0:t>Mechanism of anaerobic digestion of cattle manure enhanced by oxygen and hydrogen nano-bubble water</ns0:t>
        </ns0:is>
      </ns0:c>
      <ns0:c r="C274" s="2" t="inlineStr">
        <ns0:is>
          <ns0:t>10.1016/j.cej.2025.171515</ns0:t>
        </ns0:is>
      </ns0:c>
      <ns0:c r="D274" s="2" t="inlineStr">
        <ns0:is>
          <ns0:t>fulltext</ns0:t>
        </ns0:is>
      </ns0:c>
      <ns0:c r="E274" s="2" t="inlineStr">
        <ns0:is>
          <ns0:t>出版版（版式及版权文字）</ns0:t>
        </ns0:is>
      </ns0:c>
      <ns0:c r="F274" s="2" t="inlineStr">
        <ns0:is>
          <ns0:t>fulltext.pdf</ns0:t>
        </ns0:is>
      </ns0:c>
      <ns0:c r="G274" s="2" t="inlineStr">
        <ns0:is>
          <ns0:t>original_files/R13236/fulltext/fulltext__published__5f6e6d7b9f8bb713.pdf</ns0:t>
        </ns0:is>
      </ns0:c>
      <ns0:c r="H274" s="2" t="inlineStr">
        <ns0:is>
          <ns0:t>local_upload</ns0:t>
        </ns0:is>
      </ns0:c>
      <ns0:c r="I274" s="2" t="inlineStr">
        <ns0:is>
          <ns0:t>localdownload/R13236/fulltext.pdf</ns0:t>
        </ns0:is>
      </ns0:c>
      <ns0:c r="J274" s="2" t="n">
        <ns0:v>14420626</ns0:v>
      </ns0:c>
      <ns0:c r="K274" s="2" t="inlineStr">
        <ns0:is>
          <ns0:t>5f6e6d7b9f8bb7135ba43f5165dd54384c0d5d8c2b99b82f8d9df7025df783dd</ns0:t>
        </ns0:is>
      </ns0:c>
      <ns0:c r="L274" s="2" t="inlineStr">
        <ns0:is>
          <ns0:t>identity_and_body_structure_verified</ns0:t>
        </ns0:is>
      </ns0:c>
      <ns0:c r="M274" s="2" t="inlineStr"/>
      <ns0:c r="N274" s="2" t="inlineStr">
        <ns0:is>
          <ns0:t>首页/前两页题名作者或目标DOI核对，全部页面解析及正文结构检查；不据文件名判全文。</ns0:t>
        </ns0:is>
      </ns0:c>
      <ns0:c r="O274" s="2" t="inlineStr">
        <ns0:is>
          <ns0:t>https://github.com/Colliam-Vermilion/FirstCodex/blob/results/ad-oxygen-literature-20261006/results/ad-oxygen-literature-20261006/original_files/R13236/fulltext/fulltext__published__5f6e6d7b9f8bb713.pdf</ns0:t>
        </ns0:is>
      </ns0:c>
    </ns0:row>
    <ns0:row r="275" ht="48" customHeight="1">
      <ns0:c r="A275" s="3" t="inlineStr">
        <ns0:is>
          <ns0:t>R13683</ns0:t>
        </ns0:is>
      </ns0:c>
      <ns0:c r="B275" s="3" t="inlineStr">
        <ns0:is>
          <ns0:t>Synergistic enhancement of methane yield and odor control in pig manure anaerobic digestion via micro-aeration pretreatment</ns0:t>
        </ns0:is>
      </ns0:c>
      <ns0:c r="C275" s="3" t="inlineStr">
        <ns0:is>
          <ns0:t>10.1016/j.renene.2026.126304</ns0:t>
        </ns0:is>
      </ns0:c>
      <ns0:c r="D275" s="3" t="inlineStr">
        <ns0:is>
          <ns0:t>supplementary</ns0:t>
        </ns0:is>
      </ns0:c>
      <ns0:c r="E275" s="3" t="inlineStr"/>
      <ns0:c r="F275" s="3" t="inlineStr">
        <ns0:is>
          <ns0:t>Table S2. Alpha diversity index of pig manure pretreated with micro-aeration.docx</ns0:t>
        </ns0:is>
      </ns0:c>
      <ns0:c r="G275" s="3" t="inlineStr">
        <ns0:is>
          <ns0:t>original_files/R13683/supplementary/supplementary__5fdf454660591b7e.docx</ns0:t>
        </ns0:is>
      </ns0:c>
      <ns0:c r="H275" s="3" t="inlineStr">
        <ns0:is>
          <ns0:t>local_upload</ns0:t>
        </ns0:is>
      </ns0:c>
      <ns0:c r="I275" s="3" t="inlineStr">
        <ns0:is>
          <ns0:t>localdownload/R13683/Table S2. Alpha diversity index of pig manure pretreated with micro-aeration.docx</ns0:t>
        </ns0:is>
      </ns0:c>
      <ns0:c r="J275" s="3" t="n">
        <ns0:v>12856</ns0:v>
      </ns0:c>
      <ns0:c r="K275" s="3" t="inlineStr">
        <ns0:is>
          <ns0:t>5fdf454660591b7e673e6b1665de4fa7e2c9527928bbeb7a3ef19f5b9713c83a</ns0:t>
        </ns0:is>
      </ns0:c>
      <ns0:c r="L275" s="3" t="inlineStr">
        <ns0:is>
          <ns0:t>container_crc_verified</ns0:t>
        </ns0:is>
      </ns0:c>
      <ns0:c r="M275" s="3" t="inlineStr">
        <ns0:is>
          <ns0:t>directory_and_content_consistent_identity_pending</ns0:t>
        </ns0:is>
      </ns0:c>
      <ns0:c r="N275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75" s="3" t="inlineStr">
        <ns0:is>
          <ns0:t>https://github.com/Colliam-Vermilion/FirstCodex/blob/results/ad-oxygen-literature-20261006/results/ad-oxygen-literature-20261006/original_files/R13683/supplementary/supplementary__5fdf454660591b7e.docx</ns0:t>
        </ns0:is>
      </ns0:c>
    </ns0:row>
    <ns0:row r="276" ht="48" customHeight="1">
      <ns0:c r="A276" s="2" t="inlineStr">
        <ns0:is>
          <ns0:t>R13927</ns0:t>
        </ns0:is>
      </ns0:c>
      <ns0:c r="B276" s="2" t="inlineStr">
        <ns0:is>
          <ns0:t>Microbial community structure in a thermophilic aerobic digester used as a sludge pretreatment process for the mesophilic anaerobic digestion and the enhancement of methane production</ns0:t>
        </ns0:is>
      </ns0:c>
      <ns0:c r="C276" s="2" t="inlineStr">
        <ns0:is>
          <ns0:t>10.1016/j.biortech.2013.01.094</ns0:t>
        </ns0:is>
      </ns0:c>
      <ns0:c r="D276" s="2" t="inlineStr">
        <ns0:is>
          <ns0:t>fulltext</ns0:t>
        </ns0:is>
      </ns0:c>
      <ns0:c r="E276" s="2" t="inlineStr">
        <ns0:is>
          <ns0:t>出版版（版式及版权文字）</ns0:t>
        </ns0:is>
      </ns0:c>
      <ns0:c r="F276" s="2" t="inlineStr">
        <ns0:is>
          <ns0:t>fulltext.pdf</ns0:t>
        </ns0:is>
      </ns0:c>
      <ns0:c r="G276" s="2" t="inlineStr">
        <ns0:is>
          <ns0:t>original_files/R13927/fulltext/fulltext__published__600443484b17b952.pdf</ns0:t>
        </ns0:is>
      </ns0:c>
      <ns0:c r="H276" s="2" t="inlineStr">
        <ns0:is>
          <ns0:t>local_upload</ns0:t>
        </ns0:is>
      </ns0:c>
      <ns0:c r="I276" s="2" t="inlineStr">
        <ns0:is>
          <ns0:t>localdownload/R13927/fulltext.pdf</ns0:t>
        </ns0:is>
      </ns0:c>
      <ns0:c r="J276" s="2" t="n">
        <ns0:v>1846496</ns0:v>
      </ns0:c>
      <ns0:c r="K276" s="2" t="inlineStr">
        <ns0:is>
          <ns0:t>600443484b17b952c845f2320bc4ccbc4ddcf51fc7e675308c55b01f24fa1f95</ns0:t>
        </ns0:is>
      </ns0:c>
      <ns0:c r="L276" s="2" t="inlineStr">
        <ns0:is>
          <ns0:t>identity_and_body_structure_verified</ns0:t>
        </ns0:is>
      </ns0:c>
      <ns0:c r="M276" s="2" t="inlineStr"/>
      <ns0:c r="N276" s="2" t="inlineStr">
        <ns0:is>
          <ns0:t>首页/前两页题名作者或目标DOI核对，全部页面解析及正文结构检查；不据文件名判全文。</ns0:t>
        </ns0:is>
      </ns0:c>
      <ns0:c r="O276" s="2" t="inlineStr">
        <ns0:is>
          <ns0:t>https://github.com/Colliam-Vermilion/FirstCodex/blob/results/ad-oxygen-literature-20261006/results/ad-oxygen-literature-20261006/original_files/R13927/fulltext/fulltext__published__600443484b17b952.pdf</ns0:t>
        </ns0:is>
      </ns0:c>
    </ns0:row>
    <ns0:row r="277" ht="48" customHeight="1">
      <ns0:c r="A277" s="3" t="inlineStr">
        <ns0:is>
          <ns0:t>R05626</ns0:t>
        </ns0:is>
      </ns0:c>
      <ns0:c r="B277" s="3" t="inlineStr">
        <ns0:is>
          <ns0:t>Enhancing energy recovery from corn straw via two-stage anaerobic digestion with stepwise microaerobic hydrogen fermentation and methanogenesis</ns0:t>
        </ns0:is>
      </ns0:c>
      <ns0:c r="C277" s="3" t="inlineStr">
        <ns0:is>
          <ns0:t>10.1016/j.jclepro.2019.119651</ns0:t>
        </ns0:is>
      </ns0:c>
      <ns0:c r="D277" s="3" t="inlineStr">
        <ns0:is>
          <ns0:t>fulltext</ns0:t>
        </ns0:is>
      </ns0:c>
      <ns0:c r="E277" s="3" t="inlineStr">
        <ns0:is>
          <ns0:t>出版版（版式及版权文字）</ns0:t>
        </ns0:is>
      </ns0:c>
      <ns0:c r="F277" s="3" t="inlineStr">
        <ns0:is>
          <ns0:t>fulltext.pdf</ns0:t>
        </ns0:is>
      </ns0:c>
      <ns0:c r="G277" s="3" t="inlineStr">
        <ns0:is>
          <ns0:t>original_files/R05626/fulltext/fulltext__published__601b59cfb5a3c380.pdf</ns0:t>
        </ns0:is>
      </ns0:c>
      <ns0:c r="H277" s="3" t="inlineStr">
        <ns0:is>
          <ns0:t>local_upload</ns0:t>
        </ns0:is>
      </ns0:c>
      <ns0:c r="I277" s="3" t="inlineStr">
        <ns0:is>
          <ns0:t>localdownload/R05626/fulltext.pdf</ns0:t>
        </ns0:is>
      </ns0:c>
      <ns0:c r="J277" s="3" t="n">
        <ns0:v>2447497</ns0:v>
      </ns0:c>
      <ns0:c r="K277" s="3" t="inlineStr">
        <ns0:is>
          <ns0:t>601b59cfb5a3c3801429a7b60438930d58a674b020f859a72228f4ff1fa360d1</ns0:t>
        </ns0:is>
      </ns0:c>
      <ns0:c r="L277" s="3" t="inlineStr">
        <ns0:is>
          <ns0:t>identity_and_body_structure_verified</ns0:t>
        </ns0:is>
      </ns0:c>
      <ns0:c r="M277" s="3" t="inlineStr"/>
      <ns0:c r="N277" s="3" t="inlineStr">
        <ns0:is>
          <ns0:t>首页/前两页题名作者或目标DOI核对，全部页面解析及正文结构检查；不据文件名判全文。</ns0:t>
        </ns0:is>
      </ns0:c>
      <ns0:c r="O277" s="3" t="inlineStr">
        <ns0:is>
          <ns0:t>https://github.com/Colliam-Vermilion/FirstCodex/blob/results/ad-oxygen-literature-20261006/results/ad-oxygen-literature-20261006/original_files/R05626/fulltext/fulltext__published__601b59cfb5a3c380.pdf</ns0:t>
        </ns0:is>
      </ns0:c>
    </ns0:row>
    <ns0:row r="278" ht="48" customHeight="1">
      <ns0:c r="A278" s="2" t="inlineStr">
        <ns0:is>
          <ns0:t>R06325</ns0:t>
        </ns0:is>
      </ns0:c>
      <ns0:c r="B278" s="2" t="inlineStr">
        <ns0:is>
          <ns0:t>Anaerobic and Microaerobic Pretreatment for Improving Methane Production From Paper Waste in Anaerobic Digestion</ns0:t>
        </ns0:is>
      </ns0:c>
      <ns0:c r="C278" s="2" t="inlineStr">
        <ns0:is>
          <ns0:t>10.3389/fmicb.2021.688290</ns0:t>
        </ns0:is>
      </ns0:c>
      <ns0:c r="D278" s="2" t="inlineStr">
        <ns0:is>
          <ns0:t>supplementary</ns0:t>
        </ns0:is>
      </ns0:c>
      <ns0:c r="E278" s="2" t="inlineStr"/>
      <ns0:c r="F278" s="2" t="inlineStr">
        <ns0:is>
          <ns0:t>Data_Sheet_1.docx</ns0:t>
        </ns0:is>
      </ns0:c>
      <ns0:c r="G278" s="2" t="inlineStr">
        <ns0:is>
          <ns0:t>original_files/R06325/supplementary/supplementary__60c80a9d02b6781a.docx</ns0:t>
        </ns0:is>
      </ns0:c>
      <ns0:c r="H278" s="2" t="inlineStr">
        <ns0:is>
          <ns0:t>cloud_existing</ns0:t>
        </ns0:is>
      </ns0:c>
      <ns0:c r="I278" s="2" t="inlineStr">
        <ns0:is>
          <ns0:t>original_files/supplementary/R06325/Data_Sheet_1.docx</ns0:t>
        </ns0:is>
      </ns0:c>
      <ns0:c r="J278" s="2" t="n">
        <ns0:v>685663</ns0:v>
      </ns0:c>
      <ns0:c r="K278" s="2" t="inlineStr">
        <ns0:is>
          <ns0:t>60c80a9d02b6781ad5f23a1201771d6830ad428fa791cdc8eb6745e8def01ed5</ns0:t>
        </ns0:is>
      </ns0:c>
      <ns0:c r="L278" s="2" t="inlineStr">
        <ns0:is>
          <ns0:t>container_crc_verified</ns0:t>
        </ns0:is>
      </ns0:c>
      <ns0:c r="M278" s="2" t="inlineStr">
        <ns0:is>
          <ns0:t>existing_official_attachment_evidence_retained</ns0:t>
        </ns0:is>
      </ns0:c>
      <ns0:c r="N278" s="2" t="inlineStr"/>
      <ns0:c r="O278" s="2" t="inlineStr">
        <ns0:is>
          <ns0:t>https://github.com/Colliam-Vermilion/FirstCodex/blob/results/ad-oxygen-literature-20261006/results/ad-oxygen-literature-20261006/original_files/R06325/supplementary/supplementary__60c80a9d02b6781a.docx</ns0:t>
        </ns0:is>
      </ns0:c>
    </ns0:row>
    <ns0:row r="279" ht="48" customHeight="1">
      <ns0:c r="A279" s="3" t="inlineStr">
        <ns0:is>
          <ns0:t>R09217</ns0:t>
        </ns0:is>
      </ns0:c>
      <ns0:c r="B279" s="3" t="inlineStr">
        <ns0:is>
          <ns0:t>Micro-aeration and leachate recirculation for the acceleration of landfill stabilization: Enhanced hydrolytic acidification by facultative bacteria</ns0:t>
        </ns0:is>
      </ns0:c>
      <ns0:c r="C279" s="3" t="inlineStr">
        <ns0:is>
          <ns0:t>10.1016/j.biortech.2023.129615</ns0:t>
        </ns0:is>
      </ns0:c>
      <ns0:c r="D279" s="3" t="inlineStr">
        <ns0:is>
          <ns0:t>supplementary</ns0:t>
        </ns0:is>
      </ns0:c>
      <ns0:c r="E279" s="3" t="inlineStr"/>
      <ns0:c r="F279" s="3" t="inlineStr">
        <ns0:is>
          <ns0:t>supplementary.docx</ns0:t>
        </ns0:is>
      </ns0:c>
      <ns0:c r="G279" s="3" t="inlineStr">
        <ns0:is>
          <ns0:t>original_files/R09217/supplementary/supplementary__60cd816ae61a7e9f.docx</ns0:t>
        </ns0:is>
      </ns0:c>
      <ns0:c r="H279" s="3" t="inlineStr">
        <ns0:is>
          <ns0:t>local_upload</ns0:t>
        </ns0:is>
      </ns0:c>
      <ns0:c r="I279" s="3" t="inlineStr">
        <ns0:is>
          <ns0:t>localdownload/R09217/supplementary.docx</ns0:t>
        </ns0:is>
      </ns0:c>
      <ns0:c r="J279" s="3" t="n">
        <ns0:v>223221</ns0:v>
      </ns0:c>
      <ns0:c r="K279" s="3" t="inlineStr">
        <ns0:is>
          <ns0:t>60cd816ae61a7e9f7b4a5302512b91264bffcfbf910e3e2b6b4e671e004bc4ec</ns0:t>
        </ns0:is>
      </ns0:c>
      <ns0:c r="L279" s="3" t="inlineStr">
        <ns0:is>
          <ns0:t>container_crc_verified</ns0:t>
        </ns0:is>
      </ns0:c>
      <ns0:c r="M279" s="3" t="inlineStr">
        <ns0:is>
          <ns0:t>title_in_attachment_verified</ns0:t>
        </ns0:is>
      </ns0:c>
      <ns0:c r="N279" s="3" t="inlineStr"/>
      <ns0:c r="O279" s="3" t="inlineStr">
        <ns0:is>
          <ns0:t>https://github.com/Colliam-Vermilion/FirstCodex/blob/results/ad-oxygen-literature-20261006/results/ad-oxygen-literature-20261006/original_files/R09217/supplementary/supplementary__60cd816ae61a7e9f.docx</ns0:t>
        </ns0:is>
      </ns0:c>
    </ns0:row>
    <ns0:row r="280" ht="48" customHeight="1">
      <ns0:c r="A280" s="2" t="inlineStr">
        <ns0:is>
          <ns0:t>R11519</ns0:t>
        </ns0:is>
      </ns0:c>
      <ns0:c r="B280" s="2" t="inlineStr">
        <ns0:is>
          <ns0:t>Enhancing anaerobic digestion of swine manure using microbial electrolysis cell and microaeration</ns0:t>
        </ns0:is>
      </ns0:c>
      <ns0:c r="C280" s="2" t="inlineStr">
        <ns0:is>
          <ns0:t>10.1016/j.cej.2025.163319</ns0:t>
        </ns0:is>
      </ns0:c>
      <ns0:c r="D280" s="2" t="inlineStr">
        <ns0:is>
          <ns0:t>supplementary</ns0:t>
        </ns0:is>
      </ns0:c>
      <ns0:c r="E280" s="2" t="inlineStr"/>
      <ns0:c r="F280" s="2" t="inlineStr">
        <ns0:is>
          <ns0:t>supplementary.docx</ns0:t>
        </ns0:is>
      </ns0:c>
      <ns0:c r="G280" s="2" t="inlineStr">
        <ns0:is>
          <ns0:t>original_files/R11519/supplementary/supplementary__60de9553a4994c9a.docx</ns0:t>
        </ns0:is>
      </ns0:c>
      <ns0:c r="H280" s="2" t="inlineStr">
        <ns0:is>
          <ns0:t>local_upload</ns0:t>
        </ns0:is>
      </ns0:c>
      <ns0:c r="I280" s="2" t="inlineStr">
        <ns0:is>
          <ns0:t>localdownload/R11519/supplementary.docx</ns0:t>
        </ns0:is>
      </ns0:c>
      <ns0:c r="J280" s="2" t="n">
        <ns0:v>512083</ns0:v>
      </ns0:c>
      <ns0:c r="K280" s="2" t="inlineStr">
        <ns0:is>
          <ns0:t>60de9553a4994c9a7ada24610e9588837fce49c29ab761e97874c50437c6934a</ns0:t>
        </ns0:is>
      </ns0:c>
      <ns0:c r="L280" s="2" t="inlineStr">
        <ns0:is>
          <ns0:t>container_crc_verified</ns0:t>
        </ns0:is>
      </ns0:c>
      <ns0:c r="M280" s="2" t="inlineStr">
        <ns0:is>
          <ns0:t>title_in_attachment_verified</ns0:t>
        </ns0:is>
      </ns0:c>
      <ns0:c r="N280" s="2" t="inlineStr"/>
      <ns0:c r="O280" s="2" t="inlineStr">
        <ns0:is>
          <ns0:t>https://github.com/Colliam-Vermilion/FirstCodex/blob/results/ad-oxygen-literature-20261006/results/ad-oxygen-literature-20261006/original_files/R11519/supplementary/supplementary__60de9553a4994c9a.docx</ns0:t>
        </ns0:is>
      </ns0:c>
    </ns0:row>
    <ns0:row r="281" ht="48" customHeight="1">
      <ns0:c r="A281" s="3" t="inlineStr">
        <ns0:is>
          <ns0:t>R13917</ns0:t>
        </ns0:is>
      </ns0:c>
      <ns0:c r="B281" s="3" t="inlineStr">
        <ns0:is>
          <ns0:t>Intermittent air mixing enhances dry anaerobic co-digestion of pig manure solid fraction and wheat straw: Methane performance and machine-learning-guided parameter optimization</ns0:t>
        </ns0:is>
      </ns0:c>
      <ns0:c r="C281" s="3" t="inlineStr">
        <ns0:is>
          <ns0:t>10.1016/j.biortech.2026.135704</ns0:t>
        </ns0:is>
      </ns0:c>
      <ns0:c r="D281" s="3" t="inlineStr">
        <ns0:is>
          <ns0:t>fulltext</ns0:t>
        </ns0:is>
      </ns0:c>
      <ns0:c r="E281" s="3" t="inlineStr">
        <ns0:is>
          <ns0:t>出版版（版式及版权文字）</ns0:t>
        </ns0:is>
      </ns0:c>
      <ns0:c r="F281" s="3" t="inlineStr">
        <ns0:is>
          <ns0:t>fulltext.pdf</ns0:t>
        </ns0:is>
      </ns0:c>
      <ns0:c r="G281" s="3" t="inlineStr">
        <ns0:is>
          <ns0:t>original_files/R13917/fulltext/fulltext__published__60e6326aa8c5b44a.pdf</ns0:t>
        </ns0:is>
      </ns0:c>
      <ns0:c r="H281" s="3" t="inlineStr">
        <ns0:is>
          <ns0:t>local_upload</ns0:t>
        </ns0:is>
      </ns0:c>
      <ns0:c r="I281" s="3" t="inlineStr">
        <ns0:is>
          <ns0:t>localdownload/R13917/fulltext.pdf</ns0:t>
        </ns0:is>
      </ns0:c>
      <ns0:c r="J281" s="3" t="n">
        <ns0:v>1803213</ns0:v>
      </ns0:c>
      <ns0:c r="K281" s="3" t="inlineStr">
        <ns0:is>
          <ns0:t>60e6326aa8c5b44a4f77251057e60ea64ce3005e47cb449ef50105261e4ec3eb</ns0:t>
        </ns0:is>
      </ns0:c>
      <ns0:c r="L281" s="3" t="inlineStr">
        <ns0:is>
          <ns0:t>identity_and_body_structure_verified</ns0:t>
        </ns0:is>
      </ns0:c>
      <ns0:c r="M281" s="3" t="inlineStr"/>
      <ns0:c r="N281" s="3" t="inlineStr">
        <ns0:is>
          <ns0:t>首页/前两页题名作者或目标DOI核对，全部页面解析及正文结构检查；不据文件名判全文。</ns0:t>
        </ns0:is>
      </ns0:c>
      <ns0:c r="O281" s="3" t="inlineStr">
        <ns0:is>
          <ns0:t>https://github.com/Colliam-Vermilion/FirstCodex/blob/results/ad-oxygen-literature-20261006/results/ad-oxygen-literature-20261006/original_files/R13917/fulltext/fulltext__published__60e6326aa8c5b44a.pdf</ns0:t>
        </ns0:is>
      </ns0:c>
    </ns0:row>
    <ns0:row r="282" ht="48" customHeight="1">
      <ns0:c r="A282" s="2" t="inlineStr">
        <ns0:is>
          <ns0:t>R12985</ns0:t>
        </ns0:is>
      </ns0:c>
      <ns0:c r="B282" s="2" t="inlineStr">
        <ns0:is>
          <ns0:t>Evaluation of Anaerobic Digestion Amended with Micro-Aeration and/or Sound Treatment on the Resistome and Virulence Factor Gene Profiles in Poultry Litter</ns0:t>
        </ns0:is>
      </ns0:c>
      <ns0:c r="C282" s="2" t="inlineStr">
        <ns0:is>
          <ns0:t>10.3390/antibiotics15020153</ns0:t>
        </ns0:is>
      </ns0:c>
      <ns0:c r="D282" s="2" t="inlineStr">
        <ns0:is>
          <ns0:t>derived</ns0:t>
        </ns0:is>
      </ns0:c>
      <ns0:c r="E282" s="2" t="inlineStr"/>
      <ns0:c r="F282" s="2" t="inlineStr">
        <ns0:is>
          <ns0:t>Supplementary Table S1-full data.xlsx</ns0:t>
        </ns0:is>
      </ns0:c>
      <ns0:c r="G282" s="2" t="inlineStr">
        <ns0:is>
          <ns0:t>original_files/R12985/derived/derived__612fbb636cffef98.xlsx</ns0:t>
        </ns0:is>
      </ns0:c>
      <ns0:c r="H282" s="2" t="inlineStr">
        <ns0:is>
          <ns0:t>cloud_existing</ns0:t>
        </ns0:is>
      </ns0:c>
      <ns0:c r="I282" s="2" t="inlineStr">
        <ns0:is>
          <ns0:t>original_files/supplementary/R12985/extracted/Supplementary Table S1-full data.xlsx</ns0:t>
        </ns0:is>
      </ns0:c>
      <ns0:c r="J282" s="2" t="n">
        <ns0:v>174932</ns0:v>
      </ns0:c>
      <ns0:c r="K282" s="2" t="inlineStr">
        <ns0:is>
          <ns0:t>612fbb636cffef9883f1d1e6b2fe6a43da622b2d645418e110a33aec836bb3de</ns0:t>
        </ns0:is>
      </ns0:c>
      <ns0:c r="L282" s="2" t="inlineStr">
        <ns0:is>
          <ns0:t>xlsx_open_and_zip_crc_verified</ns0:t>
        </ns0:is>
      </ns0:c>
      <ns0:c r="M282" s="2" t="inlineStr"/>
      <ns0:c r="N282" s="2" t="inlineStr"/>
      <ns0:c r="O282" s="2" t="inlineStr">
        <ns0:is>
          <ns0:t>https://github.com/Colliam-Vermilion/FirstCodex/blob/results/ad-oxygen-literature-20261006/results/ad-oxygen-literature-20261006/original_files/R12985/derived/derived__612fbb636cffef98.xlsx</ns0:t>
        </ns0:is>
      </ns0:c>
    </ns0:row>
    <ns0:row r="283" ht="48" customHeight="1">
      <ns0:c r="A283" s="3" t="inlineStr">
        <ns0:is>
          <ns0:t>R13969</ns0:t>
        </ns0:is>
      </ns0:c>
      <ns0:c r="B283" s="3" t="inlineStr">
        <ns0:is>
          <ns0:t>Effects of microaeration on hydrogen and methane production from cassava wastewater using a two-stage UASB system</ns0:t>
        </ns0:is>
      </ns0:c>
      <ns0:c r="C283" s="3" t="inlineStr">
        <ns0:is>
          <ns0:t>10.58837/chula.the.2015.1953</ns0:t>
        </ns0:is>
      </ns0:c>
      <ns0:c r="D283" s="3" t="inlineStr">
        <ns0:is>
          <ns0:t>fulltext</ns0:t>
        </ns0:is>
      </ns0:c>
      <ns0:c r="E283" s="3" t="inlineStr">
        <ns0:is>
          <ns0:t>学位/学生报告原稿（分章节者按组）</ns0:t>
        </ns0:is>
      </ns0:c>
      <ns0:c r="F283" s="3" t="inlineStr">
        <ns0:is>
          <ns0:t>R13969_Pairin_tu_ch4_p.pdf</ns0:t>
        </ns0:is>
      </ns0:c>
      <ns0:c r="G283" s="3" t="inlineStr">
        <ns0:is>
          <ns0:t>original_files/R13969/fulltext/fulltext__thesis__61359ef0b77b9afe.pdf</ns0:t>
        </ns0:is>
      </ns0:c>
      <ns0:c r="H283" s="3" t="inlineStr">
        <ns0:is>
          <ns0:t>cloud_existing</ns0:t>
        </ns0:is>
      </ns0:c>
      <ns0:c r="I283" s="3" t="inlineStr">
        <ns0:is>
          <ns0:t>original_files/fulltext/R13969_Pairin_tu_ch4_p.pdf</ns0:t>
        </ns0:is>
      </ns0:c>
      <ns0:c r="J283" s="3" t="n">
        <ns0:v>1935008</ns0:v>
      </ns0:c>
      <ns0:c r="K283" s="3" t="inlineStr">
        <ns0:is>
          <ns0:t>61359ef0b77b9afe3705e5fef209f4c11dabf953e463ece6b7edff0b5d787ad1</ns0:t>
        </ns0:is>
      </ns0:c>
      <ns0:c r="L283" s="3" t="inlineStr">
        <ns0:is>
          <ns0:t>complete_multipart_thesis_group_verified</ns0:t>
        </ns0:is>
      </ns0:c>
      <ns0:c r="M283" s="3" t="inlineStr"/>
      <ns0:c r="N283" s="3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283" s="3" t="inlineStr">
        <ns0:is>
          <ns0:t>https://github.com/Colliam-Vermilion/FirstCodex/blob/results/ad-oxygen-literature-20261006/results/ad-oxygen-literature-20261006/original_files/R13969/fulltext/fulltext__thesis__61359ef0b77b9afe.pdf</ns0:t>
        </ns0:is>
      </ns0:c>
    </ns0:row>
    <ns0:row r="284" ht="48" customHeight="1">
      <ns0:c r="A284" s="2" t="inlineStr">
        <ns0:is>
          <ns0:t>R07364</ns0:t>
        </ns0:is>
      </ns0:c>
      <ns0:c r="B284" s="2" t="inlineStr">
        <ns0:is>
          <ns0:t>A critical review of prospects and operational challenges of microaeration and iron dosing for in-situ biogas desulfurization</ns0:t>
        </ns0:is>
      </ns0:c>
      <ns0:c r="C284" s="2" t="inlineStr">
        <ns0:is>
          <ns0:t>10.1016/j.biteb.2022.101265</ns0:t>
        </ns0:is>
      </ns0:c>
      <ns0:c r="D284" s="2" t="inlineStr">
        <ns0:is>
          <ns0:t>fulltext</ns0:t>
        </ns0:is>
      </ns0:c>
      <ns0:c r="E284" s="2" t="inlineStr">
        <ns0:is>
          <ns0:t>出版版（版式及版权文字）</ns0:t>
        </ns0:is>
      </ns0:c>
      <ns0:c r="F284" s="2" t="inlineStr">
        <ns0:is>
          <ns0:t>fulltext.pdf</ns0:t>
        </ns0:is>
      </ns0:c>
      <ns0:c r="G284" s="2" t="inlineStr">
        <ns0:is>
          <ns0:t>original_files/R07364/fulltext/fulltext__published__6144fb91fc385efc.pdf</ns0:t>
        </ns0:is>
      </ns0:c>
      <ns0:c r="H284" s="2" t="inlineStr">
        <ns0:is>
          <ns0:t>local_upload</ns0:t>
        </ns0:is>
      </ns0:c>
      <ns0:c r="I284" s="2" t="inlineStr">
        <ns0:is>
          <ns0:t>localdownload/R07364/fulltext.pdf</ns0:t>
        </ns0:is>
      </ns0:c>
      <ns0:c r="J284" s="2" t="n">
        <ns0:v>1164760</ns0:v>
      </ns0:c>
      <ns0:c r="K284" s="2" t="inlineStr">
        <ns0:is>
          <ns0:t>6144fb91fc385efc96fc9df41c4bbf924ea499324c59a43ebb1a905ba1f802ff</ns0:t>
        </ns0:is>
      </ns0:c>
      <ns0:c r="L284" s="2" t="inlineStr">
        <ns0:is>
          <ns0:t>identity_and_body_structure_verified</ns0:t>
        </ns0:is>
      </ns0:c>
      <ns0:c r="M284" s="2" t="inlineStr"/>
      <ns0:c r="N284" s="2" t="inlineStr">
        <ns0:is>
          <ns0:t>首页/前两页题名作者或目标DOI核对，全部页面解析及正文结构检查；不据文件名判全文。</ns0:t>
        </ns0:is>
      </ns0:c>
      <ns0:c r="O284" s="2" t="inlineStr">
        <ns0:is>
          <ns0:t>https://github.com/Colliam-Vermilion/FirstCodex/blob/results/ad-oxygen-literature-20261006/results/ad-oxygen-literature-20261006/original_files/R07364/fulltext/fulltext__published__6144fb91fc385efc.pdf</ns0:t>
        </ns0:is>
      </ns0:c>
    </ns0:row>
    <ns0:row r="285" ht="48" customHeight="1">
      <ns0:c r="A285" s="3" t="inlineStr">
        <ns0:is>
          <ns0:t>R00677</ns0:t>
        </ns0:is>
      </ns0:c>
      <ns0:c r="B285" s="3" t="inlineStr">
        <ns0:is>
          <ns0:t>Enhanced hydrolysis and methane yield by applying microaeration pretreatment to the anaerobic co-digestion of brown water and food waste</ns0:t>
        </ns0:is>
      </ns0:c>
      <ns0:c r="C285" s="3" t="inlineStr">
        <ns0:is>
          <ns0:t>10.1016/j.wasman.2012.11.013</ns0:t>
        </ns0:is>
      </ns0:c>
      <ns0:c r="D285" s="3" t="inlineStr">
        <ns0:is>
          <ns0:t>fulltext</ns0:t>
        </ns0:is>
      </ns0:c>
      <ns0:c r="E285" s="3" t="inlineStr">
        <ns0:is>
          <ns0:t>出版版（版式及版权文字）</ns0:t>
        </ns0:is>
      </ns0:c>
      <ns0:c r="F285" s="3" t="inlineStr">
        <ns0:is>
          <ns0:t>fulltext.pdf</ns0:t>
        </ns0:is>
      </ns0:c>
      <ns0:c r="G285" s="3" t="inlineStr">
        <ns0:is>
          <ns0:t>original_files/R00677/fulltext/fulltext__published__618d438d3f05b66a.pdf</ns0:t>
        </ns0:is>
      </ns0:c>
      <ns0:c r="H285" s="3" t="inlineStr">
        <ns0:is>
          <ns0:t>local_upload</ns0:t>
        </ns0:is>
      </ns0:c>
      <ns0:c r="I285" s="3" t="inlineStr">
        <ns0:is>
          <ns0:t>localdownload/R00677/fulltext.pdf</ns0:t>
        </ns0:is>
      </ns0:c>
      <ns0:c r="J285" s="3" t="n">
        <ns0:v>697925</ns0:v>
      </ns0:c>
      <ns0:c r="K285" s="3" t="inlineStr">
        <ns0:is>
          <ns0:t>618d438d3f05b66a514a87a1e5ffc0b50fcaced539905c09fc1631c799dc9c30</ns0:t>
        </ns0:is>
      </ns0:c>
      <ns0:c r="L285" s="3" t="inlineStr">
        <ns0:is>
          <ns0:t>identity_and_body_structure_verified</ns0:t>
        </ns0:is>
      </ns0:c>
      <ns0:c r="M285" s="3" t="inlineStr"/>
      <ns0:c r="N285" s="3" t="inlineStr">
        <ns0:is>
          <ns0:t>首页/前两页题名作者或目标DOI核对，全部页面解析及正文结构检查；不据文件名判全文。</ns0:t>
        </ns0:is>
      </ns0:c>
      <ns0:c r="O285" s="3" t="inlineStr">
        <ns0:is>
          <ns0:t>https://github.com/Colliam-Vermilion/FirstCodex/blob/results/ad-oxygen-literature-20261006/results/ad-oxygen-literature-20261006/original_files/R00677/fulltext/fulltext__published__618d438d3f05b66a.pdf</ns0:t>
        </ns0:is>
      </ns0:c>
    </ns0:row>
    <ns0:row r="286" ht="48" customHeight="1">
      <ns0:c r="A286" s="2" t="inlineStr">
        <ns0:is>
          <ns0:t>R13949</ns0:t>
        </ns0:is>
      </ns0:c>
      <ns0:c r="B286" s="2" t="inlineStr">
        <ns0:is>
          <ns0:t>Aerobic Pre-treatment for Performance Enhancement of Batch Anaerobic Digestion of Napier Grass</ns0:t>
        </ns0:is>
      </ns0:c>
      <ns0:c r="C286" s="2" t="inlineStr">
        <ns0:is>
          <ns0:t>10.5071/21steubce2013-2dv.4.23</ns0:t>
        </ns0:is>
      </ns0:c>
      <ns0:c r="D286" s="2" t="inlineStr">
        <ns0:is>
          <ns0:t>uncertain</ns0:t>
        </ns0:is>
      </ns0:c>
      <ns0:c r="E286" s="2" t="inlineStr">
        <ns0:is>
          <ns0:t>版本待核实</ns0:t>
        </ns0:is>
      </ns0:c>
      <ns0:c r="F286" s="2" t="inlineStr">
        <ns0:is>
          <ns0:t>fulltext.pdf</ns0:t>
        </ns0:is>
      </ns0:c>
      <ns0:c r="G286" s="2" t="inlineStr">
        <ns0:is>
          <ns0:t>original_files/R13949/uncertain/uncertain__61944a1f5f79d220.pdf</ns0:t>
        </ns0:is>
      </ns0:c>
      <ns0:c r="H286" s="2" t="inlineStr">
        <ns0:is>
          <ns0:t>local_upload</ns0:t>
        </ns0:is>
      </ns0:c>
      <ns0:c r="I286" s="2" t="inlineStr">
        <ns0:is>
          <ns0:t>localdownload/R13949/fulltext.pdf</ns0:t>
        </ns0:is>
      </ns0:c>
      <ns0:c r="J286" s="2" t="n">
        <ns0:v>145292</ns0:v>
      </ns0:c>
      <ns0:c r="K286" s="2" t="inlineStr">
        <ns0:is>
          <ns0:t>61944a1f5f79d2208e7e88635100ba589425d6fe01339514d3d9d466a4126872</ns0:t>
        </ns0:is>
      </ns0:c>
      <ns0:c r="L286" s="2" t="inlineStr">
        <ns0:is>
          <ns0:t>identity_conflict_not_target_fulltext</ns0:t>
        </ns0:is>
      </ns0:c>
      <ns0:c r="M286" s="2" t="inlineStr"/>
      <ns0:c r="N286" s="2" t="inlineStr">
        <ns0:is>
          <ns0:t>上传Int. J. ChemTech Research 5(2) 558–564 (2013)碱预处理文章；目标为好氧预处理会议论文，处理方法及题名不一致</ns0:t>
        </ns0:is>
      </ns0:c>
      <ns0:c r="O286" s="2" t="inlineStr">
        <ns0:is>
          <ns0:t>https://github.com/Colliam-Vermilion/FirstCodex/blob/results/ad-oxygen-literature-20261006/results/ad-oxygen-literature-20261006/original_files/R13949/uncertain/uncertain__61944a1f5f79d220.pdf</ns0:t>
        </ns0:is>
      </ns0:c>
    </ns0:row>
    <ns0:row r="287" ht="48" customHeight="1">
      <ns0:c r="A287" s="3" t="inlineStr">
        <ns0:is>
          <ns0:t>R01238</ns0:t>
        </ns0:is>
      </ns0:c>
      <ns0:c r="B287" s="3" t="inlineStr">
        <ns0:is>
          <ns0:t>Enhancement of Anaerobic Digestion of Cellulosic Fraction in Cassava Production Wastewater by Microaeration</ns0:t>
        </ns0:is>
      </ns0:c>
      <ns0:c r="C287" s="3" t="inlineStr">
        <ns0:is>
          <ns0:t>10.3303/cet1439093</ns0:t>
        </ns0:is>
      </ns0:c>
      <ns0:c r="D287" s="3" t="inlineStr">
        <ns0:is>
          <ns0:t>fulltext</ns0:t>
        </ns0:is>
      </ns0:c>
      <ns0:c r="E287" s="3" t="inlineStr">
        <ns0:is>
          <ns0:t>出版版本（原页出版信息）</ns0:t>
        </ns0:is>
      </ns0:c>
      <ns0:c r="F287" s="3" t="inlineStr">
        <ns0:is>
          <ns0:t>R01238_2014_Enhancement_of_Anaerobic_Digestion_of_Cellulosic_Fraction_in_Cassava.pdf</ns0:t>
        </ns0:is>
      </ns0:c>
      <ns0:c r="G287" s="3" t="inlineStr">
        <ns0:is>
          <ns0:t>original_files/R01238/fulltext/fulltext__published__61aa93be627c8612.pdf</ns0:t>
        </ns0:is>
      </ns0:c>
      <ns0:c r="H287" s="3" t="inlineStr">
        <ns0:is>
          <ns0:t>cloud_existing</ns0:t>
        </ns0:is>
      </ns0:c>
      <ns0:c r="I287" s="3" t="inlineStr">
        <ns0:is>
          <ns0:t>original_files/fulltext/R01238_2014_Enhancement_of_Anaerobic_Digestion_of_Cellulosic_Fraction_in_Cassava.pdf</ns0:t>
        </ns0:is>
      </ns0:c>
      <ns0:c r="J287" s="3" t="n">
        <ns0:v>292583</ns0:v>
      </ns0:c>
      <ns0:c r="K287" s="3" t="inlineStr">
        <ns0:is>
          <ns0:t>61aa93be627c8612528bcb7fb5b9223e98e7ce0f3f8fd7e4e52c8b5a8068aced</ns0:t>
        </ns0:is>
      </ns0:c>
      <ns0:c r="L287" s="3" t="inlineStr">
        <ns0:is>
          <ns0:t>identity_and_body_structure_verified</ns0:t>
        </ns0:is>
      </ns0:c>
      <ns0:c r="M287" s="3" t="inlineStr"/>
      <ns0:c r="N287" s="3" t="inlineStr">
        <ns0:is>
          <ns0:t>首页/前两页题名作者或目标DOI核对，全部页面解析及正文结构检查；不据文件名判全文。</ns0:t>
        </ns0:is>
      </ns0:c>
      <ns0:c r="O287" s="3" t="inlineStr">
        <ns0:is>
          <ns0:t>https://github.com/Colliam-Vermilion/FirstCodex/blob/results/ad-oxygen-literature-20261006/results/ad-oxygen-literature-20261006/original_files/R01238/fulltext/fulltext__published__61aa93be627c8612.pdf</ns0:t>
        </ns0:is>
      </ns0:c>
    </ns0:row>
    <ns0:row r="288" ht="48" customHeight="1">
      <ns0:c r="A288" s="2" t="inlineStr">
        <ns0:is>
          <ns0:t>R06667</ns0:t>
        </ns0:is>
      </ns0:c>
      <ns0:c r="B288" s="2" t="inlineStr">
        <ns0:is>
          <ns0:t>Enhanced methane production and energy potential from rice straw by employing microaerobic pretreatment via anaerobic digestion</ns0:t>
        </ns0:is>
      </ns0:c>
      <ns0:c r="C288" s="2" t="inlineStr">
        <ns0:is>
          <ns0:t>10.1016/j.jclepro.2021.126434</ns0:t>
        </ns0:is>
      </ns0:c>
      <ns0:c r="D288" s="2" t="inlineStr">
        <ns0:is>
          <ns0:t>supplementary</ns0:t>
        </ns0:is>
      </ns0:c>
      <ns0:c r="E288" s="2" t="inlineStr"/>
      <ns0:c r="F288" s="2" t="inlineStr">
        <ns0:is>
          <ns0:t>supplementary.docx</ns0:t>
        </ns0:is>
      </ns0:c>
      <ns0:c r="G288" s="2" t="inlineStr">
        <ns0:is>
          <ns0:t>original_files/R06667/supplementary/supplementary__6245d18f94bd3c50.docx</ns0:t>
        </ns0:is>
      </ns0:c>
      <ns0:c r="H288" s="2" t="inlineStr">
        <ns0:is>
          <ns0:t>local_upload</ns0:t>
        </ns0:is>
      </ns0:c>
      <ns0:c r="I288" s="2" t="inlineStr">
        <ns0:is>
          <ns0:t>localdownload/R06667/supplementary.docx</ns0:t>
        </ns0:is>
      </ns0:c>
      <ns0:c r="J288" s="2" t="n">
        <ns0:v>5049866</ns0:v>
      </ns0:c>
      <ns0:c r="K288" s="2" t="inlineStr">
        <ns0:is>
          <ns0:t>6245d18f94bd3c50facb4bf8102f7a7d31be180ef3176a4d33e643ab160b7c85</ns0:t>
        </ns0:is>
      </ns0:c>
      <ns0:c r="L288" s="2" t="inlineStr">
        <ns0:is>
          <ns0:t>container_crc_verified</ns0:t>
        </ns0:is>
      </ns0:c>
      <ns0:c r="M288" s="2" t="inlineStr">
        <ns0:is>
          <ns0:t>title_in_attachment_verified</ns0:t>
        </ns0:is>
      </ns0:c>
      <ns0:c r="N288" s="2" t="inlineStr"/>
      <ns0:c r="O288" s="2" t="inlineStr">
        <ns0:is>
          <ns0:t>https://github.com/Colliam-Vermilion/FirstCodex/blob/results/ad-oxygen-literature-20261006/results/ad-oxygen-literature-20261006/original_files/R06667/supplementary/supplementary__6245d18f94bd3c50.docx</ns0:t>
        </ns0:is>
      </ns0:c>
    </ns0:row>
    <ns0:row r="289" ht="48" customHeight="1">
      <ns0:c r="A289" s="3" t="inlineStr">
        <ns0:is>
          <ns0:t>R02274</ns0:t>
        </ns0:is>
      </ns0:c>
      <ns0:c r="B289" s="3" t="inlineStr">
        <ns0:is>
          <ns0:t>ANAEROBIC DIGESTION OF WASTEWATER WITH HIGH SULFATE CONCENTRATION USING MICRO-AERATION AND NATURAL ZEOLITES</ns0:t>
        </ns0:is>
      </ns0:c>
      <ns0:c r="C289" s="3" t="inlineStr">
        <ns0:is>
          <ns0:t>10.1590/0104-6632.20160334s20150261</ns0:t>
        </ns0:is>
      </ns0:c>
      <ns0:c r="D289" s="3" t="inlineStr">
        <ns0:is>
          <ns0:t>source_evidence</ns0:t>
        </ns0:is>
      </ns0:c>
      <ns0:c r="E289" s="3" t="inlineStr"/>
      <ns0:c r="F289" s="3" t="inlineStr">
        <ns0:is>
          <ns0:t>publisher_article_page_20261017.html</ns0:t>
        </ns0:is>
      </ns0:c>
      <ns0:c r="G289" s="3" t="inlineStr">
        <ns0:is>
          <ns0:t>original_files/R02274/evidence/source_evidence__635d598c2639050d.html</ns0:t>
        </ns0:is>
      </ns0:c>
      <ns0:c r="H289" s="3" t="inlineStr">
        <ns0:is>
          <ns0:t>cloud_existing</ns0:t>
        </ns0:is>
      </ns0:c>
      <ns0:c r="I289" s="3" t="inlineStr">
        <ns0:is>
          <ns0:t>original_files/source_evidence/R02274/publisher_article_page_20261017.html</ns0:t>
        </ns0:is>
      </ns0:c>
      <ns0:c r="J289" s="3" t="n">
        <ns0:v>196847</ns0:v>
      </ns0:c>
      <ns0:c r="K289" s="3" t="inlineStr">
        <ns0:is>
          <ns0:t>635d598c2639050d4522f3ef58cf92a3779f03833561ca384b83cf19a01a5ead</ns0:t>
        </ns0:is>
      </ns0:c>
      <ns0:c r="L289" s="3" t="inlineStr">
        <ns0:is>
          <ns0:t>text_readable</ns0:t>
        </ns0:is>
      </ns0:c>
      <ns0:c r="M289" s="3" t="inlineStr"/>
      <ns0:c r="N289" s="3" t="inlineStr"/>
      <ns0:c r="O289" s="3" t="inlineStr">
        <ns0:is>
          <ns0:t>https://github.com/Colliam-Vermilion/FirstCodex/blob/results/ad-oxygen-literature-20261006/results/ad-oxygen-literature-20261006/original_files/R02274/evidence/source_evidence__635d598c2639050d.html</ns0:t>
        </ns0:is>
      </ns0:c>
    </ns0:row>
    <ns0:row r="290" ht="48" customHeight="1">
      <ns0:c r="A290" s="2" t="inlineStr">
        <ns0:is>
          <ns0:t>R05173</ns0:t>
        </ns0:is>
      </ns0:c>
      <ns0:c r="B290" s="2" t="inlineStr">
        <ns0:is>
          <ns0:t>Submicron magnetite‐enhanced tribromophenol removal and methanogenesis under microaerobic condition</ns0:t>
        </ns0:is>
      </ns0:c>
      <ns0:c r="C290" s="2" t="inlineStr">
        <ns0:is>
          <ns0:t>10.1002/jctb.5817</ns0:t>
        </ns0:is>
      </ns0:c>
      <ns0:c r="D290" s="2" t="inlineStr">
        <ns0:is>
          <ns0:t>supplementary</ns0:t>
        </ns0:is>
      </ns0:c>
      <ns0:c r="E290" s="2" t="inlineStr"/>
      <ns0:c r="F290" s="2" t="inlineStr">
        <ns0:is>
          <ns0:t>supplementary.docx</ns0:t>
        </ns0:is>
      </ns0:c>
      <ns0:c r="G290" s="2" t="inlineStr">
        <ns0:is>
          <ns0:t>original_files/R05173/supplementary/supplementary__63ce6947f3cf6519.docx</ns0:t>
        </ns0:is>
      </ns0:c>
      <ns0:c r="H290" s="2" t="inlineStr">
        <ns0:is>
          <ns0:t>local_upload</ns0:t>
        </ns0:is>
      </ns0:c>
      <ns0:c r="I290" s="2" t="inlineStr">
        <ns0:is>
          <ns0:t>localdownload/R05173/supplementary.docx</ns0:t>
        </ns0:is>
      </ns0:c>
      <ns0:c r="J290" s="2" t="n">
        <ns0:v>2232477</ns0:v>
      </ns0:c>
      <ns0:c r="K290" s="2" t="inlineStr">
        <ns0:is>
          <ns0:t>63ce6947f3cf65197f9c19d5a0ba14d1e8d45197745c67215e1350d8d6b586e6</ns0:t>
        </ns0:is>
      </ns0:c>
      <ns0:c r="L290" s="2" t="inlineStr">
        <ns0:is>
          <ns0:t>container_crc_verified</ns0:t>
        </ns0:is>
      </ns0:c>
      <ns0:c r="M290" s="2" t="inlineStr">
        <ns0:is>
          <ns0:t>directory_and_content_consistent_identity_pending</ns0:t>
        </ns0:is>
      </ns0:c>
      <ns0:c r="N290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90" s="2" t="inlineStr">
        <ns0:is>
          <ns0:t>https://github.com/Colliam-Vermilion/FirstCodex/blob/results/ad-oxygen-literature-20261006/results/ad-oxygen-literature-20261006/original_files/R05173/supplementary/supplementary__63ce6947f3cf6519.docx</ns0:t>
        </ns0:is>
      </ns0:c>
    </ns0:row>
    <ns0:row r="291" ht="48" customHeight="1">
      <ns0:c r="A291" s="3" t="inlineStr">
        <ns0:is>
          <ns0:t>R06325</ns0:t>
        </ns0:is>
      </ns0:c>
      <ns0:c r="B291" s="3" t="inlineStr">
        <ns0:is>
          <ns0:t>Anaerobic and Microaerobic Pretreatment for Improving Methane Production From Paper Waste in Anaerobic Digestion</ns0:t>
        </ns0:is>
      </ns0:c>
      <ns0:c r="C291" s="3" t="inlineStr">
        <ns0:is>
          <ns0:t>10.3389/fmicb.2021.688290</ns0:t>
        </ns0:is>
      </ns0:c>
      <ns0:c r="D291" s="3" t="inlineStr">
        <ns0:is>
          <ns0:t>source_evidence</ns0:t>
        </ns0:is>
      </ns0:c>
      <ns0:c r="E291" s="3" t="inlineStr"/>
      <ns0:c r="F291" s="3" t="inlineStr">
        <ns0:is>
          <ns0:t>PMC8290346_fullText.xml</ns0:t>
        </ns0:is>
      </ns0:c>
      <ns0:c r="G291" s="3" t="inlineStr">
        <ns0:is>
          <ns0:t>original_files/R06325/evidence/source_evidence__645deb707d3790b5.xml</ns0:t>
        </ns0:is>
      </ns0:c>
      <ns0:c r="H291" s="3" t="inlineStr">
        <ns0:is>
          <ns0:t>cloud_existing</ns0:t>
        </ns0:is>
      </ns0:c>
      <ns0:c r="I291" s="3" t="inlineStr">
        <ns0:is>
          <ns0:t>original_files/source_evidence/R06325/PMC8290346_fullText.xml</ns0:t>
        </ns0:is>
      </ns0:c>
      <ns0:c r="J291" s="3" t="n">
        <ns0:v>160509</ns0:v>
      </ns0:c>
      <ns0:c r="K291" s="3" t="inlineStr">
        <ns0:is>
          <ns0:t>645deb707d3790b518690b7413885823461bb57a3dfa5bb587202d8f16dda296</ns0:t>
        </ns0:is>
      </ns0:c>
      <ns0:c r="L291" s="3" t="inlineStr">
        <ns0:is>
          <ns0:t>text_readable</ns0:t>
        </ns0:is>
      </ns0:c>
      <ns0:c r="M291" s="3" t="inlineStr"/>
      <ns0:c r="N291" s="3" t="inlineStr"/>
      <ns0:c r="O291" s="3" t="inlineStr">
        <ns0:is>
          <ns0:t>https://github.com/Colliam-Vermilion/FirstCodex/blob/results/ad-oxygen-literature-20261006/results/ad-oxygen-literature-20261006/original_files/R06325/evidence/source_evidence__645deb707d3790b5.xml</ns0:t>
        </ns0:is>
      </ns0:c>
    </ns0:row>
    <ns0:row r="292" ht="48" customHeight="1">
      <ns0:c r="A292" s="2" t="inlineStr">
        <ns0:is>
          <ns0:t>R13928</ns0:t>
        </ns0:is>
      </ns0:c>
      <ns0:c r="B292" s="2" t="inlineStr">
        <ns0:is>
          <ns0:t>The impact of aerobic pretreatment of agro and industrial wastes on their biomethanation potential in Nisargruna technology</ns0:t>
        </ns0:is>
      </ns0:c>
      <ns0:c r="C292" s="2" t="inlineStr">
        <ns0:is>
          <ns0:t>10.38150/sajeb.11(5).p548-556</ns0:t>
        </ns0:is>
      </ns0:c>
      <ns0:c r="D292" s="2" t="inlineStr">
        <ns0:is>
          <ns0:t>uncertain</ns0:t>
        </ns0:is>
      </ns0:c>
      <ns0:c r="E292" s="2" t="inlineStr"/>
      <ns0:c r="F292" s="2" t="inlineStr">
        <ns0:is>
          <ns0:t>R13928_2021_The_impact_of_aerobic_pretreatment_of_agro_and_industrial_wastes_on_their_biomethanation_potential_i_647b0753df33.pdf</ns0:t>
        </ns0:is>
      </ns0:c>
      <ns0:c r="G292" s="2" t="inlineStr">
        <ns0:is>
          <ns0:t>original_files/R13928/uncertain/uncertain__647b0753df33daf4.pdf</ns0:t>
        </ns0:is>
      </ns0:c>
      <ns0:c r="H292" s="2" t="inlineStr">
        <ns0:is>
          <ns0:t>cloud_existing</ns0:t>
        </ns0:is>
      </ns0:c>
      <ns0:c r="I292" s="2" t="inlineStr">
        <ns0:is>
          <ns0:t>original_files/continuation_20261017/candidates/R13928_2021_The_impact_of_aerobic_pretreatment_of_agro_and_industrial_wastes_on_their_biomethanation_potential_i_647b0753df33.pdf</ns0:t>
        </ns0:is>
      </ns0:c>
      <ns0:c r="J292" s="2" t="n">
        <ns0:v>865010</ns0:v>
      </ns0:c>
      <ns0:c r="K292" s="2" t="inlineStr">
        <ns0:is>
          <ns0:t>647b0753df33daf4812581240e54c8c9c9cfe7c94e736444120a8a096042998b</ns0:t>
        </ns0:is>
      </ns0:c>
      <ns0:c r="L292" s="2" t="inlineStr">
        <ns0:is>
          <ns0:t>historical_candidate_not_target_fulltext</ns0:t>
        </ns0:is>
      </ns0:c>
      <ns0:c r="M292" s="2" t="inlineStr"/>
      <ns0:c r="N292" s="2" t="inlineStr">
        <ns0:is>
          <ns0:t>历史候选抓取物：出版商目录/广告、期刊索引或检索页等，目标身份及正文不成立；原件保留，不计全文或科研补充材料。</ns0:t>
        </ns0:is>
      </ns0:c>
      <ns0:c r="O292" s="2" t="inlineStr">
        <ns0:is>
          <ns0:t>https://github.com/Colliam-Vermilion/FirstCodex/blob/results/ad-oxygen-literature-20261006/results/ad-oxygen-literature-20261006/original_files/R13928/uncertain/uncertain__647b0753df33daf4.pdf</ns0:t>
        </ns0:is>
      </ns0:c>
    </ns0:row>
    <ns0:row r="293" ht="48" customHeight="1">
      <ns0:c r="A293" s="3" t="inlineStr">
        <ns0:is>
          <ns0:t>R03455</ns0:t>
        </ns0:is>
      </ns0:c>
      <ns0:c r="B293" s="3" t="inlineStr">
        <ns0:is>
          <ns0:t>Performance evaluation of combining microaerobic desulfurization with addition of rusty scrap iron (RSI) during waste-activated sludge digestion</ns0:t>
        </ns0:is>
      </ns0:c>
      <ns0:c r="C293" s="3" t="inlineStr">
        <ns0:is>
          <ns0:t>10.5004/dwt.2017.20976</ns0:t>
        </ns0:is>
      </ns0:c>
      <ns0:c r="D293" s="3" t="inlineStr">
        <ns0:is>
          <ns0:t>fulltext</ns0:t>
        </ns0:is>
      </ns0:c>
      <ns0:c r="E293" s="3" t="inlineStr">
        <ns0:is>
          <ns0:t>出版版本（原页出版信息）</ns0:t>
        </ns0:is>
      </ns0:c>
      <ns0:c r="F293" s="3" t="inlineStr">
        <ns0:is>
          <ns0:t>R03455_2017_Performance_evaluation_of_combining_microaerobic_desulfurization_with_addition_of.pdf</ns0:t>
        </ns0:is>
      </ns0:c>
      <ns0:c r="G293" s="3" t="inlineStr">
        <ns0:is>
          <ns0:t>original_files/R03455/fulltext/fulltext__published__64a8528ddfd93bdf.pdf</ns0:t>
        </ns0:is>
      </ns0:c>
      <ns0:c r="H293" s="3" t="inlineStr">
        <ns0:is>
          <ns0:t>cloud_existing</ns0:t>
        </ns0:is>
      </ns0:c>
      <ns0:c r="I293" s="3" t="inlineStr">
        <ns0:is>
          <ns0:t>original_files/fulltext/R03455_2017_Performance_evaluation_of_combining_microaerobic_desulfurization_with_addition_of.pdf</ns0:t>
        </ns0:is>
      </ns0:c>
      <ns0:c r="J293" s="3" t="n">
        <ns0:v>3509686</ns0:v>
      </ns0:c>
      <ns0:c r="K293" s="3" t="inlineStr">
        <ns0:is>
          <ns0:t>64a8528ddfd93bdf1c052560305416eb52315f9e1c60e1e846a8201168bfe2bd</ns0:t>
        </ns0:is>
      </ns0:c>
      <ns0:c r="L293" s="3" t="inlineStr">
        <ns0:is>
          <ns0:t>identity_and_body_structure_verified</ns0:t>
        </ns0:is>
      </ns0:c>
      <ns0:c r="M293" s="3" t="inlineStr"/>
      <ns0:c r="N293" s="3" t="inlineStr">
        <ns0:is>
          <ns0:t>首页/前两页题名作者或目标DOI核对，全部页面解析及正文结构检查；不据文件名判全文。</ns0:t>
        </ns0:is>
      </ns0:c>
      <ns0:c r="O293" s="3" t="inlineStr">
        <ns0:is>
          <ns0:t>https://github.com/Colliam-Vermilion/FirstCodex/blob/results/ad-oxygen-literature-20261006/results/ad-oxygen-literature-20261006/original_files/R03455/fulltext/fulltext__published__64a8528ddfd93bdf.pdf</ns0:t>
        </ns0:is>
      </ns0:c>
    </ns0:row>
    <ns0:row r="294" ht="48" customHeight="1">
      <ns0:c r="A294" s="2" t="inlineStr">
        <ns0:is>
          <ns0:t>R13816</ns0:t>
        </ns0:is>
      </ns0:c>
      <ns0:c r="B294" s="2" t="inlineStr">
        <ns0:is>
          <ns0:t>Can microaeration and hydraulic retention time steer anaerobic microbiomes toward efficient linear alkylbenzene sulfonate degradation?</ns0:t>
        </ns0:is>
      </ns0:c>
      <ns0:c r="C294" s="2" t="inlineStr">
        <ns0:is>
          <ns0:t>10.1016/j.biortech.2026.135794</ns0:t>
        </ns0:is>
      </ns0:c>
      <ns0:c r="D294" s="2" t="inlineStr">
        <ns0:is>
          <ns0:t>supplementary</ns0:t>
        </ns0:is>
      </ns0:c>
      <ns0:c r="E294" s="2" t="inlineStr"/>
      <ns0:c r="F294" s="2" t="inlineStr">
        <ns0:is>
          <ns0:t>supplementary.docx</ns0:t>
        </ns0:is>
      </ns0:c>
      <ns0:c r="G294" s="2" t="inlineStr">
        <ns0:is>
          <ns0:t>original_files/R13816/supplementary/supplementary__64c389b828148a72.docx</ns0:t>
        </ns0:is>
      </ns0:c>
      <ns0:c r="H294" s="2" t="inlineStr">
        <ns0:is>
          <ns0:t>local_upload</ns0:t>
        </ns0:is>
      </ns0:c>
      <ns0:c r="I294" s="2" t="inlineStr">
        <ns0:is>
          <ns0:t>localdownload/R13816/supplementary.docx</ns0:t>
        </ns0:is>
      </ns0:c>
      <ns0:c r="J294" s="2" t="n">
        <ns0:v>2098770</ns0:v>
      </ns0:c>
      <ns0:c r="K294" s="2" t="inlineStr">
        <ns0:is>
          <ns0:t>64c389b828148a7259301c568565ae5fbff8ffcc0b6c3fb94730876fd9c81f48</ns0:t>
        </ns0:is>
      </ns0:c>
      <ns0:c r="L294" s="2" t="inlineStr">
        <ns0:is>
          <ns0:t>container_crc_verified</ns0:t>
        </ns0:is>
      </ns0:c>
      <ns0:c r="M294" s="2" t="inlineStr">
        <ns0:is>
          <ns0:t>directory_and_content_consistent_identity_pending</ns0:t>
        </ns0:is>
      </ns0:c>
      <ns0:c r="N294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94" s="2" t="inlineStr">
        <ns0:is>
          <ns0:t>https://github.com/Colliam-Vermilion/FirstCodex/blob/results/ad-oxygen-literature-20261006/results/ad-oxygen-literature-20261006/original_files/R13816/supplementary/supplementary__64c389b828148a72.docx</ns0:t>
        </ns0:is>
      </ns0:c>
    </ns0:row>
    <ns0:row r="295" ht="48" customHeight="1">
      <ns0:c r="A295" s="3" t="inlineStr">
        <ns0:is>
          <ns0:t>R13862</ns0:t>
        </ns0:is>
      </ns0:c>
      <ns0:c r="B295" s="3" t="inlineStr">
        <ns0:is>
          <ns0:t>Multiple and flexible roles of facultative anaerobic bacteria in microaerophilic oleate degradation</ns0:t>
        </ns0:is>
      </ns0:c>
      <ns0:c r="C295" s="3" t="inlineStr">
        <ns0:is>
          <ns0:t>10.1111/1462-2920.15124</ns0:t>
        </ns0:is>
      </ns0:c>
      <ns0:c r="D295" s="3" t="inlineStr">
        <ns0:is>
          <ns0:t>fulltext</ns0:t>
        </ns0:is>
      </ns0:c>
      <ns0:c r="E295" s="3" t="inlineStr">
        <ns0:is>
          <ns0:t>出版版本（原页出版信息）</ns0:t>
        </ns0:is>
      </ns0:c>
      <ns0:c r="F295" s="3" t="inlineStr">
        <ns0:is>
          <ns0:t>R13862_2020_Multiple_and_flexible_roles_of_facultative_anaerobic_bacteria_in.pdf</ns0:t>
        </ns0:is>
      </ns0:c>
      <ns0:c r="G295" s="3" t="inlineStr">
        <ns0:is>
          <ns0:t>original_files/R13862/fulltext/fulltext__published__64e03a9beb5813a0.pdf</ns0:t>
        </ns0:is>
      </ns0:c>
      <ns0:c r="H295" s="3" t="inlineStr">
        <ns0:is>
          <ns0:t>cloud_existing</ns0:t>
        </ns0:is>
      </ns0:c>
      <ns0:c r="I295" s="3" t="inlineStr">
        <ns0:is>
          <ns0:t>original_files/fulltext/R13862_2020_Multiple_and_flexible_roles_of_facultative_anaerobic_bacteria_in.pdf</ns0:t>
        </ns0:is>
      </ns0:c>
      <ns0:c r="J295" s="3" t="n">
        <ns0:v>833659</ns0:v>
      </ns0:c>
      <ns0:c r="K295" s="3" t="inlineStr">
        <ns0:is>
          <ns0:t>64e03a9beb5813a0ce6d94272350217f12dac94293420969e3d2d9d7975e96e3</ns0:t>
        </ns0:is>
      </ns0:c>
      <ns0:c r="L295" s="3" t="inlineStr">
        <ns0:is>
          <ns0:t>identity_and_body_structure_verified</ns0:t>
        </ns0:is>
      </ns0:c>
      <ns0:c r="M295" s="3" t="inlineStr"/>
      <ns0:c r="N295" s="3" t="inlineStr">
        <ns0:is>
          <ns0:t>首页/前两页题名作者或目标DOI核对，全部页面解析及正文结构检查；不据文件名判全文。</ns0:t>
        </ns0:is>
      </ns0:c>
      <ns0:c r="O295" s="3" t="inlineStr">
        <ns0:is>
          <ns0:t>https://github.com/Colliam-Vermilion/FirstCodex/blob/results/ad-oxygen-literature-20261006/results/ad-oxygen-literature-20261006/original_files/R13862/fulltext/fulltext__published__64e03a9beb5813a0.pdf</ns0:t>
        </ns0:is>
      </ns0:c>
    </ns0:row>
    <ns0:row r="296" ht="48" customHeight="1">
      <ns0:c r="A296" s="2" t="inlineStr">
        <ns0:is>
          <ns0:t>R13853</ns0:t>
        </ns0:is>
      </ns0:c>
      <ns0:c r="B296" s="2" t="inlineStr">
        <ns0:is>
          <ns0:t>Aeration in sludge holding tanks as an economical means for biosolids odor control—A case study</ns0:t>
        </ns0:is>
      </ns0:c>
      <ns0:c r="C296" s="2" t="inlineStr">
        <ns0:is>
          <ns0:t>10.1002/wer.1582</ns0:t>
        </ns0:is>
      </ns0:c>
      <ns0:c r="D296" s="2" t="inlineStr">
        <ns0:is>
          <ns0:t>supplementary</ns0:t>
        </ns0:is>
      </ns0:c>
      <ns0:c r="E296" s="2" t="inlineStr"/>
      <ns0:c r="F296" s="2" t="inlineStr">
        <ns0:is>
          <ns0:t>supplementary.docx</ns0:t>
        </ns0:is>
      </ns0:c>
      <ns0:c r="G296" s="2" t="inlineStr">
        <ns0:is>
          <ns0:t>original_files/R13853/supplementary/supplementary__661eb9e6573d7eae.docx</ns0:t>
        </ns0:is>
      </ns0:c>
      <ns0:c r="H296" s="2" t="inlineStr">
        <ns0:is>
          <ns0:t>local_upload</ns0:t>
        </ns0:is>
      </ns0:c>
      <ns0:c r="I296" s="2" t="inlineStr">
        <ns0:is>
          <ns0:t>localdownload/R13853/supplementary.docx</ns0:t>
        </ns0:is>
      </ns0:c>
      <ns0:c r="J296" s="2" t="n">
        <ns0:v>681411</ns0:v>
      </ns0:c>
      <ns0:c r="K296" s="2" t="inlineStr">
        <ns0:is>
          <ns0:t>661eb9e6573d7eae3b3fd7b50d066135dac3863c9ce38873abb8e2832ecb675b</ns0:t>
        </ns0:is>
      </ns0:c>
      <ns0:c r="L296" s="2" t="inlineStr">
        <ns0:is>
          <ns0:t>container_crc_verified</ns0:t>
        </ns0:is>
      </ns0:c>
      <ns0:c r="M296" s="2" t="inlineStr">
        <ns0:is>
          <ns0:t>title_in_attachment_verified</ns0:t>
        </ns0:is>
      </ns0:c>
      <ns0:c r="N296" s="2" t="inlineStr"/>
      <ns0:c r="O296" s="2" t="inlineStr">
        <ns0:is>
          <ns0:t>https://github.com/Colliam-Vermilion/FirstCodex/blob/results/ad-oxygen-literature-20261006/results/ad-oxygen-literature-20261006/original_files/R13853/supplementary/supplementary__661eb9e6573d7eae.docx</ns0:t>
        </ns0:is>
      </ns0:c>
    </ns0:row>
    <ns0:row r="297" ht="48" customHeight="1">
      <ns0:c r="A297" s="3" t="inlineStr">
        <ns0:is>
          <ns0:t>R08456</ns0:t>
        </ns0:is>
      </ns0:c>
      <ns0:c r="B297" s="3" t="inlineStr">
        <ns0:is>
          <ns0:t>Understanding the mechanisms behind micro-aeration to enhance anaerobic digestion of corn straw</ns0:t>
        </ns0:is>
      </ns0:c>
      <ns0:c r="C297" s="3" t="inlineStr">
        <ns0:is>
          <ns0:t>10.1016/j.fuel.2022.123604</ns0:t>
        </ns0:is>
      </ns0:c>
      <ns0:c r="D297" s="3" t="inlineStr">
        <ns0:is>
          <ns0:t>fulltext</ns0:t>
        </ns0:is>
      </ns0:c>
      <ns0:c r="E297" s="3" t="inlineStr">
        <ns0:is>
          <ns0:t>出版版（版式及版权文字）</ns0:t>
        </ns0:is>
      </ns0:c>
      <ns0:c r="F297" s="3" t="inlineStr">
        <ns0:is>
          <ns0:t>fulltext.pdf</ns0:t>
        </ns0:is>
      </ns0:c>
      <ns0:c r="G297" s="3" t="inlineStr">
        <ns0:is>
          <ns0:t>original_files/R08456/fulltext/fulltext__published__66cfb1c0f06eb3d6.pdf</ns0:t>
        </ns0:is>
      </ns0:c>
      <ns0:c r="H297" s="3" t="inlineStr">
        <ns0:is>
          <ns0:t>local_upload</ns0:t>
        </ns0:is>
      </ns0:c>
      <ns0:c r="I297" s="3" t="inlineStr">
        <ns0:is>
          <ns0:t>localdownload/R08456/fulltext.pdf</ns0:t>
        </ns0:is>
      </ns0:c>
      <ns0:c r="J297" s="3" t="n">
        <ns0:v>3457383</ns0:v>
      </ns0:c>
      <ns0:c r="K297" s="3" t="inlineStr">
        <ns0:is>
          <ns0:t>66cfb1c0f06eb3d6ea590df4b6f1bd2f704c850c73f84e247f34e770bb3d6f65</ns0:t>
        </ns0:is>
      </ns0:c>
      <ns0:c r="L297" s="3" t="inlineStr">
        <ns0:is>
          <ns0:t>identity_and_body_structure_verified</ns0:t>
        </ns0:is>
      </ns0:c>
      <ns0:c r="M297" s="3" t="inlineStr"/>
      <ns0:c r="N297" s="3" t="inlineStr">
        <ns0:is>
          <ns0:t>首页/前两页题名作者或目标DOI核对，全部页面解析及正文结构检查；不据文件名判全文。</ns0:t>
        </ns0:is>
      </ns0:c>
      <ns0:c r="O297" s="3" t="inlineStr">
        <ns0:is>
          <ns0:t>https://github.com/Colliam-Vermilion/FirstCodex/blob/results/ad-oxygen-literature-20261006/results/ad-oxygen-literature-20261006/original_files/R08456/fulltext/fulltext__published__66cfb1c0f06eb3d6.pdf</ns0:t>
        </ns0:is>
      </ns0:c>
    </ns0:row>
    <ns0:row r="298" ht="48" customHeight="1">
      <ns0:c r="A298" s="2" t="inlineStr">
        <ns0:is>
          <ns0:t>R13939</ns0:t>
        </ns0:is>
      </ns0:c>
      <ns0:c r="B298" s="2" t="inlineStr">
        <ns0:is>
          <ns0:t>Efficient Treatment and Simultaneous Energy Recovery from Cattle Wastewater by the Micro-Aerated UASB and SBR Coupled System</ns0:t>
        </ns0:is>
      </ns0:c>
      <ns0:c r="C298" s="2" t="inlineStr">
        <ns0:is>
          <ns0:t>10.1021/acsestwater.3c00241</ns0:t>
        </ns0:is>
      </ns0:c>
      <ns0:c r="D298" s="2" t="inlineStr">
        <ns0:is>
          <ns0:t>supplementary</ns0:t>
        </ns0:is>
      </ns0:c>
      <ns0:c r="E298" s="2" t="inlineStr"/>
      <ns0:c r="F298" s="2" t="inlineStr">
        <ns0:is>
          <ns0:t>supplementary.pdf</ns0:t>
        </ns0:is>
      </ns0:c>
      <ns0:c r="G298" s="2" t="inlineStr">
        <ns0:is>
          <ns0:t>original_files/R13939/supplementary/supplementary__66e9851e6c1740f0.pdf</ns0:t>
        </ns0:is>
      </ns0:c>
      <ns0:c r="H298" s="2" t="inlineStr">
        <ns0:is>
          <ns0:t>local_upload</ns0:t>
        </ns0:is>
      </ns0:c>
      <ns0:c r="I298" s="2" t="inlineStr">
        <ns0:is>
          <ns0:t>localdownload/R13939/supplementary.pdf</ns0:t>
        </ns0:is>
      </ns0:c>
      <ns0:c r="J298" s="2" t="n">
        <ns0:v>132964</ns0:v>
      </ns0:c>
      <ns0:c r="K298" s="2" t="inlineStr">
        <ns0:is>
          <ns0:t>66e9851e6c1740f0bfb9b3a07e7f8faa62ec83ee5d838ee8dae83c539d4989af</ns0:t>
        </ns0:is>
      </ns0:c>
      <ns0:c r="L298" s="2" t="inlineStr">
        <ns0:is>
          <ns0:t>pdf_readable_requires_role_review</ns0:t>
        </ns0:is>
      </ns0:c>
      <ns0:c r="M298" s="2" t="inlineStr">
        <ns0:is>
          <ns0:t>directory_and_content_consistent_identity_pending</ns0:t>
        </ns0:is>
      </ns0:c>
      <ns0:c r="N298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298" s="2" t="inlineStr">
        <ns0:is>
          <ns0:t>https://github.com/Colliam-Vermilion/FirstCodex/blob/results/ad-oxygen-literature-20261006/results/ad-oxygen-literature-20261006/original_files/R13939/supplementary/supplementary__66e9851e6c1740f0.pdf</ns0:t>
        </ns0:is>
      </ns0:c>
    </ns0:row>
    <ns0:row r="299" ht="48" customHeight="1">
      <ns0:c r="A299" s="3" t="inlineStr">
        <ns0:is>
          <ns0:t>R13945</ns0:t>
        </ns0:is>
      </ns0:c>
      <ns0:c r="B299" s="3" t="inlineStr">
        <ns0:is>
          <ns0:t>Effect of Low Aeration and Heat Drying on Anaerobic Digester Performance and Microbial Community</ns0:t>
        </ns0:is>
      </ns0:c>
      <ns0:c r="C299" s="3" t="inlineStr"/>
      <ns0:c r="D299" s="3" t="inlineStr">
        <ns0:is>
          <ns0:t>fulltext</ns0:t>
        </ns0:is>
      </ns0:c>
      <ns0:c r="E299" s="3" t="inlineStr">
        <ns0:is>
          <ns0:t>学位/学生报告原稿（分章节者按组）</ns0:t>
        </ns0:is>
      </ns0:c>
      <ns0:c r="F299" s="3" t="inlineStr">
        <ns0:is>
          <ns0:t>R13945_2018_Effect_of_Low_Aeration_and_Heat_Drying_on_Anaerobic.pdf</ns0:t>
        </ns0:is>
      </ns0:c>
      <ns0:c r="G299" s="3" t="inlineStr">
        <ns0:is>
          <ns0:t>original_files/R13945/fulltext/fulltext__thesis__67309ea094d2f9bb.pdf</ns0:t>
        </ns0:is>
      </ns0:c>
      <ns0:c r="H299" s="3" t="inlineStr">
        <ns0:is>
          <ns0:t>cloud_existing</ns0:t>
        </ns0:is>
      </ns0:c>
      <ns0:c r="I299" s="3" t="inlineStr">
        <ns0:is>
          <ns0:t>original_files/fulltext/R13945_2018_Effect_of_Low_Aeration_and_Heat_Drying_on_Anaerobic.pdf</ns0:t>
        </ns0:is>
      </ns0:c>
      <ns0:c r="J299" s="3" t="n">
        <ns0:v>2230958</ns0:v>
      </ns0:c>
      <ns0:c r="K299" s="3" t="inlineStr">
        <ns0:is>
          <ns0:t>67309ea094d2f9bb088d605746ede869866819a733f53c44dc2d44af934e6be9</ns0:t>
        </ns0:is>
      </ns0:c>
      <ns0:c r="L299" s="3" t="inlineStr">
        <ns0:is>
          <ns0:t>identity_and_body_structure_verified</ns0:t>
        </ns0:is>
      </ns0:c>
      <ns0:c r="M299" s="3" t="inlineStr"/>
      <ns0:c r="N299" s="3" t="inlineStr">
        <ns0:is>
          <ns0:t>首页/前两页题名作者或目标DOI核对，全部页面解析及正文结构检查；不据文件名判全文。</ns0:t>
        </ns0:is>
      </ns0:c>
      <ns0:c r="O299" s="3" t="inlineStr">
        <ns0:is>
          <ns0:t>https://github.com/Colliam-Vermilion/FirstCodex/blob/results/ad-oxygen-literature-20261006/results/ad-oxygen-literature-20261006/original_files/R13945/fulltext/fulltext__thesis__67309ea094d2f9bb.pdf</ns0:t>
        </ns0:is>
      </ns0:c>
    </ns0:row>
    <ns0:row r="300" ht="48" customHeight="1">
      <ns0:c r="A300" s="2" t="inlineStr">
        <ns0:is>
          <ns0:t>R06897</ns0:t>
        </ns0:is>
      </ns0:c>
      <ns0:c r="B300" s="2" t="inlineStr">
        <ns0:is>
          <ns0:t>Microaerobic conditions in anaerobic sludge promote changes in bacterial composition favouring biodegradation of polymeric siloxanes</ns0:t>
        </ns0:is>
      </ns0:c>
      <ns0:c r="C300" s="2" t="inlineStr">
        <ns0:is>
          <ns0:t>10.1039/d1em00143d</ns0:t>
        </ns0:is>
      </ns0:c>
      <ns0:c r="D300" s="2" t="inlineStr">
        <ns0:is>
          <ns0:t>fulltext</ns0:t>
        </ns0:is>
      </ns0:c>
      <ns0:c r="E300" s="2" t="inlineStr">
        <ns0:is>
          <ns0:t>出版版（版式及版权文字）</ns0:t>
        </ns0:is>
      </ns0:c>
      <ns0:c r="F300" s="2" t="inlineStr">
        <ns0:is>
          <ns0:t>fulltext.pdf</ns0:t>
        </ns0:is>
      </ns0:c>
      <ns0:c r="G300" s="2" t="inlineStr">
        <ns0:is>
          <ns0:t>original_files/R06897/fulltext/fulltext__published__676de58881645f6f.pdf</ns0:t>
        </ns0:is>
      </ns0:c>
      <ns0:c r="H300" s="2" t="inlineStr">
        <ns0:is>
          <ns0:t>local_upload</ns0:t>
        </ns0:is>
      </ns0:c>
      <ns0:c r="I300" s="2" t="inlineStr">
        <ns0:is>
          <ns0:t>localdownload/R06897/fulltext.pdf</ns0:t>
        </ns0:is>
      </ns0:c>
      <ns0:c r="J300" s="2" t="n">
        <ns0:v>968430</ns0:v>
      </ns0:c>
      <ns0:c r="K300" s="2" t="inlineStr">
        <ns0:is>
          <ns0:t>676de58881645f6f5d29193925ae9b89d9b9fbcfde669defbed25d10cca145b0</ns0:t>
        </ns0:is>
      </ns0:c>
      <ns0:c r="L300" s="2" t="inlineStr">
        <ns0:is>
          <ns0:t>identity_and_body_structure_verified</ns0:t>
        </ns0:is>
      </ns0:c>
      <ns0:c r="M300" s="2" t="inlineStr"/>
      <ns0:c r="N300" s="2" t="inlineStr">
        <ns0:is>
          <ns0:t>首页/前两页题名作者或目标DOI核对，全部页面解析及正文结构检查；不据文件名判全文。</ns0:t>
        </ns0:is>
      </ns0:c>
      <ns0:c r="O300" s="2" t="inlineStr">
        <ns0:is>
          <ns0:t>https://github.com/Colliam-Vermilion/FirstCodex/blob/results/ad-oxygen-literature-20261006/results/ad-oxygen-literature-20261006/original_files/R06897/fulltext/fulltext__published__676de58881645f6f.pdf</ns0:t>
        </ns0:is>
      </ns0:c>
    </ns0:row>
    <ns0:row r="301" ht="48" customHeight="1">
      <ns0:c r="A301" s="3" t="inlineStr">
        <ns0:is>
          <ns0:t>R00313</ns0:t>
        </ns0:is>
      </ns0:c>
      <ns0:c r="B301" s="3" t="inlineStr">
        <ns0:is>
          <ns0:t>Molecular analysis of the biomass of a fluidized bed reactor treating synthetic vinasse at anaerobic and micro-aerobic conditions</ns0:t>
        </ns0:is>
      </ns0:c>
      <ns0:c r="C301" s="3" t="inlineStr">
        <ns0:is>
          <ns0:t>10.1007/s00253-011-3529-3</ns0:t>
        </ns0:is>
      </ns0:c>
      <ns0:c r="D301" s="3" t="inlineStr">
        <ns0:is>
          <ns0:t>fulltext</ns0:t>
        </ns0:is>
      </ns0:c>
      <ns0:c r="E301" s="3" t="inlineStr">
        <ns0:is>
          <ns0:t>出版版（版式及版权文字）</ns0:t>
        </ns0:is>
      </ns0:c>
      <ns0:c r="F301" s="3" t="inlineStr">
        <ns0:is>
          <ns0:t>fulltext.pdf</ns0:t>
        </ns0:is>
      </ns0:c>
      <ns0:c r="G301" s="3" t="inlineStr">
        <ns0:is>
          <ns0:t>original_files/R00313/fulltext/fulltext__published__67968c41f5ab39d0.pdf</ns0:t>
        </ns0:is>
      </ns0:c>
      <ns0:c r="H301" s="3" t="inlineStr">
        <ns0:is>
          <ns0:t>local_upload</ns0:t>
        </ns0:is>
      </ns0:c>
      <ns0:c r="I301" s="3" t="inlineStr">
        <ns0:is>
          <ns0:t>localdownload/R00313/fulltext.pdf</ns0:t>
        </ns0:is>
      </ns0:c>
      <ns0:c r="J301" s="3" t="n">
        <ns0:v>417272</ns0:v>
      </ns0:c>
      <ns0:c r="K301" s="3" t="inlineStr">
        <ns0:is>
          <ns0:t>67968c41f5ab39d0444cc5d7f20dc0f2ded5c7197cc88663ef966634425cacc4</ns0:t>
        </ns0:is>
      </ns0:c>
      <ns0:c r="L301" s="3" t="inlineStr">
        <ns0:is>
          <ns0:t>identity_and_body_structure_verified</ns0:t>
        </ns0:is>
      </ns0:c>
      <ns0:c r="M301" s="3" t="inlineStr"/>
      <ns0:c r="N301" s="3" t="inlineStr">
        <ns0:is>
          <ns0:t>首页/前两页题名作者或目标DOI核对，全部页面解析及正文结构检查；不据文件名判全文。</ns0:t>
        </ns0:is>
      </ns0:c>
      <ns0:c r="O301" s="3" t="inlineStr">
        <ns0:is>
          <ns0:t>https://github.com/Colliam-Vermilion/FirstCodex/blob/results/ad-oxygen-literature-20261006/results/ad-oxygen-literature-20261006/original_files/R00313/fulltext/fulltext__published__67968c41f5ab39d0.pdf</ns0:t>
        </ns0:is>
      </ns0:c>
    </ns0:row>
    <ns0:row r="302" ht="48" customHeight="1">
      <ns0:c r="A302" s="2" t="inlineStr">
        <ns0:is>
          <ns0:t>R04796</ns0:t>
        </ns0:is>
      </ns0:c>
      <ns0:c r="B302" s="2" t="inlineStr">
        <ns0:is>
          <ns0:t>Evaluation of Hydrogen Sulfide Scrubbing Systems for Anaerobic Digesters on Two U.S. Dairy Farms</ns0:t>
        </ns0:is>
      </ns0:c>
      <ns0:c r="C302" s="2" t="inlineStr">
        <ns0:is>
          <ns0:t>10.3390/en12244605</ns0:t>
        </ns0:is>
      </ns0:c>
      <ns0:c r="D302" s="2" t="inlineStr">
        <ns0:is>
          <ns0:t>fulltext</ns0:t>
        </ns0:is>
      </ns0:c>
      <ns0:c r="E302" s="2" t="inlineStr">
        <ns0:is>
          <ns0:t>出版版本（原页出版信息）</ns0:t>
        </ns0:is>
      </ns0:c>
      <ns0:c r="F302" s="2" t="inlineStr">
        <ns0:is>
          <ns0:t>R04796_2019_Evaluation_of_Hydrogen_Sulfide_Scrubbing_Systems_for_Anaerobic_Digesters.pdf</ns0:t>
        </ns0:is>
      </ns0:c>
      <ns0:c r="G302" s="2" t="inlineStr">
        <ns0:is>
          <ns0:t>original_files/R04796/fulltext/fulltext__published__6844f12fe56c174d.pdf</ns0:t>
        </ns0:is>
      </ns0:c>
      <ns0:c r="H302" s="2" t="inlineStr">
        <ns0:is>
          <ns0:t>cloud_existing</ns0:t>
        </ns0:is>
      </ns0:c>
      <ns0:c r="I302" s="2" t="inlineStr">
        <ns0:is>
          <ns0:t>original_files/fulltext/R04796_2019_Evaluation_of_Hydrogen_Sulfide_Scrubbing_Systems_for_Anaerobic_Digesters.pdf</ns0:t>
        </ns0:is>
      </ns0:c>
      <ns0:c r="J302" s="2" t="n">
        <ns0:v>2549419</ns0:v>
      </ns0:c>
      <ns0:c r="K302" s="2" t="inlineStr">
        <ns0:is>
          <ns0:t>6844f12fe56c174d2250e0a88bba570a3c94fd37dec91d66d805c2cec1c2c013</ns0:t>
        </ns0:is>
      </ns0:c>
      <ns0:c r="L302" s="2" t="inlineStr">
        <ns0:is>
          <ns0:t>identity_and_body_structure_verified</ns0:t>
        </ns0:is>
      </ns0:c>
      <ns0:c r="M302" s="2" t="inlineStr"/>
      <ns0:c r="N302" s="2" t="inlineStr">
        <ns0:is>
          <ns0:t>首页/前两页题名作者或目标DOI核对，全部页面解析及正文结构检查；不据文件名判全文。</ns0:t>
        </ns0:is>
      </ns0:c>
      <ns0:c r="O302" s="2" t="inlineStr">
        <ns0:is>
          <ns0:t>https://github.com/Colliam-Vermilion/FirstCodex/blob/results/ad-oxygen-literature-20261006/results/ad-oxygen-literature-20261006/original_files/R04796/fulltext/fulltext__published__6844f12fe56c174d.pdf</ns0:t>
        </ns0:is>
      </ns0:c>
    </ns0:row>
    <ns0:row r="303" ht="48" customHeight="1">
      <ns0:c r="A303" s="3" t="inlineStr">
        <ns0:is>
          <ns0:t>R12401</ns0:t>
        </ns0:is>
      </ns0:c>
      <ns0:c r="B303" s="3" t="inlineStr">
        <ns0:is>
          <ns0:t>Treatment options of nitrogen heterocyclic compounds in industrial wastewater: From fundamental technologies to energy valorization applications and future process design strategies</ns0:t>
        </ns0:is>
      </ns0:c>
      <ns0:c r="C303" s="3" t="inlineStr">
        <ns0:is>
          <ns0:t>10.1016/j.watres.2025.123575</ns0:t>
        </ns0:is>
      </ns0:c>
      <ns0:c r="D303" s="3" t="inlineStr">
        <ns0:is>
          <ns0:t>supplementary</ns0:t>
        </ns0:is>
      </ns0:c>
      <ns0:c r="E303" s="3" t="inlineStr"/>
      <ns0:c r="F303" s="3" t="inlineStr">
        <ns0:is>
          <ns0:t>supplementary.docx</ns0:t>
        </ns0:is>
      </ns0:c>
      <ns0:c r="G303" s="3" t="inlineStr">
        <ns0:is>
          <ns0:t>original_files/R12401/supplementary/supplementary__68dd2928e792d0cd.docx</ns0:t>
        </ns0:is>
      </ns0:c>
      <ns0:c r="H303" s="3" t="inlineStr">
        <ns0:is>
          <ns0:t>local_upload</ns0:t>
        </ns0:is>
      </ns0:c>
      <ns0:c r="I303" s="3" t="inlineStr">
        <ns0:is>
          <ns0:t>localdownload/R12401/supplementary.docx</ns0:t>
        </ns0:is>
      </ns0:c>
      <ns0:c r="J303" s="3" t="n">
        <ns0:v>83189</ns0:v>
      </ns0:c>
      <ns0:c r="K303" s="3" t="inlineStr">
        <ns0:is>
          <ns0:t>68dd2928e792d0cd0a6959091cc76f20229cf55c15a46f841f44d140766e1579</ns0:t>
        </ns0:is>
      </ns0:c>
      <ns0:c r="L303" s="3" t="inlineStr">
        <ns0:is>
          <ns0:t>container_crc_verified</ns0:t>
        </ns0:is>
      </ns0:c>
      <ns0:c r="M303" s="3" t="inlineStr">
        <ns0:is>
          <ns0:t>title_in_attachment_verified</ns0:t>
        </ns0:is>
      </ns0:c>
      <ns0:c r="N303" s="3" t="inlineStr"/>
      <ns0:c r="O303" s="3" t="inlineStr">
        <ns0:is>
          <ns0:t>https://github.com/Colliam-Vermilion/FirstCodex/blob/results/ad-oxygen-literature-20261006/results/ad-oxygen-literature-20261006/original_files/R12401/supplementary/supplementary__68dd2928e792d0cd.docx</ns0:t>
        </ns0:is>
      </ns0:c>
    </ns0:row>
    <ns0:row r="304" ht="48" customHeight="1">
      <ns0:c r="A304" s="2" t="inlineStr">
        <ns0:is>
          <ns0:t>R13964</ns0:t>
        </ns0:is>
      </ns0:c>
      <ns0:c r="B304" s="2" t="inlineStr">
        <ns0:is>
          <ns0:t>Hydrogen sulphide management in anaerobic digestion: A critical review on input control, process regulation, and post-treatment</ns0:t>
        </ns0:is>
      </ns0:c>
      <ns0:c r="C304" s="2" t="inlineStr">
        <ns0:is>
          <ns0:t>10.1016/j.biortech.2021.126634</ns0:t>
        </ns0:is>
      </ns0:c>
      <ns0:c r="D304" s="2" t="inlineStr">
        <ns0:is>
          <ns0:t>fulltext</ns0:t>
        </ns0:is>
      </ns0:c>
      <ns0:c r="E304" s="2" t="inlineStr">
        <ns0:is>
          <ns0:t>出版版（版式及版权文字）</ns0:t>
        </ns0:is>
      </ns0:c>
      <ns0:c r="F304" s="2" t="inlineStr">
        <ns0:is>
          <ns0:t>fulltext.pdf</ns0:t>
        </ns0:is>
      </ns0:c>
      <ns0:c r="G304" s="2" t="inlineStr">
        <ns0:is>
          <ns0:t>original_files/R13964/fulltext/fulltext__published__68e01e692e7a2544.pdf</ns0:t>
        </ns0:is>
      </ns0:c>
      <ns0:c r="H304" s="2" t="inlineStr">
        <ns0:is>
          <ns0:t>local_upload</ns0:t>
        </ns0:is>
      </ns0:c>
      <ns0:c r="I304" s="2" t="inlineStr">
        <ns0:is>
          <ns0:t>localdownload/R13964/fulltext.pdf</ns0:t>
        </ns0:is>
      </ns0:c>
      <ns0:c r="J304" s="2" t="n">
        <ns0:v>2590381</ns0:v>
      </ns0:c>
      <ns0:c r="K304" s="2" t="inlineStr">
        <ns0:is>
          <ns0:t>68e01e692e7a2544a5a2c9567e60c0df92229838dd69f0c565a40613baba1035</ns0:t>
        </ns0:is>
      </ns0:c>
      <ns0:c r="L304" s="2" t="inlineStr">
        <ns0:is>
          <ns0:t>identity_and_body_structure_verified</ns0:t>
        </ns0:is>
      </ns0:c>
      <ns0:c r="M304" s="2" t="inlineStr"/>
      <ns0:c r="N304" s="2" t="inlineStr">
        <ns0:is>
          <ns0:t>首页/前两页题名作者或目标DOI核对，全部页面解析及正文结构检查；不据文件名判全文。</ns0:t>
        </ns0:is>
      </ns0:c>
      <ns0:c r="O304" s="2" t="inlineStr">
        <ns0:is>
          <ns0:t>https://github.com/Colliam-Vermilion/FirstCodex/blob/results/ad-oxygen-literature-20261006/results/ad-oxygen-literature-20261006/original_files/R13964/fulltext/fulltext__published__68e01e692e7a2544.pdf</ns0:t>
        </ns0:is>
      </ns0:c>
    </ns0:row>
    <ns0:row r="305" ht="48" customHeight="1">
      <ns0:c r="A305" s="3" t="inlineStr">
        <ns0:is>
          <ns0:t>R02578</ns0:t>
        </ns0:is>
      </ns0:c>
      <ns0:c r="B305" s="3" t="inlineStr">
        <ns0:is>
          <ns0:t>Impacts of microaeration on the anaerobic digestion of corn straw and the microbial community structure</ns0:t>
        </ns0:is>
      </ns0:c>
      <ns0:c r="C305" s="3" t="inlineStr">
        <ns0:is>
          <ns0:t>10.1016/j.cej.2015.11.070</ns0:t>
        </ns0:is>
      </ns0:c>
      <ns0:c r="D305" s="3" t="inlineStr">
        <ns0:is>
          <ns0:t>fulltext</ns0:t>
        </ns0:is>
      </ns0:c>
      <ns0:c r="E305" s="3" t="inlineStr">
        <ns0:is>
          <ns0:t>出版版（版式及版权文字）</ns0:t>
        </ns0:is>
      </ns0:c>
      <ns0:c r="F305" s="3" t="inlineStr">
        <ns0:is>
          <ns0:t>fulltext.pdf</ns0:t>
        </ns0:is>
      </ns0:c>
      <ns0:c r="G305" s="3" t="inlineStr">
        <ns0:is>
          <ns0:t>original_files/R02578/fulltext/fulltext__published__6966d35ad0d267fc.pdf</ns0:t>
        </ns0:is>
      </ns0:c>
      <ns0:c r="H305" t="inlineStr">
        <ns0:is>
          <ns0:t>local_upload; main@ab8353c误传副本</ns0:t>
        </ns0:is>
      </ns0:c>
      <ns0:c r="I305" t="inlineStr">
        <ns0:is>
          <ns0:t>localdownload/R02578/fulltext.pdf; main@ab8353c:R02578/fulltext.pdf</ns0:t>
        </ns0:is>
      </ns0:c>
      <ns0:c r="J305" s="3" t="n">
        <ns0:v>1054162</ns0:v>
      </ns0:c>
      <ns0:c r="K305" s="3" t="inlineStr">
        <ns0:is>
          <ns0:t>6966d35ad0d267fcce96c7957b89e3c92faa8874435872995bfb40f6d8ca3c29</ns0:t>
        </ns0:is>
      </ns0:c>
      <ns0:c r="L305" s="3" t="inlineStr">
        <ns0:is>
          <ns0:t>identity_and_body_structure_verified</ns0:t>
        </ns0:is>
      </ns0:c>
      <ns0:c r="M305" s="3" t="inlineStr"/>
      <ns0:c r="N305" s="3" t="inlineStr">
        <ns0:is>
          <ns0:t>首页/前两页题名作者或目标DOI核对，全部页面解析及正文结构检查；不据文件名判全文。</ns0:t>
        </ns0:is>
      </ns0:c>
      <ns0:c r="O305" s="3" t="inlineStr">
        <ns0:is>
          <ns0:t>https://github.com/Colliam-Vermilion/FirstCodex/blob/results/ad-oxygen-literature-20261006/results/ad-oxygen-literature-20261006/original_files/R02578/fulltext/fulltext__published__6966d35ad0d267fc.pdf</ns0:t>
        </ns0:is>
      </ns0:c>
    </ns0:row>
    <ns0:row r="306" ht="48" customHeight="1">
      <ns0:c r="A306" s="2" t="inlineStr">
        <ns0:is>
          <ns0:t>R13864</ns0:t>
        </ns0:is>
      </ns0:c>
      <ns0:c r="B306" s="2" t="inlineStr">
        <ns0:is>
          <ns0:t>Microaeration promotes volatile siloxanes conversion to methane and simpler monomeric products</ns0:t>
        </ns0:is>
      </ns0:c>
      <ns0:c r="C306" s="2" t="inlineStr">
        <ns0:is>
          <ns0:t>10.1016/j.biortech.2024.130673</ns0:t>
        </ns0:is>
      </ns0:c>
      <ns0:c r="D306" s="2" t="inlineStr">
        <ns0:is>
          <ns0:t>supplementary</ns0:t>
        </ns0:is>
      </ns0:c>
      <ns0:c r="E306" s="2" t="inlineStr"/>
      <ns0:c r="F306" s="2" t="inlineStr">
        <ns0:is>
          <ns0:t>supplementary.docx</ns0:t>
        </ns0:is>
      </ns0:c>
      <ns0:c r="G306" s="2" t="inlineStr">
        <ns0:is>
          <ns0:t>original_files/R13864/supplementary/supplementary__6a06b7a325461f76.docx</ns0:t>
        </ns0:is>
      </ns0:c>
      <ns0:c r="H306" s="2" t="inlineStr">
        <ns0:is>
          <ns0:t>local_upload</ns0:t>
        </ns0:is>
      </ns0:c>
      <ns0:c r="I306" s="2" t="inlineStr">
        <ns0:is>
          <ns0:t>localdownload/R13864/supplementary.docx</ns0:t>
        </ns0:is>
      </ns0:c>
      <ns0:c r="J306" s="2" t="n">
        <ns0:v>1592776</ns0:v>
      </ns0:c>
      <ns0:c r="K306" s="2" t="inlineStr">
        <ns0:is>
          <ns0:t>6a06b7a325461f764db2b5d4cc5121b6fc87d240d81c3d1778ef75e13cd8b2ea</ns0:t>
        </ns0:is>
      </ns0:c>
      <ns0:c r="L306" s="2" t="inlineStr">
        <ns0:is>
          <ns0:t>container_crc_verified</ns0:t>
        </ns0:is>
      </ns0:c>
      <ns0:c r="M306" s="2" t="inlineStr">
        <ns0:is>
          <ns0:t>directory_and_content_consistent_identity_pending</ns0:t>
        </ns0:is>
      </ns0:c>
      <ns0:c r="N306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06" s="2" t="inlineStr">
        <ns0:is>
          <ns0:t>https://github.com/Colliam-Vermilion/FirstCodex/blob/results/ad-oxygen-literature-20261006/results/ad-oxygen-literature-20261006/original_files/R13864/supplementary/supplementary__6a06b7a325461f76.docx</ns0:t>
        </ns0:is>
      </ns0:c>
    </ns0:row>
    <ns0:row r="307" ht="48" customHeight="1">
      <ns0:c r="A307" s="3" t="inlineStr">
        <ns0:is>
          <ns0:t>R13886</ns0:t>
        </ns0:is>
      </ns0:c>
      <ns0:c r="B307" s="3" t="inlineStr">
        <ns0:is>
          <ns0:t>Effect of air mixing on high-solids anaerobic digestion of cow manure: Performance and mechanism.</ns0:t>
        </ns0:is>
      </ns0:c>
      <ns0:c r="C307" s="3" t="inlineStr">
        <ns0:is>
          <ns0:t>10.1016/j.biortech.2022.128545</ns0:t>
        </ns0:is>
      </ns0:c>
      <ns0:c r="D307" s="3" t="inlineStr">
        <ns0:is>
          <ns0:t>fulltext</ns0:t>
        </ns0:is>
      </ns0:c>
      <ns0:c r="E307" s="3" t="inlineStr">
        <ns0:is>
          <ns0:t>出版版（版式及版权文字）</ns0:t>
        </ns0:is>
      </ns0:c>
      <ns0:c r="F307" s="3" t="inlineStr">
        <ns0:is>
          <ns0:t>fulltext.pdf</ns0:t>
        </ns0:is>
      </ns0:c>
      <ns0:c r="G307" s="3" t="inlineStr">
        <ns0:is>
          <ns0:t>original_files/R13886/fulltext/fulltext__published__6a6cab884b6fd785.pdf</ns0:t>
        </ns0:is>
      </ns0:c>
      <ns0:c r="H307" s="3" t="inlineStr">
        <ns0:is>
          <ns0:t>local_upload</ns0:t>
        </ns0:is>
      </ns0:c>
      <ns0:c r="I307" s="3" t="inlineStr">
        <ns0:is>
          <ns0:t>localdownload/R13886/fulltext.pdf</ns0:t>
        </ns0:is>
      </ns0:c>
      <ns0:c r="J307" s="3" t="n">
        <ns0:v>835766</ns0:v>
      </ns0:c>
      <ns0:c r="K307" s="3" t="inlineStr">
        <ns0:is>
          <ns0:t>6a6cab884b6fd785a2ddddddb814efca09cbf8432c6e1ab3918cc21ad5b43d84</ns0:t>
        </ns0:is>
      </ns0:c>
      <ns0:c r="L307" s="3" t="inlineStr">
        <ns0:is>
          <ns0:t>identity_and_body_structure_verified</ns0:t>
        </ns0:is>
      </ns0:c>
      <ns0:c r="M307" s="3" t="inlineStr"/>
      <ns0:c r="N307" s="3" t="inlineStr">
        <ns0:is>
          <ns0:t>首页/前两页题名作者或目标DOI核对，全部页面解析及正文结构检查；不据文件名判全文。</ns0:t>
        </ns0:is>
      </ns0:c>
      <ns0:c r="O307" s="3" t="inlineStr">
        <ns0:is>
          <ns0:t>https://github.com/Colliam-Vermilion/FirstCodex/blob/results/ad-oxygen-literature-20261006/results/ad-oxygen-literature-20261006/original_files/R13886/fulltext/fulltext__published__6a6cab884b6fd785.pdf</ns0:t>
        </ns0:is>
      </ns0:c>
    </ns0:row>
    <ns0:row r="308" ht="48" customHeight="1">
      <ns0:c r="A308" s="2" t="inlineStr">
        <ns0:is>
          <ns0:t>R11596</ns0:t>
        </ns0:is>
      </ns0:c>
      <ns0:c r="B308" s="2" t="inlineStr">
        <ns0:is>
          <ns0:t>Facultative anaerobic bacteria enable syntrophic fatty acids degradation under micro-aerobic conditions</ns0:t>
        </ns0:is>
      </ns0:c>
      <ns0:c r="C308" s="2" t="inlineStr">
        <ns0:is>
          <ns0:t>10.1016/j.biortech.2024.131829</ns0:t>
        </ns0:is>
      </ns0:c>
      <ns0:c r="D308" s="2" t="inlineStr">
        <ns0:is>
          <ns0:t>fulltext</ns0:t>
        </ns0:is>
      </ns0:c>
      <ns0:c r="E308" s="2" t="inlineStr">
        <ns0:is>
          <ns0:t>出版版本（原页出版信息）</ns0:t>
        </ns0:is>
      </ns0:c>
      <ns0:c r="F308" s="2" t="inlineStr">
        <ns0:is>
          <ns0:t>R11596_2025_Facultative_anaerobic_bacteria_enable_syntrophic_fatty_acids_degradation_under.pdf</ns0:t>
        </ns0:is>
      </ns0:c>
      <ns0:c r="G308" s="2" t="inlineStr">
        <ns0:is>
          <ns0:t>original_files/R11596/fulltext/fulltext__published__6ace8d3f881b69f8.pdf</ns0:t>
        </ns0:is>
      </ns0:c>
      <ns0:c r="H308" s="2" t="inlineStr">
        <ns0:is>
          <ns0:t>cloud_existing</ns0:t>
        </ns0:is>
      </ns0:c>
      <ns0:c r="I308" s="2" t="inlineStr">
        <ns0:is>
          <ns0:t>original_files/fulltext/R11596_2025_Facultative_anaerobic_bacteria_enable_syntrophic_fatty_acids_degradation_under.pdf</ns0:t>
        </ns0:is>
      </ns0:c>
      <ns0:c r="J308" s="2" t="n">
        <ns0:v>1659399</ns0:v>
      </ns0:c>
      <ns0:c r="K308" s="2" t="inlineStr">
        <ns0:is>
          <ns0:t>6ace8d3f881b69f89d0ae229006f32c4664a53b59a06544dbd1c5a3bcd42c82e</ns0:t>
        </ns0:is>
      </ns0:c>
      <ns0:c r="L308" s="2" t="inlineStr">
        <ns0:is>
          <ns0:t>identity_and_body_structure_verified</ns0:t>
        </ns0:is>
      </ns0:c>
      <ns0:c r="M308" s="2" t="inlineStr"/>
      <ns0:c r="N308" s="2" t="inlineStr">
        <ns0:is>
          <ns0:t>首页/前两页题名作者或目标DOI核对，全部页面解析及正文结构检查；不据文件名判全文。</ns0:t>
        </ns0:is>
      </ns0:c>
      <ns0:c r="O308" s="2" t="inlineStr">
        <ns0:is>
          <ns0:t>https://github.com/Colliam-Vermilion/FirstCodex/blob/results/ad-oxygen-literature-20261006/results/ad-oxygen-literature-20261006/original_files/R11596/fulltext/fulltext__published__6ace8d3f881b69f8.pdf</ns0:t>
        </ns0:is>
      </ns0:c>
    </ns0:row>
    <ns0:row r="309" ht="48" customHeight="1">
      <ns0:c r="A309" s="3" t="inlineStr">
        <ns0:is>
          <ns0:t>R11693</ns0:t>
        </ns0:is>
      </ns0:c>
      <ns0:c r="B309" s="3" t="inlineStr">
        <ns0:is>
          <ns0:t>In-situ intermittent micro-aeration in food waste and sewage sludge anaerobic co-digestion: Performance, stability, and microbial dynamics</ns0:t>
        </ns0:is>
      </ns0:c>
      <ns0:c r="C309" s="3" t="inlineStr">
        <ns0:is>
          <ns0:t>10.1016/j.biortech.2025.132398</ns0:t>
        </ns0:is>
      </ns0:c>
      <ns0:c r="D309" s="3" t="inlineStr">
        <ns0:is>
          <ns0:t>fulltext</ns0:t>
        </ns0:is>
      </ns0:c>
      <ns0:c r="E309" s="3" t="inlineStr">
        <ns0:is>
          <ns0:t>出版版（版式及版权文字）</ns0:t>
        </ns0:is>
      </ns0:c>
      <ns0:c r="F309" s="3" t="inlineStr">
        <ns0:is>
          <ns0:t>fulltext.pdf</ns0:t>
        </ns0:is>
      </ns0:c>
      <ns0:c r="G309" s="3" t="inlineStr">
        <ns0:is>
          <ns0:t>original_files/R11693/fulltext/fulltext__published__6ae8f5e4e6b40535.pdf</ns0:t>
        </ns0:is>
      </ns0:c>
      <ns0:c r="H309" s="3" t="inlineStr">
        <ns0:is>
          <ns0:t>local_upload</ns0:t>
        </ns0:is>
      </ns0:c>
      <ns0:c r="I309" s="3" t="inlineStr">
        <ns0:is>
          <ns0:t>localdownload/R11693/fulltext.pdf</ns0:t>
        </ns0:is>
      </ns0:c>
      <ns0:c r="J309" s="3" t="n">
        <ns0:v>7102114</ns0:v>
      </ns0:c>
      <ns0:c r="K309" s="3" t="inlineStr">
        <ns0:is>
          <ns0:t>6ae8f5e4e6b40535386c46952aacd6cbb94b2ad4779e02e16be5eb45c18e3949</ns0:t>
        </ns0:is>
      </ns0:c>
      <ns0:c r="L309" s="3" t="inlineStr">
        <ns0:is>
          <ns0:t>identity_and_body_structure_verified</ns0:t>
        </ns0:is>
      </ns0:c>
      <ns0:c r="M309" s="3" t="inlineStr"/>
      <ns0:c r="N309" s="3" t="inlineStr">
        <ns0:is>
          <ns0:t>首页/前两页题名作者或目标DOI核对，全部页面解析及正文结构检查；不据文件名判全文。</ns0:t>
        </ns0:is>
      </ns0:c>
      <ns0:c r="O309" s="3" t="inlineStr">
        <ns0:is>
          <ns0:t>https://github.com/Colliam-Vermilion/FirstCodex/blob/results/ad-oxygen-literature-20261006/results/ad-oxygen-literature-20261006/original_files/R11693/fulltext/fulltext__published__6ae8f5e4e6b40535.pdf</ns0:t>
        </ns0:is>
      </ns0:c>
    </ns0:row>
    <ns0:row r="310" ht="48" customHeight="1">
      <ns0:c r="A310" s="2" t="inlineStr">
        <ns0:is>
          <ns0:t>R08911</ns0:t>
        </ns0:is>
      </ns0:c>
      <ns0:c r="B310" s="2" t="inlineStr">
        <ns0:is>
          <ns0:t>Employing micro-aeration in anaerobic digestion of poultry litter and wheat straw: Batch kinetics and continuous performance</ns0:t>
        </ns0:is>
      </ns0:c>
      <ns0:c r="C310" s="2" t="inlineStr">
        <ns0:is>
          <ns0:t>10.1016/j.biortech.2022.128351</ns0:t>
        </ns0:is>
      </ns0:c>
      <ns0:c r="D310" s="2" t="inlineStr">
        <ns0:is>
          <ns0:t>supplementary</ns0:t>
        </ns0:is>
      </ns0:c>
      <ns0:c r="E310" s="2" t="inlineStr"/>
      <ns0:c r="F310" s="2" t="inlineStr">
        <ns0:is>
          <ns0:t>supplementary.docx</ns0:t>
        </ns0:is>
      </ns0:c>
      <ns0:c r="G310" s="2" t="inlineStr">
        <ns0:is>
          <ns0:t>original_files/R08911/supplementary/supplementary__6b4b0a98be091f59.docx</ns0:t>
        </ns0:is>
      </ns0:c>
      <ns0:c r="H310" s="2" t="inlineStr">
        <ns0:is>
          <ns0:t>local_upload</ns0:t>
        </ns0:is>
      </ns0:c>
      <ns0:c r="I310" s="2" t="inlineStr">
        <ns0:is>
          <ns0:t>localdownload/R08911/supplementary.docx</ns0:t>
        </ns0:is>
      </ns0:c>
      <ns0:c r="J310" s="2" t="n">
        <ns0:v>353642</ns0:v>
      </ns0:c>
      <ns0:c r="K310" s="2" t="inlineStr">
        <ns0:is>
          <ns0:t>6b4b0a98be091f59628e6bfda9a4fc6124468c9c8a8b2a81c7ce2efc455261c9</ns0:t>
        </ns0:is>
      </ns0:c>
      <ns0:c r="L310" s="2" t="inlineStr">
        <ns0:is>
          <ns0:t>container_crc_verified</ns0:t>
        </ns0:is>
      </ns0:c>
      <ns0:c r="M310" s="2" t="inlineStr">
        <ns0:is>
          <ns0:t>title_in_attachment_verified</ns0:t>
        </ns0:is>
      </ns0:c>
      <ns0:c r="N310" s="2" t="inlineStr"/>
      <ns0:c r="O310" s="2" t="inlineStr">
        <ns0:is>
          <ns0:t>https://github.com/Colliam-Vermilion/FirstCodex/blob/results/ad-oxygen-literature-20261006/results/ad-oxygen-literature-20261006/original_files/R08911/supplementary/supplementary__6b4b0a98be091f59.docx</ns0:t>
        </ns0:is>
      </ns0:c>
    </ns0:row>
    <ns0:row r="311" ht="48" customHeight="1">
      <ns0:c r="A311" s="3" t="inlineStr">
        <ns0:is>
          <ns0:t>R13086</ns0:t>
        </ns0:is>
      </ns0:c>
      <ns0:c r="B311" s="3" t="inlineStr">
        <ns0:is>
          <ns0:t>Hydrodynamic regulation drives azo dye transformation and hydrolysis acidification by reshaping microbial metabolism in the micro-aerobic hydrolysis acidification reactor</ns0:t>
        </ns0:is>
      </ns0:c>
      <ns0:c r="C311" s="3" t="inlineStr">
        <ns0:is>
          <ns0:t>10.1016/j.jhazmat.2026.143745</ns0:t>
        </ns0:is>
      </ns0:c>
      <ns0:c r="D311" s="3" t="inlineStr">
        <ns0:is>
          <ns0:t>supplementary</ns0:t>
        </ns0:is>
      </ns0:c>
      <ns0:c r="E311" s="3" t="inlineStr"/>
      <ns0:c r="F311" s="3" t="inlineStr">
        <ns0:is>
          <ns0:t>supplementary.docx</ns0:t>
        </ns0:is>
      </ns0:c>
      <ns0:c r="G311" s="3" t="inlineStr">
        <ns0:is>
          <ns0:t>original_files/R13086/supplementary/supplementary__6b9f2e6d4fab85ae.docx</ns0:t>
        </ns0:is>
      </ns0:c>
      <ns0:c r="H311" s="3" t="inlineStr">
        <ns0:is>
          <ns0:t>local_upload</ns0:t>
        </ns0:is>
      </ns0:c>
      <ns0:c r="I311" s="3" t="inlineStr">
        <ns0:is>
          <ns0:t>localdownload/R13086/supplementary.docx</ns0:t>
        </ns0:is>
      </ns0:c>
      <ns0:c r="J311" s="3" t="n">
        <ns0:v>7188317</ns0:v>
      </ns0:c>
      <ns0:c r="K311" s="3" t="inlineStr">
        <ns0:is>
          <ns0:t>6b9f2e6d4fab85aecd07ae9a62f798472cb40d78b3d11cdfdb8e0a6a163b7dbb</ns0:t>
        </ns0:is>
      </ns0:c>
      <ns0:c r="L311" s="3" t="inlineStr">
        <ns0:is>
          <ns0:t>container_crc_verified</ns0:t>
        </ns0:is>
      </ns0:c>
      <ns0:c r="M311" s="3" t="inlineStr">
        <ns0:is>
          <ns0:t>title_in_attachment_verified</ns0:t>
        </ns0:is>
      </ns0:c>
      <ns0:c r="N311" s="3" t="inlineStr"/>
      <ns0:c r="O311" s="3" t="inlineStr">
        <ns0:is>
          <ns0:t>https://github.com/Colliam-Vermilion/FirstCodex/blob/results/ad-oxygen-literature-20261006/results/ad-oxygen-literature-20261006/original_files/R13086/supplementary/supplementary__6b9f2e6d4fab85ae.docx</ns0:t>
        </ns0:is>
      </ns0:c>
    </ns0:row>
    <ns0:row r="312" ht="48" customHeight="1">
      <ns0:c r="A312" s="2" t="inlineStr">
        <ns0:is>
          <ns0:t>R13891</ns0:t>
        </ns0:is>
      </ns0:c>
      <ns0:c r="B312" s="2" t="inlineStr">
        <ns0:is>
          <ns0:t>Enhancement of high-solid chicken manure anaerobic digestion: Insights into ammonia air stripping pretreatment for microbial resilience and hydraulic retention stabilization</ns0:t>
        </ns0:is>
      </ns0:c>
      <ns0:c r="C312" s="2" t="inlineStr">
        <ns0:is>
          <ns0:t>10.1016/j.biombioe.2025.108098</ns0:t>
        </ns0:is>
      </ns0:c>
      <ns0:c r="D312" s="2" t="inlineStr">
        <ns0:is>
          <ns0:t>supplementary</ns0:t>
        </ns0:is>
      </ns0:c>
      <ns0:c r="E312" s="2" t="inlineStr"/>
      <ns0:c r="F312" s="2" t="inlineStr">
        <ns0:is>
          <ns0:t>supplementary.doc</ns0:t>
        </ns0:is>
      </ns0:c>
      <ns0:c r="G312" s="2" t="inlineStr">
        <ns0:is>
          <ns0:t>original_files/R13891/supplementary/supplementary__6c2b13c51dc6d090.doc</ns0:t>
        </ns0:is>
      </ns0:c>
      <ns0:c r="H312" s="2" t="inlineStr">
        <ns0:is>
          <ns0:t>local_upload</ns0:t>
        </ns0:is>
      </ns0:c>
      <ns0:c r="I312" s="2" t="inlineStr">
        <ns0:is>
          <ns0:t>localdownload/R13891/supplementary.doc</ns0:t>
        </ns0:is>
      </ns0:c>
      <ns0:c r="J312" s="2" t="n">
        <ns0:v>60416</ns0:v>
      </ns0:c>
      <ns0:c r="K312" s="2" t="inlineStr">
        <ns0:is>
          <ns0:t>6c2b13c51dc6d0905cf8bf31dd21ec6c9cc470250445109edf7b2ca3decc22c6</ns0:t>
        </ns0:is>
      </ns0:c>
      <ns0:c r="L312" s="2" t="inlineStr">
        <ns0:is>
          <ns0:t>legacy_word_decoded_with_antiword</ns0:t>
        </ns0:is>
      </ns0:c>
      <ns0:c r="M312" s="2" t="inlineStr">
        <ns0:is>
          <ns0:t>directory_and_content_consistent_identity_pending</ns0:t>
        </ns0:is>
      </ns0:c>
      <ns0:c r="N312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12" s="2" t="inlineStr">
        <ns0:is>
          <ns0:t>https://github.com/Colliam-Vermilion/FirstCodex/blob/results/ad-oxygen-literature-20261006/results/ad-oxygen-literature-20261006/original_files/R13891/supplementary/supplementary__6c2b13c51dc6d090.doc</ns0:t>
        </ns0:is>
      </ns0:c>
    </ns0:row>
    <ns0:row r="313" ht="48" customHeight="1">
      <ns0:c r="A313" s="3" t="inlineStr">
        <ns0:is>
          <ns0:t>R04028</ns0:t>
        </ns0:is>
      </ns0:c>
      <ns0:c r="B313" s="3" t="inlineStr">
        <ns0:is>
          <ns0:t>Improved methane production from corn straw by microaerobic pretreatment with a pure bacteria system</ns0:t>
        </ns0:is>
      </ns0:c>
      <ns0:c r="C313" s="3" t="inlineStr">
        <ns0:is>
          <ns0:t>10.1016/j.biortech.2018.02.046</ns0:t>
        </ns0:is>
      </ns0:c>
      <ns0:c r="D313" s="3" t="inlineStr">
        <ns0:is>
          <ns0:t>fulltext</ns0:t>
        </ns0:is>
      </ns0:c>
      <ns0:c r="E313" s="3" t="inlineStr">
        <ns0:is>
          <ns0:t>出版版（版式及版权文字）</ns0:t>
        </ns0:is>
      </ns0:c>
      <ns0:c r="F313" s="3" t="inlineStr">
        <ns0:is>
          <ns0:t>fulltext.pdf</ns0:t>
        </ns0:is>
      </ns0:c>
      <ns0:c r="G313" s="3" t="inlineStr">
        <ns0:is>
          <ns0:t>original_files/R04028/fulltext/fulltext__published__6c89d60f8df5d2c8.pdf</ns0:t>
        </ns0:is>
      </ns0:c>
      <ns0:c r="H313" s="3" t="inlineStr">
        <ns0:is>
          <ns0:t>local_upload</ns0:t>
        </ns0:is>
      </ns0:c>
      <ns0:c r="I313" s="3" t="inlineStr">
        <ns0:is>
          <ns0:t>localdownload/R04028/fulltext.pdf</ns0:t>
        </ns0:is>
      </ns0:c>
      <ns0:c r="J313" s="3" t="n">
        <ns0:v>898059</ns0:v>
      </ns0:c>
      <ns0:c r="K313" s="3" t="inlineStr">
        <ns0:is>
          <ns0:t>6c89d60f8df5d2c84795246955c483c1fc417ced115b4bc688f693481acf8306</ns0:t>
        </ns0:is>
      </ns0:c>
      <ns0:c r="L313" s="3" t="inlineStr">
        <ns0:is>
          <ns0:t>identity_and_body_structure_verified</ns0:t>
        </ns0:is>
      </ns0:c>
      <ns0:c r="M313" s="3" t="inlineStr"/>
      <ns0:c r="N313" s="3" t="inlineStr">
        <ns0:is>
          <ns0:t>首页/前两页题名作者或目标DOI核对，全部页面解析及正文结构检查；不据文件名判全文。</ns0:t>
        </ns0:is>
      </ns0:c>
      <ns0:c r="O313" s="3" t="inlineStr">
        <ns0:is>
          <ns0:t>https://github.com/Colliam-Vermilion/FirstCodex/blob/results/ad-oxygen-literature-20261006/results/ad-oxygen-literature-20261006/original_files/R04028/fulltext/fulltext__published__6c89d60f8df5d2c8.pdf</ns0:t>
        </ns0:is>
      </ns0:c>
    </ns0:row>
    <ns0:row r="314" ht="48" customHeight="1">
      <ns0:c r="A314" s="2" t="inlineStr">
        <ns0:is>
          <ns0:t>R07238</ns0:t>
        </ns0:is>
      </ns0:c>
      <ns0:c r="B314" s="2" t="inlineStr">
        <ns0:is>
          <ns0:t>The influence of combined low-strength ultrasonics and micro-aerobic pretreatment process on methane generation and sludge digestion: Lipase enzyme, microbial activation, and energy yield</ns0:t>
        </ns0:is>
      </ns0:c>
      <ns0:c r="C314" s="2" t="inlineStr">
        <ns0:is>
          <ns0:t>10.1016/j.ultsonch.2021.105531</ns0:t>
        </ns0:is>
      </ns0:c>
      <ns0:c r="D314" s="2" t="inlineStr">
        <ns0:is>
          <ns0:t>source_evidence</ns0:t>
        </ns0:is>
      </ns0:c>
      <ns0:c r="E314" s="2" t="inlineStr"/>
      <ns0:c r="F314" s="2" t="inlineStr">
        <ns0:is>
          <ns0:t>PMC8044681_fullText.xml</ns0:t>
        </ns0:is>
      </ns0:c>
      <ns0:c r="G314" s="2" t="inlineStr">
        <ns0:is>
          <ns0:t>original_files/R07238/evidence/source_evidence__6c93b117d7bd5886.xml</ns0:t>
        </ns0:is>
      </ns0:c>
      <ns0:c r="H314" s="2" t="inlineStr">
        <ns0:is>
          <ns0:t>cloud_existing</ns0:t>
        </ns0:is>
      </ns0:c>
      <ns0:c r="I314" s="2" t="inlineStr">
        <ns0:is>
          <ns0:t>original_files/source_evidence/R07238/PMC8044681_fullText.xml</ns0:t>
        </ns0:is>
      </ns0:c>
      <ns0:c r="J314" s="2" t="n">
        <ns0:v>151458</ns0:v>
      </ns0:c>
      <ns0:c r="K314" s="2" t="inlineStr">
        <ns0:is>
          <ns0:t>6c93b117d7bd588658aabfd8b7ec679110899d8f556eb6b90b071e6057ddd2cd</ns0:t>
        </ns0:is>
      </ns0:c>
      <ns0:c r="L314" s="2" t="inlineStr">
        <ns0:is>
          <ns0:t>text_readable</ns0:t>
        </ns0:is>
      </ns0:c>
      <ns0:c r="M314" s="2" t="inlineStr"/>
      <ns0:c r="N314" s="2" t="inlineStr"/>
      <ns0:c r="O314" s="2" t="inlineStr">
        <ns0:is>
          <ns0:t>https://github.com/Colliam-Vermilion/FirstCodex/blob/results/ad-oxygen-literature-20261006/results/ad-oxygen-literature-20261006/original_files/R07238/evidence/source_evidence__6c93b117d7bd5886.xml</ns0:t>
        </ns0:is>
      </ns0:c>
    </ns0:row>
    <ns0:row r="315" ht="48" customHeight="1">
      <ns0:c r="A315" s="3" t="inlineStr">
        <ns0:is>
          <ns0:t>R13890</ns0:t>
        </ns0:is>
      </ns0:c>
      <ns0:c r="B315" s="3" t="inlineStr">
        <ns0:is>
          <ns0:t>Biogas Production and Microbial Communities in the Anaerobic Digestion of Sewage Sludge Under Hydrothermal Pretreatment with Air and a Catalyst</ns0:t>
        </ns0:is>
      </ns0:c>
      <ns0:c r="C315" s="3" t="inlineStr">
        <ns0:is>
          <ns0:t>10.1007/s12155-020-10199-4</ns0:t>
        </ns0:is>
      </ns0:c>
      <ns0:c r="D315" s="3" t="inlineStr">
        <ns0:is>
          <ns0:t>supplementary</ns0:t>
        </ns0:is>
      </ns0:c>
      <ns0:c r="E315" s="3" t="inlineStr"/>
      <ns0:c r="F315" s="3" t="inlineStr">
        <ns0:is>
          <ns0:t>supplementary.docx</ns0:t>
        </ns0:is>
      </ns0:c>
      <ns0:c r="G315" s="3" t="inlineStr">
        <ns0:is>
          <ns0:t>original_files/R13890/supplementary/supplementary__6d0da539d17d895d.docx</ns0:t>
        </ns0:is>
      </ns0:c>
      <ns0:c r="H315" s="3" t="inlineStr">
        <ns0:is>
          <ns0:t>local_upload</ns0:t>
        </ns0:is>
      </ns0:c>
      <ns0:c r="I315" s="3" t="inlineStr">
        <ns0:is>
          <ns0:t>localdownload/R13890/supplementary.docx</ns0:t>
        </ns0:is>
      </ns0:c>
      <ns0:c r="J315" s="3" t="n">
        <ns0:v>4577576</ns0:v>
      </ns0:c>
      <ns0:c r="K315" s="3" t="inlineStr">
        <ns0:is>
          <ns0:t>6d0da539d17d895d6d2a33f21cd63cb9f2505be62acdb4da7931d32998559e49</ns0:t>
        </ns0:is>
      </ns0:c>
      <ns0:c r="L315" s="3" t="inlineStr">
        <ns0:is>
          <ns0:t>container_crc_verified</ns0:t>
        </ns0:is>
      </ns0:c>
      <ns0:c r="M315" s="3" t="inlineStr">
        <ns0:is>
          <ns0:t>title_in_attachment_verified</ns0:t>
        </ns0:is>
      </ns0:c>
      <ns0:c r="N315" s="3" t="inlineStr"/>
      <ns0:c r="O315" s="3" t="inlineStr">
        <ns0:is>
          <ns0:t>https://github.com/Colliam-Vermilion/FirstCodex/blob/results/ad-oxygen-literature-20261006/results/ad-oxygen-literature-20261006/original_files/R13890/supplementary/supplementary__6d0da539d17d895d.docx</ns0:t>
        </ns0:is>
      </ns0:c>
    </ns0:row>
    <ns0:row r="316" ht="48" customHeight="1">
      <ns0:c r="A316" s="2" t="inlineStr">
        <ns0:is>
          <ns0:t>R12953</ns0:t>
        </ns0:is>
      </ns0:c>
      <ns0:c r="B316" s="2" t="inlineStr">
        <ns0:is>
          <ns0:t>Enhancing anaerobic digestion of sulfate-containing organic wastewater through an innovative integration of nitrate addition and microaeration</ns0:t>
        </ns0:is>
      </ns0:c>
      <ns0:c r="C316" s="2" t="inlineStr">
        <ns0:is>
          <ns0:t>10.1016/j.jclepro.2026.147650</ns0:t>
        </ns0:is>
      </ns0:c>
      <ns0:c r="D316" s="2" t="inlineStr">
        <ns0:is>
          <ns0:t>fulltext</ns0:t>
        </ns0:is>
      </ns0:c>
      <ns0:c r="E316" s="2" t="inlineStr">
        <ns0:is>
          <ns0:t>出版版（版式及版权文字）</ns0:t>
        </ns0:is>
      </ns0:c>
      <ns0:c r="F316" s="2" t="inlineStr">
        <ns0:is>
          <ns0:t>fulltext.pdf</ns0:t>
        </ns0:is>
      </ns0:c>
      <ns0:c r="G316" s="2" t="inlineStr">
        <ns0:is>
          <ns0:t>original_files/R12953/fulltext/fulltext__published__6d5e2d1da4bc5061.pdf</ns0:t>
        </ns0:is>
      </ns0:c>
      <ns0:c r="H316" s="2" t="inlineStr">
        <ns0:is>
          <ns0:t>local_upload</ns0:t>
        </ns0:is>
      </ns0:c>
      <ns0:c r="I316" s="2" t="inlineStr">
        <ns0:is>
          <ns0:t>localdownload/R12953/fulltext.pdf</ns0:t>
        </ns0:is>
      </ns0:c>
      <ns0:c r="J316" s="2" t="n">
        <ns0:v>10194044</ns0:v>
      </ns0:c>
      <ns0:c r="K316" s="2" t="inlineStr">
        <ns0:is>
          <ns0:t>6d5e2d1da4bc50615d7ec8765c7b9431d675c1c24eaf69437c19a5407c950ce3</ns0:t>
        </ns0:is>
      </ns0:c>
      <ns0:c r="L316" s="2" t="inlineStr">
        <ns0:is>
          <ns0:t>identity_and_body_structure_verified</ns0:t>
        </ns0:is>
      </ns0:c>
      <ns0:c r="M316" s="2" t="inlineStr"/>
      <ns0:c r="N316" s="2" t="inlineStr">
        <ns0:is>
          <ns0:t>首页/前两页题名作者或目标DOI核对，全部页面解析及正文结构检查；不据文件名判全文。</ns0:t>
        </ns0:is>
      </ns0:c>
      <ns0:c r="O316" s="2" t="inlineStr">
        <ns0:is>
          <ns0:t>https://github.com/Colliam-Vermilion/FirstCodex/blob/results/ad-oxygen-literature-20261006/results/ad-oxygen-literature-20261006/original_files/R12953/fulltext/fulltext__published__6d5e2d1da4bc5061.pdf</ns0:t>
        </ns0:is>
      </ns0:c>
    </ns0:row>
    <ns0:row r="317" ht="48" customHeight="1">
      <ns0:c r="A317" s="3" t="inlineStr">
        <ns0:is>
          <ns0:t>R06681</ns0:t>
        </ns0:is>
      </ns0:c>
      <ns0:c r="B317" s="3" t="inlineStr">
        <ns0:is>
          <ns0:t>Enhancing anaerobic digestion of agricultural residues by microaerobic conditions</ns0:t>
        </ns0:is>
      </ns0:c>
      <ns0:c r="C317" s="3" t="inlineStr">
        <ns0:is>
          <ns0:t>10.1007/s13399-019-00430-4</ns0:t>
        </ns0:is>
      </ns0:c>
      <ns0:c r="D317" s="3" t="inlineStr">
        <ns0:is>
          <ns0:t>supplementary</ns0:t>
        </ns0:is>
      </ns0:c>
      <ns0:c r="E317" s="3" t="inlineStr"/>
      <ns0:c r="F317" s="3" t="inlineStr">
        <ns0:is>
          <ns0:t>supplementary.xlsx</ns0:t>
        </ns0:is>
      </ns0:c>
      <ns0:c r="G317" s="3" t="inlineStr">
        <ns0:is>
          <ns0:t>original_files/R06681/supplementary/supplementary__6d87338c9b3572e8.xlsx</ns0:t>
        </ns0:is>
      </ns0:c>
      <ns0:c r="H317" s="3" t="inlineStr">
        <ns0:is>
          <ns0:t>local_upload</ns0:t>
        </ns0:is>
      </ns0:c>
      <ns0:c r="I317" s="3" t="inlineStr">
        <ns0:is>
          <ns0:t>localdownload/R06681/supplementary.xlsx</ns0:t>
        </ns0:is>
      </ns0:c>
      <ns0:c r="J317" s="3" t="n">
        <ns0:v>39376</ns0:v>
      </ns0:c>
      <ns0:c r="K317" s="3" t="inlineStr">
        <ns0:is>
          <ns0:t>6d87338c9b3572e8124294e7dbba9ec384600a5eff1299a01ea9a1edc89525d5</ns0:t>
        </ns0:is>
      </ns0:c>
      <ns0:c r="L317" s="3" t="inlineStr">
        <ns0:is>
          <ns0:t>xlsx_open_and_zip_crc_verified</ns0:t>
        </ns0:is>
      </ns0:c>
      <ns0:c r="M317" s="3" t="inlineStr">
        <ns0:is>
          <ns0:t>directory_and_content_consistent_identity_pending</ns0:t>
        </ns0:is>
      </ns0:c>
      <ns0:c r="N317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17" s="3" t="inlineStr">
        <ns0:is>
          <ns0:t>https://github.com/Colliam-Vermilion/FirstCodex/blob/results/ad-oxygen-literature-20261006/results/ad-oxygen-literature-20261006/original_files/R06681/supplementary/supplementary__6d87338c9b3572e8.xlsx</ns0:t>
        </ns0:is>
      </ns0:c>
    </ns0:row>
    <ns0:row r="318" ht="48" customHeight="1">
      <ns0:c r="A318" s="2" t="inlineStr">
        <ns0:is>
          <ns0:t>R05828</ns0:t>
        </ns0:is>
      </ns0:c>
      <ns0:c r="B318" s="2" t="inlineStr">
        <ns0:is>
          <ns0:t>Methane and hydrogen production from cotton waste by dark fermentation under anaerobic and micro-aerobic conditions</ns0:t>
        </ns0:is>
      </ns0:c>
      <ns0:c r="C318" s="2" t="inlineStr">
        <ns0:is>
          <ns0:t>10.1016/j.biombioe.2020.105576</ns0:t>
        </ns0:is>
      </ns0:c>
      <ns0:c r="D318" s="2" t="inlineStr">
        <ns0:is>
          <ns0:t>fulltext</ns0:t>
        </ns0:is>
      </ns0:c>
      <ns0:c r="E318" s="2" t="inlineStr">
        <ns0:is>
          <ns0:t>出版版（版式及版权文字）</ns0:t>
        </ns0:is>
      </ns0:c>
      <ns0:c r="F318" s="2" t="inlineStr">
        <ns0:is>
          <ns0:t>fulltext.pdf</ns0:t>
        </ns0:is>
      </ns0:c>
      <ns0:c r="G318" s="2" t="inlineStr">
        <ns0:is>
          <ns0:t>original_files/R05828/fulltext/fulltext__published__6d9031d0269ff26d.pdf</ns0:t>
        </ns0:is>
      </ns0:c>
      <ns0:c r="H318" s="2" t="inlineStr">
        <ns0:is>
          <ns0:t>local_upload</ns0:t>
        </ns0:is>
      </ns0:c>
      <ns0:c r="I318" s="2" t="inlineStr">
        <ns0:is>
          <ns0:t>localdownload/R05828/fulltext.pdf</ns0:t>
        </ns0:is>
      </ns0:c>
      <ns0:c r="J318" s="2" t="n">
        <ns0:v>945597</ns0:v>
      </ns0:c>
      <ns0:c r="K318" s="2" t="inlineStr">
        <ns0:is>
          <ns0:t>6d9031d0269ff26d21cb1eaf676b6c31690151fc1eab59f10fd8422d08cc89bb</ns0:t>
        </ns0:is>
      </ns0:c>
      <ns0:c r="L318" s="2" t="inlineStr">
        <ns0:is>
          <ns0:t>identity_and_body_structure_verified</ns0:t>
        </ns0:is>
      </ns0:c>
      <ns0:c r="M318" s="2" t="inlineStr"/>
      <ns0:c r="N318" s="2" t="inlineStr">
        <ns0:is>
          <ns0:t>首页/前两页题名作者或目标DOI核对，全部页面解析及正文结构检查；不据文件名判全文。</ns0:t>
        </ns0:is>
      </ns0:c>
      <ns0:c r="O318" s="2" t="inlineStr">
        <ns0:is>
          <ns0:t>https://github.com/Colliam-Vermilion/FirstCodex/blob/results/ad-oxygen-literature-20261006/results/ad-oxygen-literature-20261006/original_files/R05828/fulltext/fulltext__published__6d9031d0269ff26d.pdf</ns0:t>
        </ns0:is>
      </ns0:c>
    </ns0:row>
    <ns0:row r="319" ht="48" customHeight="1">
      <ns0:c r="A319" s="3" t="inlineStr">
        <ns0:is>
          <ns0:t>R13931</ns0:t>
        </ns0:is>
      </ns0:c>
      <ns0:c r="B319" s="3" t="inlineStr">
        <ns0:is>
          <ns0:t>Biogas recovery from fresh landfill leachates by using a coupled air stripping-up follow anaerobic sludge blanket (UASB) process</ns0:t>
        </ns0:is>
      </ns0:c>
      <ns0:c r="C319" s="3" t="inlineStr">
        <ns0:is>
          <ns0:t>10.4491/eer.2020.470</ns0:t>
        </ns0:is>
      </ns0:c>
      <ns0:c r="D319" s="3" t="inlineStr">
        <ns0:is>
          <ns0:t>fulltext</ns0:t>
        </ns0:is>
      </ns0:c>
      <ns0:c r="E319" s="3" t="inlineStr">
        <ns0:is>
          <ns0:t>出版版本（原页出版信息）</ns0:t>
        </ns0:is>
      </ns0:c>
      <ns0:c r="F319" s="3" t="inlineStr">
        <ns0:is>
          <ns0:t>R13931_2020_Biogas_recovery_from_fresh_landfill_leachates_by_using_a.pdf</ns0:t>
        </ns0:is>
      </ns0:c>
      <ns0:c r="G319" s="3" t="inlineStr">
        <ns0:is>
          <ns0:t>original_files/R13931/fulltext/fulltext__published__6e898a403edac7b3.pdf</ns0:t>
        </ns0:is>
      </ns0:c>
      <ns0:c r="H319" s="3" t="inlineStr">
        <ns0:is>
          <ns0:t>cloud_existing</ns0:t>
        </ns0:is>
      </ns0:c>
      <ns0:c r="I319" s="3" t="inlineStr">
        <ns0:is>
          <ns0:t>original_files/fulltext/R13931_2020_Biogas_recovery_from_fresh_landfill_leachates_by_using_a.pdf</ns0:t>
        </ns0:is>
      </ns0:c>
      <ns0:c r="J319" s="3" t="n">
        <ns0:v>1324593</ns0:v>
      </ns0:c>
      <ns0:c r="K319" s="3" t="inlineStr">
        <ns0:is>
          <ns0:t>6e898a403edac7b3ae15ad88cf75788898cd84ea377b2572f7bab40d9c126f8c</ns0:t>
        </ns0:is>
      </ns0:c>
      <ns0:c r="L319" s="3" t="inlineStr">
        <ns0:is>
          <ns0:t>identity_and_body_structure_verified</ns0:t>
        </ns0:is>
      </ns0:c>
      <ns0:c r="M319" s="3" t="inlineStr"/>
      <ns0:c r="N319" s="3" t="inlineStr">
        <ns0:is>
          <ns0:t>首页/前两页题名作者或目标DOI核对，全部页面解析及正文结构检查；不据文件名判全文。</ns0:t>
        </ns0:is>
      </ns0:c>
      <ns0:c r="O319" s="3" t="inlineStr">
        <ns0:is>
          <ns0:t>https://github.com/Colliam-Vermilion/FirstCodex/blob/results/ad-oxygen-literature-20261006/results/ad-oxygen-literature-20261006/original_files/R13931/fulltext/fulltext__published__6e898a403edac7b3.pdf</ns0:t>
        </ns0:is>
      </ns0:c>
    </ns0:row>
    <ns0:row r="320" ht="48" customHeight="1">
      <ns0:c r="A320" s="2" t="inlineStr">
        <ns0:is>
          <ns0:t>R13881</ns0:t>
        </ns0:is>
      </ns0:c>
      <ns0:c r="B320" s="2" t="inlineStr">
        <ns0:is>
          <ns0:t>Investigation of hydrolysis acidification process during anaerobic treatment of coal gasification wastewater (CGW): Evolution of dissolved organic matter and biotoxicity.</ns0:t>
        </ns0:is>
      </ns0:c>
      <ns0:c r="C320" s="2" t="inlineStr">
        <ns0:is>
          <ns0:t>10.1016/j.scitotenv.2020.137995</ns0:t>
        </ns0:is>
      </ns0:c>
      <ns0:c r="D320" s="2" t="inlineStr">
        <ns0:is>
          <ns0:t>supplementary</ns0:t>
        </ns0:is>
      </ns0:c>
      <ns0:c r="E320" s="2" t="inlineStr"/>
      <ns0:c r="F320" s="2" t="inlineStr">
        <ns0:is>
          <ns0:t>supplementary.docx</ns0:t>
        </ns0:is>
      </ns0:c>
      <ns0:c r="G320" s="2" t="inlineStr">
        <ns0:is>
          <ns0:t>original_files/R13881/supplementary/supplementary__6fabdf1b018b5279.docx</ns0:t>
        </ns0:is>
      </ns0:c>
      <ns0:c r="H320" s="2" t="inlineStr">
        <ns0:is>
          <ns0:t>local_upload</ns0:t>
        </ns0:is>
      </ns0:c>
      <ns0:c r="I320" s="2" t="inlineStr">
        <ns0:is>
          <ns0:t>localdownload/R13881/supplementary.docx</ns0:t>
        </ns0:is>
      </ns0:c>
      <ns0:c r="J320" s="2" t="n">
        <ns0:v>251984</ns0:v>
      </ns0:c>
      <ns0:c r="K320" s="2" t="inlineStr">
        <ns0:is>
          <ns0:t>6fabdf1b018b5279603d11bd8555e4ec0e812882d71855be2b4ea06f5e482c88</ns0:t>
        </ns0:is>
      </ns0:c>
      <ns0:c r="L320" s="2" t="inlineStr">
        <ns0:is>
          <ns0:t>container_crc_verified</ns0:t>
        </ns0:is>
      </ns0:c>
      <ns0:c r="M320" s="2" t="inlineStr">
        <ns0:is>
          <ns0:t>title_in_attachment_verified</ns0:t>
        </ns0:is>
      </ns0:c>
      <ns0:c r="N320" s="2" t="inlineStr"/>
      <ns0:c r="O320" s="2" t="inlineStr">
        <ns0:is>
          <ns0:t>https://github.com/Colliam-Vermilion/FirstCodex/blob/results/ad-oxygen-literature-20261006/results/ad-oxygen-literature-20261006/original_files/R13881/supplementary/supplementary__6fabdf1b018b5279.docx</ns0:t>
        </ns0:is>
      </ns0:c>
    </ns0:row>
    <ns0:row r="321" ht="48" customHeight="1">
      <ns0:c r="A321" s="3" t="inlineStr">
        <ns0:is>
          <ns0:t>R02386</ns0:t>
        </ns0:is>
      </ns0:c>
      <ns0:c r="B321" s="3" t="inlineStr">
        <ns0:is>
          <ns0:t>Comparison of micro-aerobic and anaerobic fermentative hydrogen production from corn straw</ns0:t>
        </ns0:is>
      </ns0:c>
      <ns0:c r="C321" s="3" t="inlineStr">
        <ns0:is>
          <ns0:t>10.1016/j.ijhydene.2016.01.141</ns0:t>
        </ns0:is>
      </ns0:c>
      <ns0:c r="D321" s="3" t="inlineStr">
        <ns0:is>
          <ns0:t>supplementary</ns0:t>
        </ns0:is>
      </ns0:c>
      <ns0:c r="E321" s="3" t="inlineStr"/>
      <ns0:c r="F321" s="3" t="inlineStr">
        <ns0:is>
          <ns0:t>supplementary.docx</ns0:t>
        </ns0:is>
      </ns0:c>
      <ns0:c r="G321" s="3" t="inlineStr">
        <ns0:is>
          <ns0:t>original_files/R02386/supplementary/supplementary__6feec398919e2f0e.docx</ns0:t>
        </ns0:is>
      </ns0:c>
      <ns0:c r="H321" t="inlineStr">
        <ns0:is>
          <ns0:t>local_upload; main@ab8353c误传副本</ns0:t>
        </ns0:is>
      </ns0:c>
      <ns0:c r="I321" t="inlineStr">
        <ns0:is>
          <ns0:t>localdownload/R02386/supplementary.docx; main@ab8353c:R02386/supplementary.docx</ns0:t>
        </ns0:is>
      </ns0:c>
      <ns0:c r="J321" s="3" t="n">
        <ns0:v>242369</ns0:v>
      </ns0:c>
      <ns0:c r="K321" s="3" t="inlineStr">
        <ns0:is>
          <ns0:t>6feec398919e2f0e621403859b4b99418d73984fb30e44aa350debd0cb91879f</ns0:t>
        </ns0:is>
      </ns0:c>
      <ns0:c r="L321" s="3" t="inlineStr">
        <ns0:is>
          <ns0:t>container_crc_verified</ns0:t>
        </ns0:is>
      </ns0:c>
      <ns0:c r="M321" s="3" t="inlineStr">
        <ns0:is>
          <ns0:t>directory_and_content_consistent_identity_pending</ns0:t>
        </ns0:is>
      </ns0:c>
      <ns0:c r="N321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21" s="3" t="inlineStr">
        <ns0:is>
          <ns0:t>https://github.com/Colliam-Vermilion/FirstCodex/blob/results/ad-oxygen-literature-20261006/results/ad-oxygen-literature-20261006/original_files/R02386/supplementary/supplementary__6feec398919e2f0e.docx</ns0:t>
        </ns0:is>
      </ns0:c>
    </ns0:row>
    <ns0:row r="322" ht="48" customHeight="1">
      <ns0:c r="A322" s="2" t="inlineStr">
        <ns0:is>
          <ns0:t>R13884</ns0:t>
        </ns0:is>
      </ns0:c>
      <ns0:c r="B322" s="2" t="inlineStr">
        <ns0:is>
          <ns0:t>Performance evaluation of methanogenic digester using kitchen waste for validation of optimized hydrolysis conditions for reduction in ammonia accumulation</ns0:t>
        </ns0:is>
      </ns0:c>
      <ns0:c r="C322" s="2" t="inlineStr">
        <ns0:is>
          <ns0:t>10.1016/j.renene.2019.02.023</ns0:t>
        </ns0:is>
      </ns0:c>
      <ns0:c r="D322" s="2" t="inlineStr">
        <ns0:is>
          <ns0:t>supplementary</ns0:t>
        </ns0:is>
      </ns0:c>
      <ns0:c r="E322" s="2" t="inlineStr"/>
      <ns0:c r="F322" s="2" t="inlineStr">
        <ns0:is>
          <ns0:t>supplementary.docx</ns0:t>
        </ns0:is>
      </ns0:c>
      <ns0:c r="G322" s="2" t="inlineStr">
        <ns0:is>
          <ns0:t>original_files/R13884/supplementary/supplementary__6ff25c5becbbfcff.docx</ns0:t>
        </ns0:is>
      </ns0:c>
      <ns0:c r="H322" s="2" t="inlineStr">
        <ns0:is>
          <ns0:t>local_upload</ns0:t>
        </ns0:is>
      </ns0:c>
      <ns0:c r="I322" s="2" t="inlineStr">
        <ns0:is>
          <ns0:t>localdownload/R13884/supplementary.docx</ns0:t>
        </ns0:is>
      </ns0:c>
      <ns0:c r="J322" s="2" t="n">
        <ns0:v>65880</ns0:v>
      </ns0:c>
      <ns0:c r="K322" s="2" t="inlineStr">
        <ns0:is>
          <ns0:t>6ff25c5becbbfcff5822271c56c4693cd24b5b8f808e045bf72cdf9a4e9dfac9</ns0:t>
        </ns0:is>
      </ns0:c>
      <ns0:c r="L322" s="2" t="inlineStr">
        <ns0:is>
          <ns0:t>container_crc_verified</ns0:t>
        </ns0:is>
      </ns0:c>
      <ns0:c r="M322" s="2" t="inlineStr">
        <ns0:is>
          <ns0:t>directory_and_content_consistent_identity_pending</ns0:t>
        </ns0:is>
      </ns0:c>
      <ns0:c r="N322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22" s="2" t="inlineStr">
        <ns0:is>
          <ns0:t>https://github.com/Colliam-Vermilion/FirstCodex/blob/results/ad-oxygen-literature-20261006/results/ad-oxygen-literature-20261006/original_files/R13884/supplementary/supplementary__6ff25c5becbbfcff.docx</ns0:t>
        </ns0:is>
      </ns0:c>
    </ns0:row>
    <ns0:row r="323" ht="48" customHeight="1">
      <ns0:c r="A323" s="3" t="inlineStr">
        <ns0:is>
          <ns0:t>R13966</ns0:t>
        </ns0:is>
      </ns0:c>
      <ns0:c r="B323" s="3" t="inlineStr">
        <ns0:is>
          <ns0:t>Recent Progress on Dry Anaerobic Digestion of Organic Solid Wastes: Achievements and Challenges</ns0:t>
        </ns0:is>
      </ns0:c>
      <ns0:c r="C323" s="3" t="inlineStr">
        <ns0:is>
          <ns0:t>10.2174/1385272819666150119222633</ns0:t>
        </ns0:is>
      </ns0:c>
      <ns0:c r="D323" s="3" t="inlineStr">
        <ns0:is>
          <ns0:t>source_evidence</ns0:t>
        </ns0:is>
      </ns0:c>
      <ns0:c r="E323" s="3" t="inlineStr"/>
      <ns0:c r="F323" s="3" t="inlineStr">
        <ns0:is>
          <ns0:t>publisher_article_page_20261017.html</ns0:t>
        </ns0:is>
      </ns0:c>
      <ns0:c r="G323" s="3" t="inlineStr">
        <ns0:is>
          <ns0:t>original_files/R13966/evidence/source_evidence__70742010b555dec1.html</ns0:t>
        </ns0:is>
      </ns0:c>
      <ns0:c r="H323" s="3" t="inlineStr">
        <ns0:is>
          <ns0:t>cloud_existing</ns0:t>
        </ns0:is>
      </ns0:c>
      <ns0:c r="I323" s="3" t="inlineStr">
        <ns0:is>
          <ns0:t>original_files/source_evidence/R13966/publisher_article_page_20261017.html</ns0:t>
        </ns0:is>
      </ns0:c>
      <ns0:c r="J323" s="3" t="n">
        <ns0:v>147139</ns0:v>
      </ns0:c>
      <ns0:c r="K323" s="3" t="inlineStr">
        <ns0:is>
          <ns0:t>70742010b555dec1cac29c3158d443ce422b6ac1a99b868ee350d6987c845703</ns0:t>
        </ns0:is>
      </ns0:c>
      <ns0:c r="L323" s="3" t="inlineStr">
        <ns0:is>
          <ns0:t>text_readable</ns0:t>
        </ns0:is>
      </ns0:c>
      <ns0:c r="M323" s="3" t="inlineStr"/>
      <ns0:c r="N323" s="3" t="inlineStr"/>
      <ns0:c r="O323" s="3" t="inlineStr">
        <ns0:is>
          <ns0:t>https://github.com/Colliam-Vermilion/FirstCodex/blob/results/ad-oxygen-literature-20261006/results/ad-oxygen-literature-20261006/original_files/R13966/evidence/source_evidence__70742010b555dec1.html</ns0:t>
        </ns0:is>
      </ns0:c>
    </ns0:row>
    <ns0:row r="324" ht="48" customHeight="1">
      <ns0:c r="A324" s="2" t="inlineStr">
        <ns0:is>
          <ns0:t>R10191</ns0:t>
        </ns0:is>
      </ns0:c>
      <ns0:c r="B324" s="2" t="inlineStr">
        <ns0:is>
          <ns0:t>Enhancing Anaerobic Digestion of Food Waste by Combining Carriers and Microaeration: Performance and Potential Mechanisms</ns0:t>
        </ns0:is>
      </ns0:c>
      <ns0:c r="C324" s="2" t="inlineStr">
        <ns0:is>
          <ns0:t>10.1021/acsestengg.4c00298</ns0:t>
        </ns0:is>
      </ns0:c>
      <ns0:c r="D324" s="2" t="inlineStr">
        <ns0:is>
          <ns0:t>supplementary</ns0:t>
        </ns0:is>
      </ns0:c>
      <ns0:c r="E324" s="2" t="inlineStr"/>
      <ns0:c r="F324" s="2" t="inlineStr">
        <ns0:is>
          <ns0:t>supplementary.pdf</ns0:t>
        </ns0:is>
      </ns0:c>
      <ns0:c r="G324" s="2" t="inlineStr">
        <ns0:is>
          <ns0:t>original_files/R10191/supplementary/supplementary__71a64572ac901c1a.pdf</ns0:t>
        </ns0:is>
      </ns0:c>
      <ns0:c r="H324" s="2" t="inlineStr">
        <ns0:is>
          <ns0:t>local_upload</ns0:t>
        </ns0:is>
      </ns0:c>
      <ns0:c r="I324" s="2" t="inlineStr">
        <ns0:is>
          <ns0:t>localdownload/R10191/supplementary.pdf</ns0:t>
        </ns0:is>
      </ns0:c>
      <ns0:c r="J324" s="2" t="n">
        <ns0:v>637990</ns0:v>
      </ns0:c>
      <ns0:c r="K324" s="2" t="inlineStr">
        <ns0:is>
          <ns0:t>71a64572ac901c1a1d0d73244277d51b71b9eff3d85b68325f6763e241d8da24</ns0:t>
        </ns0:is>
      </ns0:c>
      <ns0:c r="L324" s="2" t="inlineStr">
        <ns0:is>
          <ns0:t>pdf_readable_requires_role_review</ns0:t>
        </ns0:is>
      </ns0:c>
      <ns0:c r="M324" s="2" t="inlineStr">
        <ns0:is>
          <ns0:t>title_in_attachment_verified</ns0:t>
        </ns0:is>
      </ns0:c>
      <ns0:c r="N324" s="2" t="inlineStr"/>
      <ns0:c r="O324" s="2" t="inlineStr">
        <ns0:is>
          <ns0:t>https://github.com/Colliam-Vermilion/FirstCodex/blob/results/ad-oxygen-literature-20261006/results/ad-oxygen-literature-20261006/original_files/R10191/supplementary/supplementary__71a64572ac901c1a.pdf</ns0:t>
        </ns0:is>
      </ns0:c>
    </ns0:row>
    <ns0:row r="325" ht="48" customHeight="1">
      <ns0:c r="A325" s="3" t="inlineStr">
        <ns0:is>
          <ns0:t>R13866</ns0:t>
        </ns0:is>
      </ns0:c>
      <ns0:c r="B325" s="3" t="inlineStr">
        <ns0:is>
          <ns0:t>Coupling Iron Sludge Addition and Intermittent Aeration for Achieving Simultaneous Methanogenesis, Feammox, and Denitrification in a Single Reactor Treating Fish Sludge</ns0:t>
        </ns0:is>
      </ns0:c>
      <ns0:c r="C325" s="3" t="inlineStr">
        <ns0:is>
          <ns0:t>10.1021/acs.est.3c03009</ns0:t>
        </ns0:is>
      </ns0:c>
      <ns0:c r="D325" s="3" t="inlineStr">
        <ns0:is>
          <ns0:t>supplementary</ns0:t>
        </ns0:is>
      </ns0:c>
      <ns0:c r="E325" s="3" t="inlineStr"/>
      <ns0:c r="F325" s="3" t="inlineStr">
        <ns0:is>
          <ns0:t>supplementary.pdf</ns0:t>
        </ns0:is>
      </ns0:c>
      <ns0:c r="G325" s="3" t="inlineStr">
        <ns0:is>
          <ns0:t>original_files/R13866/supplementary/supplementary__71bc717ce22b8bf2.pdf</ns0:t>
        </ns0:is>
      </ns0:c>
      <ns0:c r="H325" s="3" t="inlineStr">
        <ns0:is>
          <ns0:t>local_upload</ns0:t>
        </ns0:is>
      </ns0:c>
      <ns0:c r="I325" s="3" t="inlineStr">
        <ns0:is>
          <ns0:t>localdownload/R13866/supplementary.pdf</ns0:t>
        </ns0:is>
      </ns0:c>
      <ns0:c r="J325" s="3" t="n">
        <ns0:v>429730</ns0:v>
      </ns0:c>
      <ns0:c r="K325" s="3" t="inlineStr">
        <ns0:is>
          <ns0:t>71bc717ce22b8bf25c9a5fa6dcf5963be4922b8a49e3152c2cd662df0e284149</ns0:t>
        </ns0:is>
      </ns0:c>
      <ns0:c r="L325" s="3" t="inlineStr">
        <ns0:is>
          <ns0:t>pdf_readable_requires_role_review</ns0:t>
        </ns0:is>
      </ns0:c>
      <ns0:c r="M325" s="3" t="inlineStr">
        <ns0:is>
          <ns0:t>title_in_attachment_verified</ns0:t>
        </ns0:is>
      </ns0:c>
      <ns0:c r="N325" s="3" t="inlineStr"/>
      <ns0:c r="O325" s="3" t="inlineStr">
        <ns0:is>
          <ns0:t>https://github.com/Colliam-Vermilion/FirstCodex/blob/results/ad-oxygen-literature-20261006/results/ad-oxygen-literature-20261006/original_files/R13866/supplementary/supplementary__71bc717ce22b8bf2.pdf</ns0:t>
        </ns0:is>
      </ns0:c>
    </ns0:row>
    <ns0:row r="326" ht="48" customHeight="1">
      <ns0:c r="A326" s="2" t="inlineStr">
        <ns0:is>
          <ns0:t>R09236</ns0:t>
        </ns0:is>
      </ns0:c>
      <ns0:c r="B326" s="2" t="inlineStr">
        <ns0:is>
          <ns0:t>Microbiome Diversity of Anaerobic Digesters Is Enhanced by Microaeration and Low Frequency Sound</ns0:t>
        </ns0:is>
      </ns0:c>
      <ns0:c r="C326" s="2" t="inlineStr">
        <ns0:is>
          <ns0:t>10.3390/microorganisms11092349</ns0:t>
        </ns0:is>
      </ns0:c>
      <ns0:c r="D326" s="2" t="inlineStr">
        <ns0:is>
          <ns0:t>source_evidence</ns0:t>
        </ns0:is>
      </ns0:c>
      <ns0:c r="E326" s="2" t="inlineStr"/>
      <ns0:c r="F326" s="2" t="inlineStr">
        <ns0:is>
          <ns0:t>PMC10535533_fullText.xml</ns0:t>
        </ns0:is>
      </ns0:c>
      <ns0:c r="G326" s="2" t="inlineStr">
        <ns0:is>
          <ns0:t>original_files/R09236/evidence/source_evidence__72064fe9276d8309.xml</ns0:t>
        </ns0:is>
      </ns0:c>
      <ns0:c r="H326" s="2" t="inlineStr">
        <ns0:is>
          <ns0:t>cloud_existing</ns0:t>
        </ns0:is>
      </ns0:c>
      <ns0:c r="I326" s="2" t="inlineStr">
        <ns0:is>
          <ns0:t>original_files/source_evidence/R09236/PMC10535533_fullText.xml</ns0:t>
        </ns0:is>
      </ns0:c>
      <ns0:c r="J326" s="2" t="n">
        <ns0:v>193052</ns0:v>
      </ns0:c>
      <ns0:c r="K326" s="2" t="inlineStr">
        <ns0:is>
          <ns0:t>72064fe9276d830984364e82e4567877578408565c650d856c531204a17ded89</ns0:t>
        </ns0:is>
      </ns0:c>
      <ns0:c r="L326" s="2" t="inlineStr">
        <ns0:is>
          <ns0:t>text_readable</ns0:t>
        </ns0:is>
      </ns0:c>
      <ns0:c r="M326" s="2" t="inlineStr"/>
      <ns0:c r="N326" s="2" t="inlineStr"/>
      <ns0:c r="O326" s="2" t="inlineStr">
        <ns0:is>
          <ns0:t>https://github.com/Colliam-Vermilion/FirstCodex/blob/results/ad-oxygen-literature-20261006/results/ad-oxygen-literature-20261006/original_files/R09236/evidence/source_evidence__72064fe9276d8309.xml</ns0:t>
        </ns0:is>
      </ns0:c>
    </ns0:row>
    <ns0:row r="327" ht="48" customHeight="1">
      <ns0:c r="A327" s="3" t="inlineStr">
        <ns0:is>
          <ns0:t>R13841</ns0:t>
        </ns0:is>
      </ns0:c>
      <ns0:c r="B327" s="3" t="inlineStr">
        <ns0:is>
          <ns0:t>Anaerobic Co-digestion Mill Wastewater—Activated Sludge Effect of Aerobic Pretreatment on the Performance of OMW Anaerobic Digestion</ns0:t>
        </ns0:is>
      </ns0:c>
      <ns0:c r="C327" s="3" t="inlineStr">
        <ns0:is>
          <ns0:t>10.1007/s12649-019-00785-9</ns0:t>
        </ns0:is>
      </ns0:c>
      <ns0:c r="D327" s="3" t="inlineStr">
        <ns0:is>
          <ns0:t>fulltext</ns0:t>
        </ns0:is>
      </ns0:c>
      <ns0:c r="E327" s="3" t="inlineStr">
        <ns0:is>
          <ns0:t>出版版（版式及版权文字）</ns0:t>
        </ns0:is>
      </ns0:c>
      <ns0:c r="F327" s="3" t="inlineStr">
        <ns0:is>
          <ns0:t>fulltext.pdf</ns0:t>
        </ns0:is>
      </ns0:c>
      <ns0:c r="G327" s="3" t="inlineStr">
        <ns0:is>
          <ns0:t>original_files/R13841/fulltext/fulltext__published__722b98d189c9ed13.pdf</ns0:t>
        </ns0:is>
      </ns0:c>
      <ns0:c r="H327" s="3" t="inlineStr">
        <ns0:is>
          <ns0:t>local_upload</ns0:t>
        </ns0:is>
      </ns0:c>
      <ns0:c r="I327" s="3" t="inlineStr">
        <ns0:is>
          <ns0:t>localdownload/R13841/fulltext.pdf</ns0:t>
        </ns0:is>
      </ns0:c>
      <ns0:c r="J327" s="3" t="n">
        <ns0:v>1154412</ns0:v>
      </ns0:c>
      <ns0:c r="K327" s="3" t="inlineStr">
        <ns0:is>
          <ns0:t>722b98d189c9ed13cfb676c6cc2e017fdadc66bb8030de2890545c364a87d156</ns0:t>
        </ns0:is>
      </ns0:c>
      <ns0:c r="L327" s="3" t="inlineStr">
        <ns0:is>
          <ns0:t>identity_and_body_structure_verified</ns0:t>
        </ns0:is>
      </ns0:c>
      <ns0:c r="M327" s="3" t="inlineStr"/>
      <ns0:c r="N327" s="3" t="inlineStr">
        <ns0:is>
          <ns0:t>首页/前两页题名作者或目标DOI核对，全部页面解析及正文结构检查；不据文件名判全文。</ns0:t>
        </ns0:is>
      </ns0:c>
      <ns0:c r="O327" s="3" t="inlineStr">
        <ns0:is>
          <ns0:t>https://github.com/Colliam-Vermilion/FirstCodex/blob/results/ad-oxygen-literature-20261006/results/ad-oxygen-literature-20261006/original_files/R13841/fulltext/fulltext__published__722b98d189c9ed13.pdf</ns0:t>
        </ns0:is>
      </ns0:c>
    </ns0:row>
    <ns0:row r="328" ht="48" customHeight="1">
      <ns0:c r="A328" s="2" t="inlineStr">
        <ns0:is>
          <ns0:t>R13824</ns0:t>
        </ns0:is>
      </ns0:c>
      <ns0:c r="B328" s="2" t="inlineStr">
        <ns0:is>
          <ns0:t>Effect of aerobic pretreatment on anaerobic digestion of olive mill wastewater (OMWW): An ecoefficient treatment</ns0:t>
        </ns0:is>
      </ns0:c>
      <ns0:c r="C328" s="2" t="inlineStr">
        <ns0:is>
          <ns0:t>10.1016/j.fbp.2014.10.005</ns0:t>
        </ns0:is>
      </ns0:c>
      <ns0:c r="D328" s="2" t="inlineStr">
        <ns0:is>
          <ns0:t>fulltext</ns0:t>
        </ns0:is>
      </ns0:c>
      <ns0:c r="E328" s="2" t="inlineStr">
        <ns0:is>
          <ns0:t>出版版（版式及版权文字）</ns0:t>
        </ns0:is>
      </ns0:c>
      <ns0:c r="F328" s="2" t="inlineStr">
        <ns0:is>
          <ns0:t>fulltext.pdf</ns0:t>
        </ns0:is>
      </ns0:c>
      <ns0:c r="G328" s="2" t="inlineStr">
        <ns0:is>
          <ns0:t>original_files/R13824/fulltext/fulltext__published__72585de7b482d9d7.pdf</ns0:t>
        </ns0:is>
      </ns0:c>
      <ns0:c r="H328" s="2" t="inlineStr">
        <ns0:is>
          <ns0:t>local_upload</ns0:t>
        </ns0:is>
      </ns0:c>
      <ns0:c r="I328" s="2" t="inlineStr">
        <ns0:is>
          <ns0:t>localdownload/R13824/fulltext.pdf</ns0:t>
        </ns0:is>
      </ns0:c>
      <ns0:c r="J328" s="2" t="n">
        <ns0:v>900964</ns0:v>
      </ns0:c>
      <ns0:c r="K328" s="2" t="inlineStr">
        <ns0:is>
          <ns0:t>72585de7b482d9d7a297f7f537ea58b498bb2643e13853c8ece9ff4250abe836</ns0:t>
        </ns0:is>
      </ns0:c>
      <ns0:c r="L328" s="2" t="inlineStr">
        <ns0:is>
          <ns0:t>identity_and_body_structure_verified</ns0:t>
        </ns0:is>
      </ns0:c>
      <ns0:c r="M328" s="2" t="inlineStr"/>
      <ns0:c r="N328" s="2" t="inlineStr">
        <ns0:is>
          <ns0:t>首页/前两页题名作者或目标DOI核对，全部页面解析及正文结构检查；不据文件名判全文。</ns0:t>
        </ns0:is>
      </ns0:c>
      <ns0:c r="O328" s="2" t="inlineStr">
        <ns0:is>
          <ns0:t>https://github.com/Colliam-Vermilion/FirstCodex/blob/results/ad-oxygen-literature-20261006/results/ad-oxygen-literature-20261006/original_files/R13824/fulltext/fulltext__published__72585de7b482d9d7.pdf</ns0:t>
        </ns0:is>
      </ns0:c>
    </ns0:row>
    <ns0:row r="329" ht="48" customHeight="1">
      <ns0:c r="A329" s="3" t="inlineStr">
        <ns0:is>
          <ns0:t>R10090</ns0:t>
        </ns0:is>
      </ns0:c>
      <ns0:c r="B329" s="3" t="inlineStr">
        <ns0:is>
          <ns0:t>Effect of nanobubble water on medium chain carboxylic acids production in anaerobic digestion of cow manure</ns0:t>
        </ns0:is>
      </ns0:c>
      <ns0:c r="C329" s="3" t="inlineStr">
        <ns0:is>
          <ns0:t>10.1016/j.wasman.2024.05.029</ns0:t>
        </ns0:is>
      </ns0:c>
      <ns0:c r="D329" s="3" t="inlineStr">
        <ns0:is>
          <ns0:t>fulltext</ns0:t>
        </ns0:is>
      </ns0:c>
      <ns0:c r="E329" s="3" t="inlineStr">
        <ns0:is>
          <ns0:t>出版版（版式及版权文字）</ns0:t>
        </ns0:is>
      </ns0:c>
      <ns0:c r="F329" s="3" t="inlineStr">
        <ns0:is>
          <ns0:t>fulltext.pdf</ns0:t>
        </ns0:is>
      </ns0:c>
      <ns0:c r="G329" s="3" t="inlineStr">
        <ns0:is>
          <ns0:t>original_files/R10090/fulltext/fulltext__published__72924daaab38532d.pdf</ns0:t>
        </ns0:is>
      </ns0:c>
      <ns0:c r="H329" s="3" t="inlineStr">
        <ns0:is>
          <ns0:t>local_upload</ns0:t>
        </ns0:is>
      </ns0:c>
      <ns0:c r="I329" s="3" t="inlineStr">
        <ns0:is>
          <ns0:t>localdownload/R10090/fulltext.pdf</ns0:t>
        </ns0:is>
      </ns0:c>
      <ns0:c r="J329" s="3" t="n">
        <ns0:v>5397599</ns0:v>
      </ns0:c>
      <ns0:c r="K329" s="3" t="inlineStr">
        <ns0:is>
          <ns0:t>72924daaab38532d5e7a6d77d0dc17433ce8e0435a286ead0db2db4045fb151f</ns0:t>
        </ns0:is>
      </ns0:c>
      <ns0:c r="L329" s="3" t="inlineStr">
        <ns0:is>
          <ns0:t>identity_and_body_structure_verified</ns0:t>
        </ns0:is>
      </ns0:c>
      <ns0:c r="M329" s="3" t="inlineStr"/>
      <ns0:c r="N329" s="3" t="inlineStr">
        <ns0:is>
          <ns0:t>首页/前两页题名作者或目标DOI核对，全部页面解析及正文结构检查；不据文件名判全文。</ns0:t>
        </ns0:is>
      </ns0:c>
      <ns0:c r="O329" s="3" t="inlineStr">
        <ns0:is>
          <ns0:t>https://github.com/Colliam-Vermilion/FirstCodex/blob/results/ad-oxygen-literature-20261006/results/ad-oxygen-literature-20261006/original_files/R10090/fulltext/fulltext__published__72924daaab38532d.pdf</ns0:t>
        </ns0:is>
      </ns0:c>
    </ns0:row>
    <ns0:row r="330" ht="48" customHeight="1">
      <ns0:c r="A330" s="2" t="inlineStr">
        <ns0:is>
          <ns0:t>R05542</ns0:t>
        </ns0:is>
      </ns0:c>
      <ns0:c r="B330" s="2" t="inlineStr">
        <ns0:is>
          <ns0:t>Effect of micro-aerobic process on improvement of anaerobic digestion sewage sludge treatment: flow cytometry and ATP assessment</ns0:t>
        </ns0:is>
      </ns0:c>
      <ns0:c r="C330" s="2" t="inlineStr">
        <ns0:is>
          <ns0:t>10.1039/d0ra05540a</ns0:t>
        </ns0:is>
      </ns0:c>
      <ns0:c r="D330" s="2" t="inlineStr">
        <ns0:is>
          <ns0:t>fulltext</ns0:t>
        </ns0:is>
      </ns0:c>
      <ns0:c r="E330" s="2" t="inlineStr">
        <ns0:is>
          <ns0:t>出版版本（原页出版信息）</ns0:t>
        </ns0:is>
      </ns0:c>
      <ns0:c r="F330" s="2" t="inlineStr">
        <ns0:is>
          <ns0:t>R05542_2020_Effect_of_micro-aerobic_process_on_improvement_of_anaerobic_digestion.pdf</ns0:t>
        </ns0:is>
      </ns0:c>
      <ns0:c r="G330" s="2" t="inlineStr">
        <ns0:is>
          <ns0:t>original_files/R05542/fulltext/fulltext__published__735560cdb2769e25.pdf</ns0:t>
        </ns0:is>
      </ns0:c>
      <ns0:c r="H330" s="2" t="inlineStr">
        <ns0:is>
          <ns0:t>cloud_existing</ns0:t>
        </ns0:is>
      </ns0:c>
      <ns0:c r="I330" s="2" t="inlineStr">
        <ns0:is>
          <ns0:t>original_files/fulltext/R05542_2020_Effect_of_micro-aerobic_process_on_improvement_of_anaerobic_digestion.pdf</ns0:t>
        </ns0:is>
      </ns0:c>
      <ns0:c r="J330" s="2" t="n">
        <ns0:v>836053</ns0:v>
      </ns0:c>
      <ns0:c r="K330" s="2" t="inlineStr">
        <ns0:is>
          <ns0:t>735560cdb2769e2517355c073dd51a95ac90b015a5b36f90dcc0dff360ae182b</ns0:t>
        </ns0:is>
      </ns0:c>
      <ns0:c r="L330" s="2" t="inlineStr">
        <ns0:is>
          <ns0:t>identity_and_body_structure_verified</ns0:t>
        </ns0:is>
      </ns0:c>
      <ns0:c r="M330" s="2" t="inlineStr"/>
      <ns0:c r="N330" s="2" t="inlineStr">
        <ns0:is>
          <ns0:t>首页/前两页题名作者或目标DOI核对，全部页面解析及正文结构检查；不据文件名判全文。</ns0:t>
        </ns0:is>
      </ns0:c>
      <ns0:c r="O330" s="2" t="inlineStr">
        <ns0:is>
          <ns0:t>https://github.com/Colliam-Vermilion/FirstCodex/blob/results/ad-oxygen-literature-20261006/results/ad-oxygen-literature-20261006/original_files/R05542/fulltext/fulltext__published__735560cdb2769e25.pdf</ns0:t>
        </ns0:is>
      </ns0:c>
    </ns0:row>
    <ns0:row r="331" ht="48" customHeight="1">
      <ns0:c r="A331" s="3" t="inlineStr">
        <ns0:is>
          <ns0:t>R03575</ns0:t>
        </ns0:is>
      </ns0:c>
      <ns0:c r="B331" s="3" t="inlineStr">
        <ns0:is>
          <ns0:t>The effects of pre-aeration and inoculation on solid-state anaerobic digestion of rice straw</ns0:t>
        </ns0:is>
      </ns0:c>
      <ns0:c r="C331" s="3" t="inlineStr">
        <ns0:is>
          <ns0:t>10.1016/j.biortech.2016.11.104</ns0:t>
        </ns0:is>
      </ns0:c>
      <ns0:c r="D331" s="3" t="inlineStr">
        <ns0:is>
          <ns0:t>fulltext</ns0:t>
        </ns0:is>
      </ns0:c>
      <ns0:c r="E331" s="3" t="inlineStr">
        <ns0:is>
          <ns0:t>出版版（版式及版权文字）</ns0:t>
        </ns0:is>
      </ns0:c>
      <ns0:c r="F331" s="3" t="inlineStr">
        <ns0:is>
          <ns0:t>fulltext.pdf</ns0:t>
        </ns0:is>
      </ns0:c>
      <ns0:c r="G331" s="3" t="inlineStr">
        <ns0:is>
          <ns0:t>original_files/R03575/fulltext/fulltext__published__736bf01b6ba7c6e7.pdf</ns0:t>
        </ns0:is>
      </ns0:c>
      <ns0:c r="H331" t="inlineStr">
        <ns0:is>
          <ns0:t>local_upload; main@ab8353c误传副本</ns0:t>
        </ns0:is>
      </ns0:c>
      <ns0:c r="I331" t="inlineStr">
        <ns0:is>
          <ns0:t>localdownload/R03575/fulltext.pdf; main@ab8353c:R03575/fulltext.pdf</ns0:t>
        </ns0:is>
      </ns0:c>
      <ns0:c r="J331" s="3" t="n">
        <ns0:v>1372046</ns0:v>
      </ns0:c>
      <ns0:c r="K331" s="3" t="inlineStr">
        <ns0:is>
          <ns0:t>736bf01b6ba7c6e7251c68d2c24899da7cf96fca77f1ddb24151133618ed45f5</ns0:t>
        </ns0:is>
      </ns0:c>
      <ns0:c r="L331" s="3" t="inlineStr">
        <ns0:is>
          <ns0:t>identity_and_body_structure_verified</ns0:t>
        </ns0:is>
      </ns0:c>
      <ns0:c r="M331" s="3" t="inlineStr"/>
      <ns0:c r="N331" s="3" t="inlineStr">
        <ns0:is>
          <ns0:t>首页/前两页题名作者或目标DOI核对，全部页面解析及正文结构检查；不据文件名判全文。</ns0:t>
        </ns0:is>
      </ns0:c>
      <ns0:c r="O331" s="3" t="inlineStr">
        <ns0:is>
          <ns0:t>https://github.com/Colliam-Vermilion/FirstCodex/blob/results/ad-oxygen-literature-20261006/results/ad-oxygen-literature-20261006/original_files/R03575/fulltext/fulltext__published__736bf01b6ba7c6e7.pdf</ns0:t>
        </ns0:is>
      </ns0:c>
    </ns0:row>
    <ns0:row r="332" ht="48" customHeight="1">
      <ns0:c r="A332" s="2" t="inlineStr">
        <ns0:is>
          <ns0:t>R03522</ns0:t>
        </ns0:is>
      </ns0:c>
      <ns0:c r="B332" s="2" t="inlineStr">
        <ns0:is>
          <ns0:t>Simple biogas desulfurization by microaeration – Full scale experience</ns0:t>
        </ns0:is>
      </ns0:c>
      <ns0:c r="C332" s="2" t="inlineStr">
        <ns0:is>
          <ns0:t>10.1016/j.anaerobe.2017.01.002</ns0:t>
        </ns0:is>
      </ns0:c>
      <ns0:c r="D332" s="2" t="inlineStr">
        <ns0:is>
          <ns0:t>fulltext</ns0:t>
        </ns0:is>
      </ns0:c>
      <ns0:c r="E332" s="2" t="inlineStr">
        <ns0:is>
          <ns0:t>出版版（版式及版权文字）</ns0:t>
        </ns0:is>
      </ns0:c>
      <ns0:c r="F332" s="2" t="inlineStr">
        <ns0:is>
          <ns0:t>fulltext.pdf</ns0:t>
        </ns0:is>
      </ns0:c>
      <ns0:c r="G332" s="2" t="inlineStr">
        <ns0:is>
          <ns0:t>original_files/R03522/fulltext/fulltext__published__73e8e5aed501f6e5.pdf</ns0:t>
        </ns0:is>
      </ns0:c>
      <ns0:c r="H332" t="inlineStr">
        <ns0:is>
          <ns0:t>local_upload; main@ab8353c误传副本</ns0:t>
        </ns0:is>
      </ns0:c>
      <ns0:c r="I332" t="inlineStr">
        <ns0:is>
          <ns0:t>localdownload/R03522/fulltext.pdf; main@ab8353c:R03522/fulltext.pdf</ns0:t>
        </ns0:is>
      </ns0:c>
      <ns0:c r="J332" s="2" t="n">
        <ns0:v>861423</ns0:v>
      </ns0:c>
      <ns0:c r="K332" s="2" t="inlineStr">
        <ns0:is>
          <ns0:t>73e8e5aed501f6e51c306bb0e9a6208d27f9d0dcd78b08465ec99c1c8bec1c29</ns0:t>
        </ns0:is>
      </ns0:c>
      <ns0:c r="L332" s="2" t="inlineStr">
        <ns0:is>
          <ns0:t>identity_and_body_structure_verified</ns0:t>
        </ns0:is>
      </ns0:c>
      <ns0:c r="M332" s="2" t="inlineStr"/>
      <ns0:c r="N332" s="2" t="inlineStr">
        <ns0:is>
          <ns0:t>首页/前两页题名作者或目标DOI核对，全部页面解析及正文结构检查；不据文件名判全文。</ns0:t>
        </ns0:is>
      </ns0:c>
      <ns0:c r="O332" s="2" t="inlineStr">
        <ns0:is>
          <ns0:t>https://github.com/Colliam-Vermilion/FirstCodex/blob/results/ad-oxygen-literature-20261006/results/ad-oxygen-literature-20261006/original_files/R03522/fulltext/fulltext__published__73e8e5aed501f6e5.pdf</ns0:t>
        </ns0:is>
      </ns0:c>
    </ns0:row>
    <ns0:row r="333" ht="48" customHeight="1">
      <ns0:c r="A333" s="3" t="inlineStr">
        <ns0:is>
          <ns0:t>R13907</ns0:t>
        </ns0:is>
      </ns0:c>
      <ns0:c r="B333" s="3" t="inlineStr">
        <ns0:is>
          <ns0:t>Effect of organic compositions of aerobically pretreated municipal solid waste on non-methane organic compound emissions during anaerobic degradation</ns0:t>
        </ns0:is>
      </ns0:c>
      <ns0:c r="C333" s="3" t="inlineStr">
        <ns0:is>
          <ns0:t>10.1016/j.wasman.2012.01.005</ns0:t>
        </ns0:is>
      </ns0:c>
      <ns0:c r="D333" s="3" t="inlineStr">
        <ns0:is>
          <ns0:t>fulltext</ns0:t>
        </ns0:is>
      </ns0:c>
      <ns0:c r="E333" s="3" t="inlineStr">
        <ns0:is>
          <ns0:t>出版版（版式及版权文字）</ns0:t>
        </ns0:is>
      </ns0:c>
      <ns0:c r="F333" s="3" t="inlineStr">
        <ns0:is>
          <ns0:t>fulltext.pdf</ns0:t>
        </ns0:is>
      </ns0:c>
      <ns0:c r="G333" s="3" t="inlineStr">
        <ns0:is>
          <ns0:t>original_files/R13907/fulltext/fulltext__published__73fabc2a3e301ee0.pdf</ns0:t>
        </ns0:is>
      </ns0:c>
      <ns0:c r="H333" s="3" t="inlineStr">
        <ns0:is>
          <ns0:t>local_upload</ns0:t>
        </ns0:is>
      </ns0:c>
      <ns0:c r="I333" s="3" t="inlineStr">
        <ns0:is>
          <ns0:t>localdownload/R13907/fulltext.pdf</ns0:t>
        </ns0:is>
      </ns0:c>
      <ns0:c r="J333" s="3" t="n">
        <ns0:v>434954</ns0:v>
      </ns0:c>
      <ns0:c r="K333" s="3" t="inlineStr">
        <ns0:is>
          <ns0:t>73fabc2a3e301ee0693c9512ee9327cd0dcfc91fd364c1265d6d52229ec7af29</ns0:t>
        </ns0:is>
      </ns0:c>
      <ns0:c r="L333" s="3" t="inlineStr">
        <ns0:is>
          <ns0:t>identity_and_body_structure_verified</ns0:t>
        </ns0:is>
      </ns0:c>
      <ns0:c r="M333" s="3" t="inlineStr"/>
      <ns0:c r="N333" s="3" t="inlineStr">
        <ns0:is>
          <ns0:t>首页/前两页题名作者或目标DOI核对，全部页面解析及正文结构检查；不据文件名判全文。</ns0:t>
        </ns0:is>
      </ns0:c>
      <ns0:c r="O333" s="3" t="inlineStr">
        <ns0:is>
          <ns0:t>https://github.com/Colliam-Vermilion/FirstCodex/blob/results/ad-oxygen-literature-20261006/results/ad-oxygen-literature-20261006/original_files/R13907/fulltext/fulltext__published__73fabc2a3e301ee0.pdf</ns0:t>
        </ns0:is>
      </ns0:c>
    </ns0:row>
    <ns0:row r="334" ht="48" customHeight="1">
      <ns0:c r="A334" s="2" t="inlineStr">
        <ns0:is>
          <ns0:t>R02946</ns0:t>
        </ns0:is>
      </ns0:c>
      <ns0:c r="B334" s="2" t="inlineStr">
        <ns0:is>
          <ns0:t>Accelerated anaerobic hydrolysis rates under a combination of intermittent aeration and anaerobic conditions</ns0:t>
        </ns0:is>
      </ns0:c>
      <ns0:c r="C334" s="2" t="inlineStr">
        <ns0:is>
          <ns0:t>10.2166/wst.2017.085</ns0:t>
        </ns0:is>
      </ns0:c>
      <ns0:c r="D334" s="2" t="inlineStr">
        <ns0:is>
          <ns0:t>fulltext</ns0:t>
        </ns0:is>
      </ns0:c>
      <ns0:c r="E334" s="2" t="inlineStr">
        <ns0:is>
          <ns0:t>出版版（版式及版权文字）</ns0:t>
        </ns0:is>
      </ns0:c>
      <ns0:c r="F334" s="2" t="inlineStr">
        <ns0:is>
          <ns0:t>fulltext.pdf</ns0:t>
        </ns0:is>
      </ns0:c>
      <ns0:c r="G334" s="2" t="inlineStr">
        <ns0:is>
          <ns0:t>original_files/R02946/fulltext/fulltext__published__7443ff37439e4d1e.pdf</ns0:t>
        </ns0:is>
      </ns0:c>
      <ns0:c r="H334" t="inlineStr">
        <ns0:is>
          <ns0:t>local_upload; main@ab8353c误传副本</ns0:t>
        </ns0:is>
      </ns0:c>
      <ns0:c r="I334" t="inlineStr">
        <ns0:is>
          <ns0:t>localdownload/R02946/fulltext.pdf; main@ab8353c:R02946/fulltext.pdf</ns0:t>
        </ns0:is>
      </ns0:c>
      <ns0:c r="J334" s="2" t="n">
        <ns0:v>455407</ns0:v>
      </ns0:c>
      <ns0:c r="K334" s="2" t="inlineStr">
        <ns0:is>
          <ns0:t>7443ff37439e4d1e143f35f9051dcea1c0b6ad3900b9de29d7d662f0dcc1dfe2</ns0:t>
        </ns0:is>
      </ns0:c>
      <ns0:c r="L334" s="2" t="inlineStr">
        <ns0:is>
          <ns0:t>identity_and_body_structure_verified</ns0:t>
        </ns0:is>
      </ns0:c>
      <ns0:c r="M334" s="2" t="inlineStr"/>
      <ns0:c r="N334" s="2" t="inlineStr">
        <ns0:is>
          <ns0:t>首页/前两页题名作者或目标DOI核对，全部页面解析及正文结构检查；不据文件名判全文。</ns0:t>
        </ns0:is>
      </ns0:c>
      <ns0:c r="O334" s="2" t="inlineStr">
        <ns0:is>
          <ns0:t>https://github.com/Colliam-Vermilion/FirstCodex/blob/results/ad-oxygen-literature-20261006/results/ad-oxygen-literature-20261006/original_files/R02946/fulltext/fulltext__published__7443ff37439e4d1e.pdf</ns0:t>
        </ns0:is>
      </ns0:c>
    </ns0:row>
    <ns0:row r="335" ht="48" customHeight="1">
      <ns0:c r="A335" s="3" t="inlineStr">
        <ns0:is>
          <ns0:t>R13867</ns0:t>
        </ns0:is>
      </ns0:c>
      <ns0:c r="B335" s="3" t="inlineStr">
        <ns0:is>
          <ns0:t>Digester Microaeration: A Comprehensive Full-Scale Case Study</ns0:t>
        </ns0:is>
      </ns0:c>
      <ns0:c r="C335" s="3" t="inlineStr">
        <ns0:is>
          <ns0:t>10.2175/193864718825159749</ns0:t>
        </ns0:is>
      </ns0:c>
      <ns0:c r="D335" s="3" t="inlineStr">
        <ns0:is>
          <ns0:t>source_evidence</ns0:t>
        </ns0:is>
      </ns0:c>
      <ns0:c r="E335" s="3" t="inlineStr"/>
      <ns0:c r="F335" s="3" t="inlineStr">
        <ns0:is>
          <ns0:t>publisher_article_page_20261017.html</ns0:t>
        </ns0:is>
      </ns0:c>
      <ns0:c r="G335" s="3" t="inlineStr">
        <ns0:is>
          <ns0:t>original_files/R13867/evidence/source_evidence__74616c07b3829b7f.html</ns0:t>
        </ns0:is>
      </ns0:c>
      <ns0:c r="H335" s="3" t="inlineStr">
        <ns0:is>
          <ns0:t>cloud_existing</ns0:t>
        </ns0:is>
      </ns0:c>
      <ns0:c r="I335" s="3" t="inlineStr">
        <ns0:is>
          <ns0:t>original_files/source_evidence/R13867/publisher_article_page_20261017.html</ns0:t>
        </ns0:is>
      </ns0:c>
      <ns0:c r="J335" s="3" t="n">
        <ns0:v>346618</ns0:v>
      </ns0:c>
      <ns0:c r="K335" s="3" t="inlineStr">
        <ns0:is>
          <ns0:t>74616c07b3829b7f4cb581135fcb247b068cf04e4f625785bce4826904a049c3</ns0:t>
        </ns0:is>
      </ns0:c>
      <ns0:c r="L335" s="3" t="inlineStr">
        <ns0:is>
          <ns0:t>text_readable</ns0:t>
        </ns0:is>
      </ns0:c>
      <ns0:c r="M335" s="3" t="inlineStr"/>
      <ns0:c r="N335" s="3" t="inlineStr"/>
      <ns0:c r="O335" s="3" t="inlineStr">
        <ns0:is>
          <ns0:t>https://github.com/Colliam-Vermilion/FirstCodex/blob/results/ad-oxygen-literature-20261006/results/ad-oxygen-literature-20261006/original_files/R13867/evidence/source_evidence__74616c07b3829b7f.html</ns0:t>
        </ns0:is>
      </ns0:c>
    </ns0:row>
    <ns0:row r="336" ht="48" customHeight="1">
      <ns0:c r="A336" s="2" t="inlineStr">
        <ns0:is>
          <ns0:t>R13860</ns0:t>
        </ns0:is>
      </ns0:c>
      <ns0:c r="B336" s="2" t="inlineStr">
        <ns0:is>
          <ns0:t>Unveiling the influence of microaeration and sludge recirculation on enhancement of pharmaceutical removal and microbial community change of the novel anaerobic baffled biofilm - membrane bioreactor in treating building wastewater.</ns0:t>
        </ns0:is>
      </ns0:c>
      <ns0:c r="C336" s="2" t="inlineStr">
        <ns0:is>
          <ns0:t>10.1016/j.scitotenv.2024.172420</ns0:t>
        </ns0:is>
      </ns0:c>
      <ns0:c r="D336" s="2" t="inlineStr">
        <ns0:is>
          <ns0:t>supplementary</ns0:t>
        </ns0:is>
      </ns0:c>
      <ns0:c r="E336" s="2" t="inlineStr"/>
      <ns0:c r="F336" s="2" t="inlineStr">
        <ns0:is>
          <ns0:t>supplementary.pdf</ns0:t>
        </ns0:is>
      </ns0:c>
      <ns0:c r="G336" s="2" t="inlineStr">
        <ns0:is>
          <ns0:t>original_files/R13860/supplementary/supplementary__7473e625ba93185b.pdf</ns0:t>
        </ns0:is>
      </ns0:c>
      <ns0:c r="H336" s="2" t="inlineStr">
        <ns0:is>
          <ns0:t>local_upload</ns0:t>
        </ns0:is>
      </ns0:c>
      <ns0:c r="I336" s="2" t="inlineStr">
        <ns0:is>
          <ns0:t>localdownload/R13860/supplementary.pdf</ns0:t>
        </ns0:is>
      </ns0:c>
      <ns0:c r="J336" s="2" t="n">
        <ns0:v>473786</ns0:v>
      </ns0:c>
      <ns0:c r="K336" s="2" t="inlineStr">
        <ns0:is>
          <ns0:t>7473e625ba93185bd93494d803f1de86fd07e43e10546973988ea84b86113f7c</ns0:t>
        </ns0:is>
      </ns0:c>
      <ns0:c r="L336" s="2" t="inlineStr">
        <ns0:is>
          <ns0:t>pdf_readable_requires_role_review</ns0:t>
        </ns0:is>
      </ns0:c>
      <ns0:c r="M336" s="2" t="inlineStr">
        <ns0:is>
          <ns0:t>directory_and_content_consistent_identity_pending</ns0:t>
        </ns0:is>
      </ns0:c>
      <ns0:c r="N336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36" s="2" t="inlineStr">
        <ns0:is>
          <ns0:t>https://github.com/Colliam-Vermilion/FirstCodex/blob/results/ad-oxygen-literature-20261006/results/ad-oxygen-literature-20261006/original_files/R13860/supplementary/supplementary__7473e625ba93185b.pdf</ns0:t>
        </ns0:is>
      </ns0:c>
    </ns0:row>
    <ns0:row r="337" ht="48" customHeight="1">
      <ns0:c r="A337" s="3" t="inlineStr">
        <ns0:is>
          <ns0:t>R11477</ns0:t>
        </ns0:is>
      </ns0:c>
      <ns0:c r="B337" s="3" t="inlineStr">
        <ns0:is>
          <ns0:t>Enhanced heavy metal stability of sludge anaerobic digestion by different dosages of air nanobubble water</ns0:t>
        </ns0:is>
      </ns0:c>
      <ns0:c r="C337" s="3" t="inlineStr">
        <ns0:is>
          <ns0:t>10.1016/j.jwpe.2025.108560</ns0:t>
        </ns0:is>
      </ns0:c>
      <ns0:c r="D337" s="3" t="inlineStr">
        <ns0:is>
          <ns0:t>supplementary</ns0:t>
        </ns0:is>
      </ns0:c>
      <ns0:c r="E337" s="3" t="inlineStr"/>
      <ns0:c r="F337" s="3" t="inlineStr">
        <ns0:is>
          <ns0:t>supplementary.docx</ns0:t>
        </ns0:is>
      </ns0:c>
      <ns0:c r="G337" s="3" t="inlineStr">
        <ns0:is>
          <ns0:t>original_files/R11477/supplementary/supplementary__74f1e74865fbac6c.docx</ns0:t>
        </ns0:is>
      </ns0:c>
      <ns0:c r="H337" s="3" t="inlineStr">
        <ns0:is>
          <ns0:t>local_upload</ns0:t>
        </ns0:is>
      </ns0:c>
      <ns0:c r="I337" s="3" t="inlineStr">
        <ns0:is>
          <ns0:t>localdownload/R11477/supplementary.docx</ns0:t>
        </ns0:is>
      </ns0:c>
      <ns0:c r="J337" s="3" t="n">
        <ns0:v>9685792</ns0:v>
      </ns0:c>
      <ns0:c r="K337" s="3" t="inlineStr">
        <ns0:is>
          <ns0:t>74f1e74865fbac6ceb644a5838c03a150c41e5e41dd3a2aca6576baf0f648dc3</ns0:t>
        </ns0:is>
      </ns0:c>
      <ns0:c r="L337" s="3" t="inlineStr">
        <ns0:is>
          <ns0:t>container_crc_verified</ns0:t>
        </ns0:is>
      </ns0:c>
      <ns0:c r="M337" s="3" t="inlineStr">
        <ns0:is>
          <ns0:t>title_in_attachment_verified</ns0:t>
        </ns0:is>
      </ns0:c>
      <ns0:c r="N337" s="3" t="inlineStr"/>
      <ns0:c r="O337" s="3" t="inlineStr">
        <ns0:is>
          <ns0:t>https://github.com/Colliam-Vermilion/FirstCodex/blob/results/ad-oxygen-literature-20261006/results/ad-oxygen-literature-20261006/original_files/R11477/supplementary/supplementary__74f1e74865fbac6c.docx</ns0:t>
        </ns0:is>
      </ns0:c>
    </ns0:row>
    <ns0:row r="338" ht="48" customHeight="1">
      <ns0:c r="A338" s="2" t="inlineStr">
        <ns0:is>
          <ns0:t>R10372</ns0:t>
        </ns0:is>
      </ns0:c>
      <ns0:c r="B338" s="2" t="inlineStr">
        <ns0:is>
          <ns0:t>Influence of Aeration, Introduction of Probiotics, and Supply of Water on Landfill Gas Production—Study of Models</ns0:t>
        </ns0:is>
      </ns0:c>
      <ns0:c r="C338" s="2" t="inlineStr">
        <ns0:is>
          <ns0:t>10.3390/pr12091859</ns0:t>
        </ns0:is>
      </ns0:c>
      <ns0:c r="D338" s="2" t="inlineStr">
        <ns0:is>
          <ns0:t>fulltext</ns0:t>
        </ns0:is>
      </ns0:c>
      <ns0:c r="E338" s="2" t="inlineStr">
        <ns0:is>
          <ns0:t>出版版本（原页出版信息）</ns0:t>
        </ns0:is>
      </ns0:c>
      <ns0:c r="F338" s="2" t="inlineStr">
        <ns0:is>
          <ns0:t>R10372_2024_Influence_of_Aeration_Introduction_of_Probiotics_and_Supply_of.pdf</ns0:t>
        </ns0:is>
      </ns0:c>
      <ns0:c r="G338" s="2" t="inlineStr">
        <ns0:is>
          <ns0:t>original_files/R10372/fulltext/fulltext__published__750f30a55be12e7a.pdf</ns0:t>
        </ns0:is>
      </ns0:c>
      <ns0:c r="H338" s="2" t="inlineStr">
        <ns0:is>
          <ns0:t>cloud_existing</ns0:t>
        </ns0:is>
      </ns0:c>
      <ns0:c r="I338" s="2" t="inlineStr">
        <ns0:is>
          <ns0:t>original_files/fulltext/R10372_2024_Influence_of_Aeration_Introduction_of_Probiotics_and_Supply_of.pdf</ns0:t>
        </ns0:is>
      </ns0:c>
      <ns0:c r="J338" s="2" t="n">
        <ns0:v>2316842</ns0:v>
      </ns0:c>
      <ns0:c r="K338" s="2" t="inlineStr">
        <ns0:is>
          <ns0:t>750f30a55be12e7a028a6cb5c5cc309fae4a6ef18e8bc09baab8e4ca66c28a63</ns0:t>
        </ns0:is>
      </ns0:c>
      <ns0:c r="L338" s="2" t="inlineStr">
        <ns0:is>
          <ns0:t>identity_and_body_structure_verified</ns0:t>
        </ns0:is>
      </ns0:c>
      <ns0:c r="M338" s="2" t="inlineStr"/>
      <ns0:c r="N338" s="2" t="inlineStr">
        <ns0:is>
          <ns0:t>首页/前两页题名作者或目标DOI核对，全部页面解析及正文结构检查；不据文件名判全文。</ns0:t>
        </ns0:is>
      </ns0:c>
      <ns0:c r="O338" s="2" t="inlineStr">
        <ns0:is>
          <ns0:t>https://github.com/Colliam-Vermilion/FirstCodex/blob/results/ad-oxygen-literature-20261006/results/ad-oxygen-literature-20261006/original_files/R10372/fulltext/fulltext__published__750f30a55be12e7a.pdf</ns0:t>
        </ns0:is>
      </ns0:c>
    </ns0:row>
    <ns0:row r="339" ht="48" customHeight="1">
      <ns0:c r="A339" s="3" t="inlineStr">
        <ns0:is>
          <ns0:t>R06152</ns0:t>
        </ns0:is>
      </ns0:c>
      <ns0:c r="B339" s="3" t="inlineStr">
        <ns0:is>
          <ns0:t>The Influence of Zeolite Addition into Anaerobic Vinasse Treatment Process in Microaerated Batch Reactor</ns0:t>
        </ns0:is>
      </ns0:c>
      <ns0:c r="C339" s="3" t="inlineStr">
        <ns0:is>
          <ns0:t>10.31001/jkireka.v1i1.10</ns0:t>
        </ns0:is>
      </ns0:c>
      <ns0:c r="D339" s="3" t="inlineStr">
        <ns0:is>
          <ns0:t>source_evidence</ns0:t>
        </ns0:is>
      </ns0:c>
      <ns0:c r="E339" s="3" t="inlineStr"/>
      <ns0:c r="F339" s="3" t="inlineStr">
        <ns0:is>
          <ns0:t>publisher_article_page_20261017.html</ns0:t>
        </ns0:is>
      </ns0:c>
      <ns0:c r="G339" s="3" t="inlineStr">
        <ns0:is>
          <ns0:t>original_files/R06152/evidence/source_evidence__75fe4c224ee69ed4.html</ns0:t>
        </ns0:is>
      </ns0:c>
      <ns0:c r="H339" s="3" t="inlineStr">
        <ns0:is>
          <ns0:t>cloud_existing</ns0:t>
        </ns0:is>
      </ns0:c>
      <ns0:c r="I339" s="3" t="inlineStr">
        <ns0:is>
          <ns0:t>original_files/source_evidence/R06152/publisher_article_page_20261017.html</ns0:t>
        </ns0:is>
      </ns0:c>
      <ns0:c r="J339" s="3" t="n">
        <ns0:v>23430</ns0:v>
      </ns0:c>
      <ns0:c r="K339" s="3" t="inlineStr">
        <ns0:is>
          <ns0:t>75fe4c224ee69ed459231826a92bac7fa5c1ef7e111e3dd86ad252e2573c65fe</ns0:t>
        </ns0:is>
      </ns0:c>
      <ns0:c r="L339" s="3" t="inlineStr">
        <ns0:is>
          <ns0:t>text_readable</ns0:t>
        </ns0:is>
      </ns0:c>
      <ns0:c r="M339" s="3" t="inlineStr"/>
      <ns0:c r="N339" s="3" t="inlineStr"/>
      <ns0:c r="O339" s="3" t="inlineStr">
        <ns0:is>
          <ns0:t>https://github.com/Colliam-Vermilion/FirstCodex/blob/results/ad-oxygen-literature-20261006/results/ad-oxygen-literature-20261006/original_files/R06152/evidence/source_evidence__75fe4c224ee69ed4.html</ns0:t>
        </ns0:is>
      </ns0:c>
    </ns0:row>
    <ns0:row r="340" ht="48" customHeight="1">
      <ns0:c r="A340" s="2" t="inlineStr">
        <ns0:is>
          <ns0:t>R07202</ns0:t>
        </ns0:is>
      </ns0:c>
      <ns0:c r="B340" s="2" t="inlineStr">
        <ns0:is>
          <ns0:t>Synergistic association between cytochrome bd-encoded Proteiniphilum and reactive oxygen species (ROS)-scavenging methanogens in microaerobic-anaerobic digestion of lignocellulosic biomass</ns0:t>
        </ns0:is>
      </ns0:c>
      <ns0:c r="C340" s="2" t="inlineStr">
        <ns0:is>
          <ns0:t>10.1016/j.watres.2020.116721</ns0:t>
        </ns0:is>
      </ns0:c>
      <ns0:c r="D340" s="2" t="inlineStr">
        <ns0:is>
          <ns0:t>fulltext</ns0:t>
        </ns0:is>
      </ns0:c>
      <ns0:c r="E340" s="2" t="inlineStr">
        <ns0:is>
          <ns0:t>出版版（版式及版权文字）</ns0:t>
        </ns0:is>
      </ns0:c>
      <ns0:c r="F340" s="2" t="inlineStr">
        <ns0:is>
          <ns0:t>fulltext.pdf</ns0:t>
        </ns0:is>
      </ns0:c>
      <ns0:c r="G340" s="2" t="inlineStr">
        <ns0:is>
          <ns0:t>original_files/R07202/fulltext/fulltext__published__7663ffc3d7b30f70.pdf</ns0:t>
        </ns0:is>
      </ns0:c>
      <ns0:c r="H340" s="2" t="inlineStr">
        <ns0:is>
          <ns0:t>local_upload</ns0:t>
        </ns0:is>
      </ns0:c>
      <ns0:c r="I340" s="2" t="inlineStr">
        <ns0:is>
          <ns0:t>localdownload/R07202/fulltext.pdf</ns0:t>
        </ns0:is>
      </ns0:c>
      <ns0:c r="J340" s="2" t="n">
        <ns0:v>1604556</ns0:v>
      </ns0:c>
      <ns0:c r="K340" s="2" t="inlineStr">
        <ns0:is>
          <ns0:t>7663ffc3d7b30f701edee0fd4bfd7908d2eace9e7365540d6c9402e8b9b9e10a</ns0:t>
        </ns0:is>
      </ns0:c>
      <ns0:c r="L340" s="2" t="inlineStr">
        <ns0:is>
          <ns0:t>identity_and_body_structure_verified</ns0:t>
        </ns0:is>
      </ns0:c>
      <ns0:c r="M340" s="2" t="inlineStr"/>
      <ns0:c r="N340" s="2" t="inlineStr">
        <ns0:is>
          <ns0:t>首页/前两页题名作者或目标DOI核对，全部页面解析及正文结构检查；不据文件名判全文。</ns0:t>
        </ns0:is>
      </ns0:c>
      <ns0:c r="O340" s="2" t="inlineStr">
        <ns0:is>
          <ns0:t>https://github.com/Colliam-Vermilion/FirstCodex/blob/results/ad-oxygen-literature-20261006/results/ad-oxygen-literature-20261006/original_files/R07202/fulltext/fulltext__published__7663ffc3d7b30f70.pdf</ns0:t>
        </ns0:is>
      </ns0:c>
    </ns0:row>
    <ns0:row r="341" ht="48" customHeight="1">
      <ns0:c r="A341" s="3" t="inlineStr">
        <ns0:is>
          <ns0:t>R07952</ns0:t>
        </ns0:is>
      </ns0:c>
      <ns0:c r="B341" s="3" t="inlineStr">
        <ns0:is>
          <ns0:t>Intermittent Microaeration Technology to Enhance the Carbon Source Release of Particulate Organic Matter in Domestic Sewage</ns0:t>
        </ns0:is>
      </ns0:c>
      <ns0:c r="C341" s="3" t="inlineStr">
        <ns0:is>
          <ns0:t>10.3390/w14121876</ns0:t>
        </ns0:is>
      </ns0:c>
      <ns0:c r="D341" s="3" t="inlineStr">
        <ns0:is>
          <ns0:t>source_evidence</ns0:t>
        </ns0:is>
      </ns0:c>
      <ns0:c r="E341" s="3" t="inlineStr"/>
      <ns0:c r="F341" s="3" t="inlineStr">
        <ns0:is>
          <ns0:t>publisher_article_page_20261017.html</ns0:t>
        </ns0:is>
      </ns0:c>
      <ns0:c r="G341" s="3" t="inlineStr">
        <ns0:is>
          <ns0:t>original_files/R07952/evidence/source_evidence__776c8bd1ef6eb2bd.html</ns0:t>
        </ns0:is>
      </ns0:c>
      <ns0:c r="H341" s="3" t="inlineStr">
        <ns0:is>
          <ns0:t>cloud_existing</ns0:t>
        </ns0:is>
      </ns0:c>
      <ns0:c r="I341" s="3" t="inlineStr">
        <ns0:is>
          <ns0:t>original_files/source_evidence/R07952/publisher_article_page_20261017.html</ns0:t>
        </ns0:is>
      </ns0:c>
      <ns0:c r="J341" s="3" t="n">
        <ns0:v>398215</ns0:v>
      </ns0:c>
      <ns0:c r="K341" s="3" t="inlineStr">
        <ns0:is>
          <ns0:t>776c8bd1ef6eb2bd4a4b6fc90449127c05e6bb27e9ae2abc765885ed0a1f4714</ns0:t>
        </ns0:is>
      </ns0:c>
      <ns0:c r="L341" s="3" t="inlineStr">
        <ns0:is>
          <ns0:t>text_readable</ns0:t>
        </ns0:is>
      </ns0:c>
      <ns0:c r="M341" s="3" t="inlineStr"/>
      <ns0:c r="N341" s="3" t="inlineStr"/>
      <ns0:c r="O341" s="3" t="inlineStr">
        <ns0:is>
          <ns0:t>https://github.com/Colliam-Vermilion/FirstCodex/blob/results/ad-oxygen-literature-20261006/results/ad-oxygen-literature-20261006/original_files/R07952/evidence/source_evidence__776c8bd1ef6eb2bd.html</ns0:t>
        </ns0:is>
      </ns0:c>
    </ns0:row>
    <ns0:row r="342" ht="48" customHeight="1">
      <ns0:c r="A342" s="2" t="inlineStr">
        <ns0:is>
          <ns0:t>R13920</ns0:t>
        </ns0:is>
      </ns0:c>
      <ns0:c r="B342" s="2" t="inlineStr">
        <ns0:is>
          <ns0:t>Nanobubbles drive advanced anaerobic treatment of swine wastewater for efficient methane recovery: Performance gains and multi-pathway enhancement</ns0:t>
        </ns0:is>
      </ns0:c>
      <ns0:c r="C342" s="2" t="inlineStr">
        <ns0:is>
          <ns0:t>10.1016/j.biortech.2026.134692</ns0:t>
        </ns0:is>
      </ns0:c>
      <ns0:c r="D342" s="2" t="inlineStr">
        <ns0:is>
          <ns0:t>supplementary</ns0:t>
        </ns0:is>
      </ns0:c>
      <ns0:c r="E342" s="2" t="inlineStr"/>
      <ns0:c r="F342" s="2" t="inlineStr">
        <ns0:is>
          <ns0:t>supplementary.docx</ns0:t>
        </ns0:is>
      </ns0:c>
      <ns0:c r="G342" s="2" t="inlineStr">
        <ns0:is>
          <ns0:t>original_files/R13920/supplementary/supplementary__77980828c3a95751.docx</ns0:t>
        </ns0:is>
      </ns0:c>
      <ns0:c r="H342" s="2" t="inlineStr">
        <ns0:is>
          <ns0:t>local_upload</ns0:t>
        </ns0:is>
      </ns0:c>
      <ns0:c r="I342" s="2" t="inlineStr">
        <ns0:is>
          <ns0:t>localdownload/R13920/supplementary.docx</ns0:t>
        </ns0:is>
      </ns0:c>
      <ns0:c r="J342" s="2" t="n">
        <ns0:v>935741</ns0:v>
      </ns0:c>
      <ns0:c r="K342" s="2" t="inlineStr">
        <ns0:is>
          <ns0:t>77980828c3a9575120a77a2af48a02cff2a2146e84ab3c599ee8670a90f5b6fa</ns0:t>
        </ns0:is>
      </ns0:c>
      <ns0:c r="L342" s="2" t="inlineStr">
        <ns0:is>
          <ns0:t>container_crc_verified</ns0:t>
        </ns0:is>
      </ns0:c>
      <ns0:c r="M342" s="2" t="inlineStr">
        <ns0:is>
          <ns0:t>title_in_attachment_verified</ns0:t>
        </ns0:is>
      </ns0:c>
      <ns0:c r="N342" s="2" t="inlineStr"/>
      <ns0:c r="O342" s="2" t="inlineStr">
        <ns0:is>
          <ns0:t>https://github.com/Colliam-Vermilion/FirstCodex/blob/results/ad-oxygen-literature-20261006/results/ad-oxygen-literature-20261006/original_files/R13920/supplementary/supplementary__77980828c3a95751.docx</ns0:t>
        </ns0:is>
      </ns0:c>
    </ns0:row>
    <ns0:row r="343" ht="48" customHeight="1">
      <ns0:c r="A343" s="3" t="inlineStr">
        <ns0:is>
          <ns0:t>R09236</ns0:t>
        </ns0:is>
      </ns0:c>
      <ns0:c r="B343" s="3" t="inlineStr">
        <ns0:is>
          <ns0:t>Microbiome Diversity of Anaerobic Digesters Is Enhanced by Microaeration and Low Frequency Sound</ns0:t>
        </ns0:is>
      </ns0:c>
      <ns0:c r="C343" s="3" t="inlineStr">
        <ns0:is>
          <ns0:t>10.3390/microorganisms11092349</ns0:t>
        </ns0:is>
      </ns0:c>
      <ns0:c r="D343" s="3" t="inlineStr">
        <ns0:is>
          <ns0:t>fulltext</ns0:t>
        </ns0:is>
      </ns0:c>
      <ns0:c r="E343" s="3" t="inlineStr">
        <ns0:is>
          <ns0:t>出版版本（原页出版信息）</ns0:t>
        </ns0:is>
      </ns0:c>
      <ns0:c r="F343" s="3" t="inlineStr">
        <ns0:is>
          <ns0:t>R09236_2023_Microbiome_Diversity_of_Anaerobic_Digesters_Is_Enhanced_by_Microaeration.pdf</ns0:t>
        </ns0:is>
      </ns0:c>
      <ns0:c r="G343" s="3" t="inlineStr">
        <ns0:is>
          <ns0:t>original_files/R09236/fulltext/fulltext__published__7891c46f856f19ac.pdf</ns0:t>
        </ns0:is>
      </ns0:c>
      <ns0:c r="H343" s="3" t="inlineStr">
        <ns0:is>
          <ns0:t>cloud_existing</ns0:t>
        </ns0:is>
      </ns0:c>
      <ns0:c r="I343" s="3" t="inlineStr">
        <ns0:is>
          <ns0:t>original_files/fulltext/R09236_2023_Microbiome_Diversity_of_Anaerobic_Digesters_Is_Enhanced_by_Microaeration.pdf</ns0:t>
        </ns0:is>
      </ns0:c>
      <ns0:c r="J343" s="3" t="n">
        <ns0:v>1700220</ns0:v>
      </ns0:c>
      <ns0:c r="K343" s="3" t="inlineStr">
        <ns0:is>
          <ns0:t>7891c46f856f19ac1a4243d30689af993f9b11046045a0230b8c6c1c65522eb9</ns0:t>
        </ns0:is>
      </ns0:c>
      <ns0:c r="L343" s="3" t="inlineStr">
        <ns0:is>
          <ns0:t>identity_and_body_structure_verified</ns0:t>
        </ns0:is>
      </ns0:c>
      <ns0:c r="M343" s="3" t="inlineStr"/>
      <ns0:c r="N343" s="3" t="inlineStr">
        <ns0:is>
          <ns0:t>首页/前两页题名作者或目标DOI核对，全部页面解析及正文结构检查；不据文件名判全文。</ns0:t>
        </ns0:is>
      </ns0:c>
      <ns0:c r="O343" s="3" t="inlineStr">
        <ns0:is>
          <ns0:t>https://github.com/Colliam-Vermilion/FirstCodex/blob/results/ad-oxygen-literature-20261006/results/ad-oxygen-literature-20261006/original_files/R09236/fulltext/fulltext__published__7891c46f856f19ac.pdf</ns0:t>
        </ns0:is>
      </ns0:c>
    </ns0:row>
    <ns0:row r="344" ht="48" customHeight="1">
      <ns0:c r="A344" s="2" t="inlineStr">
        <ns0:is>
          <ns0:t>R07455</ns0:t>
        </ns0:is>
      </ns0:c>
      <ns0:c r="B344" s="2" t="inlineStr">
        <ns0:is>
          <ns0:t>Analysis of Biogas Component Production during Anaerobic Digestion of Sour Cabbage in Microaeration Conditions under Different pH Conditions</ns0:t>
        </ns0:is>
      </ns0:c>
      <ns0:c r="C344" s="2" t="inlineStr">
        <ns0:is>
          <ns0:t>10.3390/biomass2010002</ns0:t>
        </ns0:is>
      </ns0:c>
      <ns0:c r="D344" s="2" t="inlineStr">
        <ns0:is>
          <ns0:t>fulltext</ns0:t>
        </ns0:is>
      </ns0:c>
      <ns0:c r="E344" s="2" t="inlineStr">
        <ns0:is>
          <ns0:t>出版版本（原页出版信息）</ns0:t>
        </ns0:is>
      </ns0:c>
      <ns0:c r="F344" s="2" t="inlineStr">
        <ns0:is>
          <ns0:t>R07455_2022_Analysis_of_Biogas_Component_Production_during_Anaerobic_Digestion_of.pdf</ns0:t>
        </ns0:is>
      </ns0:c>
      <ns0:c r="G344" s="2" t="inlineStr">
        <ns0:is>
          <ns0:t>original_files/R07455/fulltext/fulltext__published__789dcf37303b566b.pdf</ns0:t>
        </ns0:is>
      </ns0:c>
      <ns0:c r="H344" s="2" t="inlineStr">
        <ns0:is>
          <ns0:t>cloud_existing</ns0:t>
        </ns0:is>
      </ns0:c>
      <ns0:c r="I344" s="2" t="inlineStr">
        <ns0:is>
          <ns0:t>original_files/fulltext/R07455_2022_Analysis_of_Biogas_Component_Production_during_Anaerobic_Digestion_of.pdf</ns0:t>
        </ns0:is>
      </ns0:c>
      <ns0:c r="J344" s="2" t="n">
        <ns0:v>11272493</ns0:v>
      </ns0:c>
      <ns0:c r="K344" s="2" t="inlineStr">
        <ns0:is>
          <ns0:t>789dcf37303b566b8a55345e94e04ea76e617d87cea956e5b22823e04359b55e</ns0:t>
        </ns0:is>
      </ns0:c>
      <ns0:c r="L344" s="2" t="inlineStr">
        <ns0:is>
          <ns0:t>identity_and_body_structure_verified</ns0:t>
        </ns0:is>
      </ns0:c>
      <ns0:c r="M344" s="2" t="inlineStr"/>
      <ns0:c r="N344" s="2" t="inlineStr">
        <ns0:is>
          <ns0:t>首页/前两页题名作者或目标DOI核对，全部页面解析及正文结构检查；不据文件名判全文。</ns0:t>
        </ns0:is>
      </ns0:c>
      <ns0:c r="O344" s="2" t="inlineStr">
        <ns0:is>
          <ns0:t>https://github.com/Colliam-Vermilion/FirstCodex/blob/results/ad-oxygen-literature-20261006/results/ad-oxygen-literature-20261006/original_files/R07455/fulltext/fulltext__published__789dcf37303b566b.pdf</ns0:t>
        </ns0:is>
      </ns0:c>
    </ns0:row>
    <ns0:row r="345" ht="48" customHeight="1">
      <ns0:c r="A345" s="3" t="inlineStr">
        <ns0:is>
          <ns0:t>R04721</ns0:t>
        </ns0:is>
      </ns0:c>
      <ns0:c r="B345" s="3" t="inlineStr">
        <ns0:is>
          <ns0:t>Effects of Gas Supplying Patterns on Aerobic Anaerobic Biogas Production of Rice Straw</ns0:t>
        </ns0:is>
      </ns0:c>
      <ns0:c r="C345" s="3" t="inlineStr">
        <ns0:is>
          <ns0:t>10.2174/1574893613666180502112425</ns0:t>
        </ns0:is>
      </ns0:c>
      <ns0:c r="D345" s="3" t="inlineStr">
        <ns0:is>
          <ns0:t>uncertain</ns0:t>
        </ns0:is>
      </ns0:c>
      <ns0:c r="E345" s="3" t="inlineStr"/>
      <ns0:c r="F345" s="3" t="inlineStr">
        <ns0:is>
          <ns0:t>R04721_2019_Effects_of_Gas_Supplying_Patterns_on_Aerobic_Anaerobic_Biogas_Production_of_Rice_Straw_78c7e9503d80.pdf; R02863_2016_Transformations_Inhibition_and_Inhibition_Control_Methods_of_Sulfur_in_Sludge_Anaerobic_Digestion_A__78c7e9503d80.pdf</ns0:t>
        </ns0:is>
      </ns0:c>
      <ns0:c r="G345" s="3" t="inlineStr">
        <ns0:is>
          <ns0:t>original_files/R04721/uncertain/uncertain__78c7e9503d806520.pdf</ns0:t>
        </ns0:is>
      </ns0:c>
      <ns0:c r="H345" s="3" t="inlineStr">
        <ns0:is>
          <ns0:t>cloud_existing</ns0:t>
        </ns0:is>
      </ns0:c>
      <ns0:c r="I345" s="3" t="inlineStr">
        <ns0:is>
          <ns0:t>original_files/continuation_20261017/candidates/R04721_2019_Effects_of_Gas_Supplying_Patterns_on_Aerobic_Anaerobic_Biogas_Production_of_Rice_Straw_78c7e9503d80.pdf; original_files/continuation_20261017/candidates/R02863_2016_Transformations_Inhibition_and_Inhibition_Control_Methods_of_Sulfur_in_Sludge_Anaerobic_Digestion_A__78c7e9503d80.pdf</ns0:t>
        </ns0:is>
      </ns0:c>
      <ns0:c r="J345" s="3" t="n">
        <ns0:v>16297575</ns0:v>
      </ns0:c>
      <ns0:c r="K345" s="3" t="inlineStr">
        <ns0:is>
          <ns0:t>78c7e9503d8065200caf38d8df109483aa7df10371b4e01f0c530c4c4a84b043</ns0:t>
        </ns0:is>
      </ns0:c>
      <ns0:c r="L345" s="3" t="inlineStr">
        <ns0:is>
          <ns0:t>historical_candidate_not_target_fulltext</ns0:t>
        </ns0:is>
      </ns0:c>
      <ns0:c r="M345" s="3" t="inlineStr"/>
      <ns0:c r="N345" s="3" t="inlineStr">
        <ns0:is>
          <ns0:t>历史候选抓取物：出版商目录/广告、期刊索引或检索页等，目标身份及正文不成立；原件保留，不计全文或科研补充材料。</ns0:t>
        </ns0:is>
      </ns0:c>
      <ns0:c r="O345" s="3" t="inlineStr">
        <ns0:is>
          <ns0:t>https://github.com/Colliam-Vermilion/FirstCodex/blob/results/ad-oxygen-literature-20261006/results/ad-oxygen-literature-20261006/original_files/R04721/uncertain/uncertain__78c7e9503d806520.pdf</ns0:t>
        </ns0:is>
      </ns0:c>
    </ns0:row>
    <ns0:row r="346" ht="48" customHeight="1">
      <ns0:c r="A346" s="2" t="inlineStr">
        <ns0:is>
          <ns0:t>R03477</ns0:t>
        </ns0:is>
      </ns0:c>
      <ns0:c r="B346" s="2" t="inlineStr">
        <ns0:is>
          <ns0:t>Pretreatment methods of lignocellulosic biomass for anaerobic digestion</ns0:t>
        </ns0:is>
      </ns0:c>
      <ns0:c r="C346" s="2" t="inlineStr">
        <ns0:is>
          <ns0:t>10.1186/s13568-017-0375-4</ns0:t>
        </ns0:is>
      </ns0:c>
      <ns0:c r="D346" s="2" t="inlineStr">
        <ns0:is>
          <ns0:t>fulltext</ns0:t>
        </ns0:is>
      </ns0:c>
      <ns0:c r="E346" s="2" t="inlineStr">
        <ns0:is>
          <ns0:t>出版版本（原页出版信息）</ns0:t>
        </ns0:is>
      </ns0:c>
      <ns0:c r="F346" s="2" t="inlineStr">
        <ns0:is>
          <ns0:t>R03477_2017_Pretreatment_methods_of_lignocellulosic_biomass_for_anaerobic_digestion.pdf</ns0:t>
        </ns0:is>
      </ns0:c>
      <ns0:c r="G346" s="2" t="inlineStr">
        <ns0:is>
          <ns0:t>original_files/R03477/fulltext/fulltext__published__79583f4a64fb2fbb.pdf</ns0:t>
        </ns0:is>
      </ns0:c>
      <ns0:c r="H346" s="2" t="inlineStr">
        <ns0:is>
          <ns0:t>cloud_existing</ns0:t>
        </ns0:is>
      </ns0:c>
      <ns0:c r="I346" s="2" t="inlineStr">
        <ns0:is>
          <ns0:t>original_files/fulltext/R03477_2017_Pretreatment_methods_of_lignocellulosic_biomass_for_anaerobic_digestion.pdf</ns0:t>
        </ns0:is>
      </ns0:c>
      <ns0:c r="J346" s="2" t="n">
        <ns0:v>1714874</ns0:v>
      </ns0:c>
      <ns0:c r="K346" s="2" t="inlineStr">
        <ns0:is>
          <ns0:t>79583f4a64fb2fbb4a1f4f471fe6001b159213acb1f3bbd19d6dc0be5c714fa5</ns0:t>
        </ns0:is>
      </ns0:c>
      <ns0:c r="L346" s="2" t="inlineStr">
        <ns0:is>
          <ns0:t>identity_and_body_structure_verified</ns0:t>
        </ns0:is>
      </ns0:c>
      <ns0:c r="M346" s="2" t="inlineStr"/>
      <ns0:c r="N346" s="2" t="inlineStr">
        <ns0:is>
          <ns0:t>首页/前两页题名作者或目标DOI核对，全部页面解析及正文结构检查；不据文件名判全文。</ns0:t>
        </ns0:is>
      </ns0:c>
      <ns0:c r="O346" s="2" t="inlineStr">
        <ns0:is>
          <ns0:t>https://github.com/Colliam-Vermilion/FirstCodex/blob/results/ad-oxygen-literature-20261006/results/ad-oxygen-literature-20261006/original_files/R03477/fulltext/fulltext__published__79583f4a64fb2fbb.pdf</ns0:t>
        </ns0:is>
      </ns0:c>
    </ns0:row>
    <ns0:row r="347" ht="48" customHeight="1">
      <ns0:c r="A347" s="3" t="inlineStr">
        <ns0:is>
          <ns0:t>R13844</ns0:t>
        </ns0:is>
      </ns0:c>
      <ns0:c r="B347" s="3" t="inlineStr">
        <ns0:is>
          <ns0:t>Influence of Aerobic Pretreatment of Poultry Manure on the Biogas Production Process</ns0:t>
        </ns0:is>
      </ns0:c>
      <ns0:c r="C347" s="3" t="inlineStr">
        <ns0:is>
          <ns0:t>10.3390/pr8091109</ns0:t>
        </ns0:is>
      </ns0:c>
      <ns0:c r="D347" s="3" t="inlineStr">
        <ns0:is>
          <ns0:t>fulltext</ns0:t>
        </ns0:is>
      </ns0:c>
      <ns0:c r="E347" s="3" t="inlineStr">
        <ns0:is>
          <ns0:t>出版版本（原页出版信息）</ns0:t>
        </ns0:is>
      </ns0:c>
      <ns0:c r="F347" s="3" t="inlineStr">
        <ns0:is>
          <ns0:t>R13844_2020_Influence_of_Aerobic_Pretreatment_of_Poultry_Manure_on_the.pdf</ns0:t>
        </ns0:is>
      </ns0:c>
      <ns0:c r="G347" s="3" t="inlineStr">
        <ns0:is>
          <ns0:t>original_files/R13844/fulltext/fulltext__published__7b0ea11b84bfa14d.pdf</ns0:t>
        </ns0:is>
      </ns0:c>
      <ns0:c r="H347" s="3" t="inlineStr">
        <ns0:is>
          <ns0:t>cloud_existing</ns0:t>
        </ns0:is>
      </ns0:c>
      <ns0:c r="I347" s="3" t="inlineStr">
        <ns0:is>
          <ns0:t>original_files/fulltext/R13844_2020_Influence_of_Aerobic_Pretreatment_of_Poultry_Manure_on_the.pdf</ns0:t>
        </ns0:is>
      </ns0:c>
      <ns0:c r="J347" s="3" t="n">
        <ns0:v>859038</ns0:v>
      </ns0:c>
      <ns0:c r="K347" s="3" t="inlineStr">
        <ns0:is>
          <ns0:t>7b0ea11b84bfa14df037e8e4dbe7d1e5db43d485e254371fecb50b966bd05227</ns0:t>
        </ns0:is>
      </ns0:c>
      <ns0:c r="L347" s="3" t="inlineStr">
        <ns0:is>
          <ns0:t>identity_and_body_structure_verified</ns0:t>
        </ns0:is>
      </ns0:c>
      <ns0:c r="M347" s="3" t="inlineStr"/>
      <ns0:c r="N347" s="3" t="inlineStr">
        <ns0:is>
          <ns0:t>首页/前两页题名作者或目标DOI核对，全部页面解析及正文结构检查；不据文件名判全文。</ns0:t>
        </ns0:is>
      </ns0:c>
      <ns0:c r="O347" s="3" t="inlineStr">
        <ns0:is>
          <ns0:t>https://github.com/Colliam-Vermilion/FirstCodex/blob/results/ad-oxygen-literature-20261006/results/ad-oxygen-literature-20261006/original_files/R13844/fulltext/fulltext__published__7b0ea11b84bfa14d.pdf</ns0:t>
        </ns0:is>
      </ns0:c>
    </ns0:row>
    <ns0:row r="348" ht="48" customHeight="1">
      <ns0:c r="A348" s="2" t="inlineStr">
        <ns0:is>
          <ns0:t>R10714</ns0:t>
        </ns0:is>
      </ns0:c>
      <ns0:c r="B348" s="2" t="inlineStr">
        <ns0:is>
          <ns0:t>Process mechanisms of nanobubble technology enhanced hydrolytic acidification of anaerobic digestion of lignocellulosic biomass</ns0:t>
        </ns0:is>
      </ns0:c>
      <ns0:c r="C348" s="2" t="inlineStr">
        <ns0:is>
          <ns0:t>10.1016/j.cej.2023.147956</ns0:t>
        </ns0:is>
      </ns0:c>
      <ns0:c r="D348" s="2" t="inlineStr">
        <ns0:is>
          <ns0:t>fulltext</ns0:t>
        </ns0:is>
      </ns0:c>
      <ns0:c r="E348" s="2" t="inlineStr">
        <ns0:is>
          <ns0:t>作者接受稿（PDF第一页明确Author Accepted Manuscript及正式DOI；不是预印本）</ns0:t>
        </ns0:is>
      </ns0:c>
      <ns0:c r="F348" s="2" t="inlineStr">
        <ns0:is>
          <ns0:t>R10714_2024_Process_mechanisms_of_nanobubble_technology_enhanced_hydrolytic_acidification_of_anaerobic_digestion_7b3047137819.pdf</ns0:t>
        </ns0:is>
      </ns0:c>
      <ns0:c r="G348" s="2" t="inlineStr">
        <ns0:is>
          <ns0:t>original_files/R10714/fulltext/fulltext__accepted__7b30471378196b17.pdf</ns0:t>
        </ns0:is>
      </ns0:c>
      <ns0:c r="H348" s="2" t="inlineStr">
        <ns0:is>
          <ns0:t>cloud_existing</ns0:t>
        </ns0:is>
      </ns0:c>
      <ns0:c r="I348" s="2" t="inlineStr">
        <ns0:is>
          <ns0:t>original_files/fulltext/R10714_2024_Process_mechanisms_of_nanobubble_technology_enhanced_hydrolytic_acidification_of_anaerobic_digestion_7b3047137819.pdf</ns0:t>
        </ns0:is>
      </ns0:c>
      <ns0:c r="J348" s="2" t="n">
        <ns0:v>2742755</ns0:v>
      </ns0:c>
      <ns0:c r="K348" s="2" t="inlineStr">
        <ns0:is>
          <ns0:t>7b30471378196b176413eb1766083913bdd1e51bebec0fb2247d9ea20a061315</ns0:t>
        </ns0:is>
      </ns0:c>
      <ns0:c r="L348" s="2" t="inlineStr">
        <ns0:is>
          <ns0:t>identity_and_body_structure_verified</ns0:t>
        </ns0:is>
      </ns0:c>
      <ns0:c r="M348" s="2" t="inlineStr"/>
      <ns0:c r="N348" s="2" t="inlineStr">
        <ns0:is>
          <ns0:t>首页/前两页题名作者或目标DOI核对，全部页面解析及正文结构检查；不据文件名判全文。</ns0:t>
        </ns0:is>
      </ns0:c>
      <ns0:c r="O348" s="2" t="inlineStr">
        <ns0:is>
          <ns0:t>https://github.com/Colliam-Vermilion/FirstCodex/blob/results/ad-oxygen-literature-20261006/results/ad-oxygen-literature-20261006/original_files/R10714/fulltext/fulltext__accepted__7b30471378196b17.pdf</ns0:t>
        </ns0:is>
      </ns0:c>
    </ns0:row>
    <ns0:row r="349" ht="48" customHeight="1">
      <ns0:c r="A349" s="3" t="inlineStr">
        <ns0:is>
          <ns0:t>R10372</ns0:t>
        </ns0:is>
      </ns0:c>
      <ns0:c r="B349" s="3" t="inlineStr">
        <ns0:is>
          <ns0:t>Influence of Aeration, Introduction of Probiotics, and Supply of Water on Landfill Gas Production—Study of Models</ns0:t>
        </ns0:is>
      </ns0:c>
      <ns0:c r="C349" s="3" t="inlineStr">
        <ns0:is>
          <ns0:t>10.3390/pr12091859</ns0:t>
        </ns0:is>
      </ns0:c>
      <ns0:c r="D349" s="3" t="inlineStr">
        <ns0:is>
          <ns0:t>source_evidence</ns0:t>
        </ns0:is>
      </ns0:c>
      <ns0:c r="E349" s="3" t="inlineStr"/>
      <ns0:c r="F349" s="3" t="inlineStr">
        <ns0:is>
          <ns0:t>publisher_article_page_20261017.html</ns0:t>
        </ns0:is>
      </ns0:c>
      <ns0:c r="G349" s="3" t="inlineStr">
        <ns0:is>
          <ns0:t>original_files/R10372/evidence/source_evidence__7c0f4f65d49854d8.html</ns0:t>
        </ns0:is>
      </ns0:c>
      <ns0:c r="H349" s="3" t="inlineStr">
        <ns0:is>
          <ns0:t>cloud_existing</ns0:t>
        </ns0:is>
      </ns0:c>
      <ns0:c r="I349" s="3" t="inlineStr">
        <ns0:is>
          <ns0:t>original_files/source_evidence/R10372/publisher_article_page_20261017.html</ns0:t>
        </ns0:is>
      </ns0:c>
      <ns0:c r="J349" s="3" t="n">
        <ns0:v>484122</ns0:v>
      </ns0:c>
      <ns0:c r="K349" s="3" t="inlineStr">
        <ns0:is>
          <ns0:t>7c0f4f65d49854d87383db28f8aabcc546dac35a21ccd1ff59bb99caca3d505d</ns0:t>
        </ns0:is>
      </ns0:c>
      <ns0:c r="L349" s="3" t="inlineStr">
        <ns0:is>
          <ns0:t>text_readable</ns0:t>
        </ns0:is>
      </ns0:c>
      <ns0:c r="M349" s="3" t="inlineStr"/>
      <ns0:c r="N349" s="3" t="inlineStr"/>
      <ns0:c r="O349" s="3" t="inlineStr">
        <ns0:is>
          <ns0:t>https://github.com/Colliam-Vermilion/FirstCodex/blob/results/ad-oxygen-literature-20261006/results/ad-oxygen-literature-20261006/original_files/R10372/evidence/source_evidence__7c0f4f65d49854d8.html</ns0:t>
        </ns0:is>
      </ns0:c>
    </ns0:row>
    <ns0:row r="350" ht="48" customHeight="1">
      <ns0:c r="A350" s="2" t="inlineStr">
        <ns0:is>
          <ns0:t>R13671</ns0:t>
        </ns0:is>
      </ns0:c>
      <ns0:c r="B350" s="2" t="inlineStr">
        <ns0:is>
          <ns0:t>Synchronously enhanced methanogenesis performance and reduced antibiotic resistance genes of cattle manure anaerobic digestion by air nanobubble water</ns0:t>
        </ns0:is>
      </ns0:c>
      <ns0:c r="C350" s="2" t="inlineStr">
        <ns0:is>
          <ns0:t>10.1016/j.biortech.2026.134704</ns0:t>
        </ns0:is>
      </ns0:c>
      <ns0:c r="D350" s="2" t="inlineStr">
        <ns0:is>
          <ns0:t>fulltext</ns0:t>
        </ns0:is>
      </ns0:c>
      <ns0:c r="E350" s="2" t="inlineStr">
        <ns0:is>
          <ns0:t>出版版（版式及版权文字）</ns0:t>
        </ns0:is>
      </ns0:c>
      <ns0:c r="F350" s="2" t="inlineStr">
        <ns0:is>
          <ns0:t>fulltext.pdf</ns0:t>
        </ns0:is>
      </ns0:c>
      <ns0:c r="G350" s="2" t="inlineStr">
        <ns0:is>
          <ns0:t>original_files/R13671/fulltext/fulltext__published__7c2c100619417848.pdf</ns0:t>
        </ns0:is>
      </ns0:c>
      <ns0:c r="H350" s="2" t="inlineStr">
        <ns0:is>
          <ns0:t>local_upload</ns0:t>
        </ns0:is>
      </ns0:c>
      <ns0:c r="I350" s="2" t="inlineStr">
        <ns0:is>
          <ns0:t>localdownload/R13671/fulltext.pdf</ns0:t>
        </ns0:is>
      </ns0:c>
      <ns0:c r="J350" s="2" t="n">
        <ns0:v>7924632</ns0:v>
      </ns0:c>
      <ns0:c r="K350" s="2" t="inlineStr">
        <ns0:is>
          <ns0:t>7c2c100619417848e060df7ec2bc9648841de1a50a8da7c1d3be29fde7101d30</ns0:t>
        </ns0:is>
      </ns0:c>
      <ns0:c r="L350" s="2" t="inlineStr">
        <ns0:is>
          <ns0:t>identity_and_body_structure_verified</ns0:t>
        </ns0:is>
      </ns0:c>
      <ns0:c r="M350" s="2" t="inlineStr"/>
      <ns0:c r="N350" s="2" t="inlineStr">
        <ns0:is>
          <ns0:t>首页/前两页题名作者或目标DOI核对，全部页面解析及正文结构检查；不据文件名判全文。</ns0:t>
        </ns0:is>
      </ns0:c>
      <ns0:c r="O350" s="2" t="inlineStr">
        <ns0:is>
          <ns0:t>https://github.com/Colliam-Vermilion/FirstCodex/blob/results/ad-oxygen-literature-20261006/results/ad-oxygen-literature-20261006/original_files/R13671/fulltext/fulltext__published__7c2c100619417848.pdf</ns0:t>
        </ns0:is>
      </ns0:c>
    </ns0:row>
    <ns0:row r="351" ht="48" customHeight="1">
      <ns0:c r="A351" s="3" t="inlineStr">
        <ns0:is>
          <ns0:t>R13281</ns0:t>
        </ns0:is>
      </ns0:c>
      <ns0:c r="B351" s="3" t="inlineStr">
        <ns0:is>
          <ns0:t>Microaeration enhances methane production in anaerobic digestion: A systematic review and meta-analysis</ns0:t>
        </ns0:is>
      </ns0:c>
      <ns0:c r="C351" s="3" t="inlineStr">
        <ns0:is>
          <ns0:t>10.1016/j.biortech.2026.135162</ns0:t>
        </ns0:is>
      </ns0:c>
      <ns0:c r="D351" s="3" t="inlineStr">
        <ns0:is>
          <ns0:t>fulltext</ns0:t>
        </ns0:is>
      </ns0:c>
      <ns0:c r="E351" s="3" t="inlineStr">
        <ns0:is>
          <ns0:t>出版版（版式及版权文字）</ns0:t>
        </ns0:is>
      </ns0:c>
      <ns0:c r="F351" s="3" t="inlineStr">
        <ns0:is>
          <ns0:t>fulltext.pdf</ns0:t>
        </ns0:is>
      </ns0:c>
      <ns0:c r="G351" s="3" t="inlineStr">
        <ns0:is>
          <ns0:t>original_files/R13281/fulltext/fulltext__published__7d4c46b8dde75f08.pdf</ns0:t>
        </ns0:is>
      </ns0:c>
      <ns0:c r="H351" s="3" t="inlineStr">
        <ns0:is>
          <ns0:t>local_upload</ns0:t>
        </ns0:is>
      </ns0:c>
      <ns0:c r="I351" s="3" t="inlineStr">
        <ns0:is>
          <ns0:t>localdownload/R13281/fulltext.pdf</ns0:t>
        </ns0:is>
      </ns0:c>
      <ns0:c r="J351" s="3" t="n">
        <ns0:v>8081312</ns0:v>
      </ns0:c>
      <ns0:c r="K351" s="3" t="inlineStr">
        <ns0:is>
          <ns0:t>7d4c46b8dde75f082f1d085cf2ed35342b6a52af37e632438e76f74c64734c4a</ns0:t>
        </ns0:is>
      </ns0:c>
      <ns0:c r="L351" s="3" t="inlineStr">
        <ns0:is>
          <ns0:t>identity_and_body_structure_verified</ns0:t>
        </ns0:is>
      </ns0:c>
      <ns0:c r="M351" s="3" t="inlineStr"/>
      <ns0:c r="N351" s="3" t="inlineStr">
        <ns0:is>
          <ns0:t>首页/前两页题名作者或目标DOI核对，全部页面解析及正文结构检查；不据文件名判全文。</ns0:t>
        </ns0:is>
      </ns0:c>
      <ns0:c r="O351" s="3" t="inlineStr">
        <ns0:is>
          <ns0:t>https://github.com/Colliam-Vermilion/FirstCodex/blob/results/ad-oxygen-literature-20261006/results/ad-oxygen-literature-20261006/original_files/R13281/fulltext/fulltext__published__7d4c46b8dde75f08.pdf</ns0:t>
        </ns0:is>
      </ns0:c>
    </ns0:row>
    <ns0:row r="352" ht="48" customHeight="1">
      <ns0:c r="A352" s="2" t="inlineStr">
        <ns0:is>
          <ns0:t>R13458</ns0:t>
        </ns0:is>
      </ns0:c>
      <ns0:c r="B352" s="2" t="inlineStr">
        <ns0:is>
          <ns0:t>Optimizing straw anaerobic digestion via nanobubble technology: Insights into hydrolysis, acidogenesis, and methanogenesis processes</ns0:t>
        </ns0:is>
      </ns0:c>
      <ns0:c r="C352" s="2" t="inlineStr">
        <ns0:is>
          <ns0:t>10.1016/j.renene.2025.124351</ns0:t>
        </ns0:is>
      </ns0:c>
      <ns0:c r="D352" s="2" t="inlineStr">
        <ns0:is>
          <ns0:t>fulltext</ns0:t>
        </ns0:is>
      </ns0:c>
      <ns0:c r="E352" s="2" t="inlineStr">
        <ns0:is>
          <ns0:t>出版版（版式及版权文字）</ns0:t>
        </ns0:is>
      </ns0:c>
      <ns0:c r="F352" s="2" t="inlineStr">
        <ns0:is>
          <ns0:t>fulltext.pdf</ns0:t>
        </ns0:is>
      </ns0:c>
      <ns0:c r="G352" s="2" t="inlineStr">
        <ns0:is>
          <ns0:t>original_files/R13458/fulltext/fulltext__published__7d4f74a74e6c0aa2.pdf</ns0:t>
        </ns0:is>
      </ns0:c>
      <ns0:c r="H352" s="2" t="inlineStr">
        <ns0:is>
          <ns0:t>local_upload</ns0:t>
        </ns0:is>
      </ns0:c>
      <ns0:c r="I352" s="2" t="inlineStr">
        <ns0:is>
          <ns0:t>localdownload/R13458/fulltext.pdf</ns0:t>
        </ns0:is>
      </ns0:c>
      <ns0:c r="J352" s="2" t="n">
        <ns0:v>4197439</ns0:v>
      </ns0:c>
      <ns0:c r="K352" s="2" t="inlineStr">
        <ns0:is>
          <ns0:t>7d4f74a74e6c0aa2b637f3f0de9961f2c844415168db39b37d199325cf43e376</ns0:t>
        </ns0:is>
      </ns0:c>
      <ns0:c r="L352" s="2" t="inlineStr">
        <ns0:is>
          <ns0:t>identity_and_body_structure_verified</ns0:t>
        </ns0:is>
      </ns0:c>
      <ns0:c r="M352" s="2" t="inlineStr"/>
      <ns0:c r="N352" s="2" t="inlineStr">
        <ns0:is>
          <ns0:t>首页/前两页题名作者或目标DOI核对，全部页面解析及正文结构检查；不据文件名判全文。</ns0:t>
        </ns0:is>
      </ns0:c>
      <ns0:c r="O352" s="2" t="inlineStr">
        <ns0:is>
          <ns0:t>https://github.com/Colliam-Vermilion/FirstCodex/blob/results/ad-oxygen-literature-20261006/results/ad-oxygen-literature-20261006/original_files/R13458/fulltext/fulltext__published__7d4f74a74e6c0aa2.pdf</ns0:t>
        </ns0:is>
      </ns0:c>
    </ns0:row>
    <ns0:row r="353" ht="48" customHeight="1">
      <ns0:c r="A353" s="3" t="inlineStr">
        <ns0:is>
          <ns0:t>R08646</ns0:t>
        </ns0:is>
      </ns0:c>
      <ns0:c r="B353" s="3" t="inlineStr">
        <ns0:is>
          <ns0:t>Approaches to mitigation of hydrogen sulfide during anaerobic digestion process – A review</ns0:t>
        </ns0:is>
      </ns0:c>
      <ns0:c r="C353" s="3" t="inlineStr">
        <ns0:is>
          <ns0:t>10.1016/j.heliyon.2023.e19768</ns0:t>
        </ns0:is>
      </ns0:c>
      <ns0:c r="D353" s="3" t="inlineStr">
        <ns0:is>
          <ns0:t>fulltext</ns0:t>
        </ns0:is>
      </ns0:c>
      <ns0:c r="E353" s="3" t="inlineStr">
        <ns0:is>
          <ns0:t>出版版本（原页出版信息）</ns0:t>
        </ns0:is>
      </ns0:c>
      <ns0:c r="F353" s="3" t="inlineStr">
        <ns0:is>
          <ns0:t>R08646_2023_Approaches_to_mitigation_of_hydrogen_sulfide_during_anaerobic_digestion.pdf</ns0:t>
        </ns0:is>
      </ns0:c>
      <ns0:c r="G353" s="3" t="inlineStr">
        <ns0:is>
          <ns0:t>original_files/R08646/fulltext/fulltext__published__7df5523334e7d1bb.pdf</ns0:t>
        </ns0:is>
      </ns0:c>
      <ns0:c r="H353" s="3" t="inlineStr">
        <ns0:is>
          <ns0:t>cloud_existing</ns0:t>
        </ns0:is>
      </ns0:c>
      <ns0:c r="I353" s="3" t="inlineStr">
        <ns0:is>
          <ns0:t>original_files/fulltext/R08646_2023_Approaches_to_mitigation_of_hydrogen_sulfide_during_anaerobic_digestion.pdf</ns0:t>
        </ns0:is>
      </ns0:c>
      <ns0:c r="J353" s="3" t="n">
        <ns0:v>3009960</ns0:v>
      </ns0:c>
      <ns0:c r="K353" s="3" t="inlineStr">
        <ns0:is>
          <ns0:t>7df5523334e7d1bb513d2a3deb5b018c0c9b2a3ea9e49b7ff8f09a1fe853cd96</ns0:t>
        </ns0:is>
      </ns0:c>
      <ns0:c r="L353" s="3" t="inlineStr">
        <ns0:is>
          <ns0:t>identity_and_body_structure_verified</ns0:t>
        </ns0:is>
      </ns0:c>
      <ns0:c r="M353" s="3" t="inlineStr"/>
      <ns0:c r="N353" s="3" t="inlineStr">
        <ns0:is>
          <ns0:t>首页/前两页题名作者或目标DOI核对，全部页面解析及正文结构检查；不据文件名判全文。</ns0:t>
        </ns0:is>
      </ns0:c>
      <ns0:c r="O353" s="3" t="inlineStr">
        <ns0:is>
          <ns0:t>https://github.com/Colliam-Vermilion/FirstCodex/blob/results/ad-oxygen-literature-20261006/results/ad-oxygen-literature-20261006/original_files/R08646/fulltext/fulltext__published__7df5523334e7d1bb.pdf</ns0:t>
        </ns0:is>
      </ns0:c>
    </ns0:row>
    <ns0:row r="354" ht="48" customHeight="1">
      <ns0:c r="A354" s="2" t="inlineStr">
        <ns0:is>
          <ns0:t>R13944</ns0:t>
        </ns0:is>
      </ns0:c>
      <ns0:c r="B354" s="2" t="inlineStr">
        <ns0:is>
          <ns0:t>Oxidation-Reduction Potential-Based Micro-Aeration Control System for Anaerobic Digestion.</ns0:t>
        </ns0:is>
      </ns0:c>
      <ns0:c r="C354" s="2" t="inlineStr"/>
      <ns0:c r="D354" s="2" t="inlineStr">
        <ns0:is>
          <ns0:t>fulltext</ns0:t>
        </ns0:is>
      </ns0:c>
      <ns0:c r="E354" s="2" t="inlineStr">
        <ns0:is>
          <ns0:t>学位/学生报告原稿（分章节者按组）</ns0:t>
        </ns0:is>
      </ns0:c>
      <ns0:c r="F354" s="2" t="inlineStr">
        <ns0:is>
          <ns0:t>R13944_2018_Oxidation-Reduction_Potential-Based_Micro-Aeration_Control_System_for_Anaerobic_Digestion.pdf</ns0:t>
        </ns0:is>
      </ns0:c>
      <ns0:c r="G354" s="2" t="inlineStr">
        <ns0:is>
          <ns0:t>original_files/R13944/fulltext/fulltext__thesis__7e22fbfd39ddfed0.pdf</ns0:t>
        </ns0:is>
      </ns0:c>
      <ns0:c r="H354" s="2" t="inlineStr">
        <ns0:is>
          <ns0:t>cloud_existing</ns0:t>
        </ns0:is>
      </ns0:c>
      <ns0:c r="I354" s="2" t="inlineStr">
        <ns0:is>
          <ns0:t>original_files/fulltext/R13944_2018_Oxidation-Reduction_Potential-Based_Micro-Aeration_Control_System_for_Anaerobic_Digestion.pdf</ns0:t>
        </ns0:is>
      </ns0:c>
      <ns0:c r="J354" s="2" t="n">
        <ns0:v>12042699</ns0:v>
      </ns0:c>
      <ns0:c r="K354" s="2" t="inlineStr">
        <ns0:is>
          <ns0:t>7e22fbfd39ddfed09b9235fea5c6914cfbe5987d12564fc9cb799bf412ae6779</ns0:t>
        </ns0:is>
      </ns0:c>
      <ns0:c r="L354" s="2" t="inlineStr">
        <ns0:is>
          <ns0:t>identity_and_body_structure_verified</ns0:t>
        </ns0:is>
      </ns0:c>
      <ns0:c r="M354" s="2" t="inlineStr"/>
      <ns0:c r="N354" s="2" t="inlineStr">
        <ns0:is>
          <ns0:t>首页/前两页题名作者或目标DOI核对，全部页面解析及正文结构检查；不据文件名判全文。</ns0:t>
        </ns0:is>
      </ns0:c>
      <ns0:c r="O354" s="2" t="inlineStr">
        <ns0:is>
          <ns0:t>https://github.com/Colliam-Vermilion/FirstCodex/blob/results/ad-oxygen-literature-20261006/results/ad-oxygen-literature-20261006/original_files/R13944/fulltext/fulltext__thesis__7e22fbfd39ddfed0.pdf</ns0:t>
        </ns0:is>
      </ns0:c>
    </ns0:row>
    <ns0:row r="355" ht="48" customHeight="1">
      <ns0:c r="A355" s="3" t="inlineStr">
        <ns0:is>
          <ns0:t>R13840</ns0:t>
        </ns0:is>
      </ns0:c>
      <ns0:c r="B355" s="3" t="inlineStr">
        <ns0:is>
          <ns0:t>Coupling of membrane-based bubbleless micro-aeration for 2,4-dinitrophenol degradation in a hydrolysis acidification reactor.</ns0:t>
        </ns0:is>
      </ns0:c>
      <ns0:c r="C355" s="3" t="inlineStr">
        <ns0:is>
          <ns0:t>10.1016/j.watres.2022.118119</ns0:t>
        </ns0:is>
      </ns0:c>
      <ns0:c r="D355" s="3" t="inlineStr">
        <ns0:is>
          <ns0:t>supplementary</ns0:t>
        </ns0:is>
      </ns0:c>
      <ns0:c r="E355" s="3" t="inlineStr"/>
      <ns0:c r="F355" s="3" t="inlineStr">
        <ns0:is>
          <ns0:t>supplementary1.docx</ns0:t>
        </ns0:is>
      </ns0:c>
      <ns0:c r="G355" s="3" t="inlineStr">
        <ns0:is>
          <ns0:t>original_files/R13840/supplementary/supplementary__7e3fd186dd704369.docx</ns0:t>
        </ns0:is>
      </ns0:c>
      <ns0:c r="H355" s="3" t="inlineStr">
        <ns0:is>
          <ns0:t>local_upload</ns0:t>
        </ns0:is>
      </ns0:c>
      <ns0:c r="I355" s="3" t="inlineStr">
        <ns0:is>
          <ns0:t>localdownload/R13840/supplementary1.docx</ns0:t>
        </ns0:is>
      </ns0:c>
      <ns0:c r="J355" s="3" t="n">
        <ns0:v>2720781</ns0:v>
      </ns0:c>
      <ns0:c r="K355" s="3" t="inlineStr">
        <ns0:is>
          <ns0:t>7e3fd186dd704369d6d717e50ae76dad9c358954c1bbdff05fd7d041ebce6391</ns0:t>
        </ns0:is>
      </ns0:c>
      <ns0:c r="L355" s="3" t="inlineStr">
        <ns0:is>
          <ns0:t>container_crc_verified</ns0:t>
        </ns0:is>
      </ns0:c>
      <ns0:c r="M355" s="3" t="inlineStr">
        <ns0:is>
          <ns0:t>title_in_attachment_verified</ns0:t>
        </ns0:is>
      </ns0:c>
      <ns0:c r="N355" s="3" t="inlineStr"/>
      <ns0:c r="O355" s="3" t="inlineStr">
        <ns0:is>
          <ns0:t>https://github.com/Colliam-Vermilion/FirstCodex/blob/results/ad-oxygen-literature-20261006/results/ad-oxygen-literature-20261006/original_files/R13840/supplementary/supplementary__7e3fd186dd704369.docx</ns0:t>
        </ns0:is>
      </ns0:c>
    </ns0:row>
    <ns0:row r="356" ht="48" customHeight="1">
      <ns0:c r="A356" s="2" t="inlineStr">
        <ns0:is>
          <ns0:t>R13881</ns0:t>
        </ns0:is>
      </ns0:c>
      <ns0:c r="B356" s="2" t="inlineStr">
        <ns0:is>
          <ns0:t>Investigation of hydrolysis acidification process during anaerobic treatment of coal gasification wastewater (CGW): Evolution of dissolved organic matter and biotoxicity.</ns0:t>
        </ns0:is>
      </ns0:c>
      <ns0:c r="C356" s="2" t="inlineStr">
        <ns0:is>
          <ns0:t>10.1016/j.scitotenv.2020.137995</ns0:t>
        </ns0:is>
      </ns0:c>
      <ns0:c r="D356" s="2" t="inlineStr">
        <ns0:is>
          <ns0:t>fulltext</ns0:t>
        </ns0:is>
      </ns0:c>
      <ns0:c r="E356" s="2" t="inlineStr">
        <ns0:is>
          <ns0:t>出版版（版式及版权文字）</ns0:t>
        </ns0:is>
      </ns0:c>
      <ns0:c r="F356" s="2" t="inlineStr">
        <ns0:is>
          <ns0:t>fulltext.pdf</ns0:t>
        </ns0:is>
      </ns0:c>
      <ns0:c r="G356" s="2" t="inlineStr">
        <ns0:is>
          <ns0:t>original_files/R13881/fulltext/fulltext__published__7e6895c8c38bd638.pdf</ns0:t>
        </ns0:is>
      </ns0:c>
      <ns0:c r="H356" s="2" t="inlineStr">
        <ns0:is>
          <ns0:t>local_upload</ns0:t>
        </ns0:is>
      </ns0:c>
      <ns0:c r="I356" s="2" t="inlineStr">
        <ns0:is>
          <ns0:t>localdownload/R13881/fulltext.pdf</ns0:t>
        </ns0:is>
      </ns0:c>
      <ns0:c r="J356" s="2" t="n">
        <ns0:v>1777796</ns0:v>
      </ns0:c>
      <ns0:c r="K356" s="2" t="inlineStr">
        <ns0:is>
          <ns0:t>7e6895c8c38bd638086e225edd841f9faae5f65c6af3ead09be07fd070a78f2c</ns0:t>
        </ns0:is>
      </ns0:c>
      <ns0:c r="L356" s="2" t="inlineStr">
        <ns0:is>
          <ns0:t>identity_and_body_structure_verified</ns0:t>
        </ns0:is>
      </ns0:c>
      <ns0:c r="M356" s="2" t="inlineStr"/>
      <ns0:c r="N356" s="2" t="inlineStr">
        <ns0:is>
          <ns0:t>首页/前两页题名作者或目标DOI核对，全部页面解析及正文结构检查；不据文件名判全文。</ns0:t>
        </ns0:is>
      </ns0:c>
      <ns0:c r="O356" s="2" t="inlineStr">
        <ns0:is>
          <ns0:t>https://github.com/Colliam-Vermilion/FirstCodex/blob/results/ad-oxygen-literature-20261006/results/ad-oxygen-literature-20261006/original_files/R13881/fulltext/fulltext__published__7e6895c8c38bd638.pdf</ns0:t>
        </ns0:is>
      </ns0:c>
    </ns0:row>
    <ns0:row r="357" ht="48" customHeight="1">
      <ns0:c r="A357" s="3" t="inlineStr">
        <ns0:is>
          <ns0:t>R13919</ns0:t>
        </ns0:is>
      </ns0:c>
      <ns0:c r="B357" s="3" t="inlineStr">
        <ns0:is>
          <ns0:t>Can microaeration boost the biotransformation of parabens in high-rate anaerobic systems?</ns0:t>
        </ns0:is>
      </ns0:c>
      <ns0:c r="C357" s="3" t="inlineStr">
        <ns0:is>
          <ns0:t>10.1016/j.psep.2020.08.014</ns0:t>
        </ns0:is>
      </ns0:c>
      <ns0:c r="D357" s="3" t="inlineStr">
        <ns0:is>
          <ns0:t>fulltext</ns0:t>
        </ns0:is>
      </ns0:c>
      <ns0:c r="E357" s="3" t="inlineStr">
        <ns0:is>
          <ns0:t>出版版（版式及版权文字）</ns0:t>
        </ns0:is>
      </ns0:c>
      <ns0:c r="F357" s="3" t="inlineStr">
        <ns0:is>
          <ns0:t>fulltext.pdf</ns0:t>
        </ns0:is>
      </ns0:c>
      <ns0:c r="G357" s="3" t="inlineStr">
        <ns0:is>
          <ns0:t>original_files/R13919/fulltext/fulltext__published__7e7ef15d3b713401.pdf</ns0:t>
        </ns0:is>
      </ns0:c>
      <ns0:c r="H357" s="3" t="inlineStr">
        <ns0:is>
          <ns0:t>local_upload</ns0:t>
        </ns0:is>
      </ns0:c>
      <ns0:c r="I357" s="3" t="inlineStr">
        <ns0:is>
          <ns0:t>localdownload/R13919/fulltext.pdf</ns0:t>
        </ns0:is>
      </ns0:c>
      <ns0:c r="J357" s="3" t="n">
        <ns0:v>1497766</ns0:v>
      </ns0:c>
      <ns0:c r="K357" s="3" t="inlineStr">
        <ns0:is>
          <ns0:t>7e7ef15d3b7134013fe479fcee8f8dded81e56bc7c7501b39ff79e3f9f346bc6</ns0:t>
        </ns0:is>
      </ns0:c>
      <ns0:c r="L357" s="3" t="inlineStr">
        <ns0:is>
          <ns0:t>identity_and_body_structure_verified</ns0:t>
        </ns0:is>
      </ns0:c>
      <ns0:c r="M357" s="3" t="inlineStr"/>
      <ns0:c r="N357" s="3" t="inlineStr">
        <ns0:is>
          <ns0:t>首页/前两页题名作者或目标DOI核对，全部页面解析及正文结构检查；不据文件名判全文。</ns0:t>
        </ns0:is>
      </ns0:c>
      <ns0:c r="O357" s="3" t="inlineStr">
        <ns0:is>
          <ns0:t>https://github.com/Colliam-Vermilion/FirstCodex/blob/results/ad-oxygen-literature-20261006/results/ad-oxygen-literature-20261006/original_files/R13919/fulltext/fulltext__published__7e7ef15d3b713401.pdf</ns0:t>
        </ns0:is>
      </ns0:c>
    </ns0:row>
    <ns0:row r="358" ht="48" customHeight="1">
      <ns0:c r="A358" s="2" t="inlineStr">
        <ns0:is>
          <ns0:t>R05472</ns0:t>
        </ns0:is>
      </ns0:c>
      <ns0:c r="B358" s="2" t="inlineStr">
        <ns0:is>
          <ns0:t>Comparing Hydrogen Sulfide Removal Efficiency in a Field-Scale Digester Using Microaeration and Iron Filters</ns0:t>
        </ns0:is>
      </ns0:c>
      <ns0:c r="C358" s="2" t="inlineStr">
        <ns0:is>
          <ns0:t>10.3390/en13184793</ns0:t>
        </ns0:is>
      </ns0:c>
      <ns0:c r="D358" s="2" t="inlineStr">
        <ns0:is>
          <ns0:t>source_evidence</ns0:t>
        </ns0:is>
      </ns0:c>
      <ns0:c r="E358" s="2" t="inlineStr"/>
      <ns0:c r="F358" s="2" t="inlineStr">
        <ns0:is>
          <ns0:t>publisher_article_page_20261017.html</ns0:t>
        </ns0:is>
      </ns0:c>
      <ns0:c r="G358" s="2" t="inlineStr">
        <ns0:is>
          <ns0:t>original_files/R05472/evidence/source_evidence__7ec38cff06feed70.html</ns0:t>
        </ns0:is>
      </ns0:c>
      <ns0:c r="H358" s="2" t="inlineStr">
        <ns0:is>
          <ns0:t>cloud_existing</ns0:t>
        </ns0:is>
      </ns0:c>
      <ns0:c r="I358" s="2" t="inlineStr">
        <ns0:is>
          <ns0:t>original_files/source_evidence/R05472/publisher_article_page_20261017.html</ns0:t>
        </ns0:is>
      </ns0:c>
      <ns0:c r="J358" s="2" t="n">
        <ns0:v>477512</ns0:v>
      </ns0:c>
      <ns0:c r="K358" s="2" t="inlineStr">
        <ns0:is>
          <ns0:t>7ec38cff06feed701d8b8a03b656314bd68240d5b179ab423b90a17fdc695026</ns0:t>
        </ns0:is>
      </ns0:c>
      <ns0:c r="L358" s="2" t="inlineStr">
        <ns0:is>
          <ns0:t>text_readable</ns0:t>
        </ns0:is>
      </ns0:c>
      <ns0:c r="M358" s="2" t="inlineStr"/>
      <ns0:c r="N358" s="2" t="inlineStr"/>
      <ns0:c r="O358" s="2" t="inlineStr">
        <ns0:is>
          <ns0:t>https://github.com/Colliam-Vermilion/FirstCodex/blob/results/ad-oxygen-literature-20261006/results/ad-oxygen-literature-20261006/original_files/R05472/evidence/source_evidence__7ec38cff06feed70.html</ns0:t>
        </ns0:is>
      </ns0:c>
    </ns0:row>
    <ns0:row r="359" ht="48" customHeight="1">
      <ns0:c r="A359" s="3" t="inlineStr">
        <ns0:is>
          <ns0:t>R10191</ns0:t>
        </ns0:is>
      </ns0:c>
      <ns0:c r="B359" s="3" t="inlineStr">
        <ns0:is>
          <ns0:t>Enhancing Anaerobic Digestion of Food Waste by Combining Carriers and Microaeration: Performance and Potential Mechanisms</ns0:t>
        </ns0:is>
      </ns0:c>
      <ns0:c r="C359" s="3" t="inlineStr">
        <ns0:is>
          <ns0:t>10.1021/acsestengg.4c00298</ns0:t>
        </ns0:is>
      </ns0:c>
      <ns0:c r="D359" s="3" t="inlineStr">
        <ns0:is>
          <ns0:t>supplementary</ns0:t>
        </ns0:is>
      </ns0:c>
      <ns0:c r="E359" s="3" t="inlineStr"/>
      <ns0:c r="F359" s="3" t="inlineStr">
        <ns0:is>
          <ns0:t>supplementary.xlsx</ns0:t>
        </ns0:is>
      </ns0:c>
      <ns0:c r="G359" s="3" t="inlineStr">
        <ns0:is>
          <ns0:t>original_files/R10191/supplementary/supplementary__7f5add489e7e2f53.xlsx</ns0:t>
        </ns0:is>
      </ns0:c>
      <ns0:c r="H359" s="3" t="inlineStr">
        <ns0:is>
          <ns0:t>local_upload</ns0:t>
        </ns0:is>
      </ns0:c>
      <ns0:c r="I359" s="3" t="inlineStr">
        <ns0:is>
          <ns0:t>localdownload/R10191/supplementary.xlsx</ns0:t>
        </ns0:is>
      </ns0:c>
      <ns0:c r="J359" s="3" t="n">
        <ns0:v>247590</ns0:v>
      </ns0:c>
      <ns0:c r="K359" s="3" t="inlineStr">
        <ns0:is>
          <ns0:t>7f5add489e7e2f53913048e260003ac82e2b5e7f23448ff6d5e7e41b6d4d1127</ns0:t>
        </ns0:is>
      </ns0:c>
      <ns0:c r="L359" s="3" t="inlineStr">
        <ns0:is>
          <ns0:t>xlsx_open_and_zip_crc_verified</ns0:t>
        </ns0:is>
      </ns0:c>
      <ns0:c r="M359" s="3" t="inlineStr">
        <ns0:is>
          <ns0:t>directory_and_content_consistent_identity_pending</ns0:t>
        </ns0:is>
      </ns0:c>
      <ns0:c r="N359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59" s="3" t="inlineStr">
        <ns0:is>
          <ns0:t>https://github.com/Colliam-Vermilion/FirstCodex/blob/results/ad-oxygen-literature-20261006/results/ad-oxygen-literature-20261006/original_files/R10191/supplementary/supplementary__7f5add489e7e2f53.xlsx</ns0:t>
        </ns0:is>
      </ns0:c>
    </ns0:row>
    <ns0:row r="360" ht="48" customHeight="1">
      <ns0:c r="A360" s="2" t="inlineStr">
        <ns0:is>
          <ns0:t>R12953</ns0:t>
        </ns0:is>
      </ns0:c>
      <ns0:c r="B360" s="2" t="inlineStr">
        <ns0:is>
          <ns0:t>Enhancing anaerobic digestion of sulfate-containing organic wastewater through an innovative integration of nitrate addition and microaeration</ns0:t>
        </ns0:is>
      </ns0:c>
      <ns0:c r="C360" s="2" t="inlineStr">
        <ns0:is>
          <ns0:t>10.1016/j.jclepro.2026.147650</ns0:t>
        </ns0:is>
      </ns0:c>
      <ns0:c r="D360" s="2" t="inlineStr">
        <ns0:is>
          <ns0:t>supplementary</ns0:t>
        </ns0:is>
      </ns0:c>
      <ns0:c r="E360" s="2" t="inlineStr"/>
      <ns0:c r="F360" s="2" t="inlineStr">
        <ns0:is>
          <ns0:t>supplementary.docx</ns0:t>
        </ns0:is>
      </ns0:c>
      <ns0:c r="G360" s="2" t="inlineStr">
        <ns0:is>
          <ns0:t>original_files/R12953/supplementary/supplementary__805c1220c91fcff9.docx</ns0:t>
        </ns0:is>
      </ns0:c>
      <ns0:c r="H360" s="2" t="inlineStr">
        <ns0:is>
          <ns0:t>local_upload</ns0:t>
        </ns0:is>
      </ns0:c>
      <ns0:c r="I360" s="2" t="inlineStr">
        <ns0:is>
          <ns0:t>localdownload/R12953/supplementary.docx</ns0:t>
        </ns0:is>
      </ns0:c>
      <ns0:c r="J360" s="2" t="n">
        <ns0:v>1198208</ns0:v>
      </ns0:c>
      <ns0:c r="K360" s="2" t="inlineStr">
        <ns0:is>
          <ns0:t>805c1220c91fcff924d1a0fc9d5f29748dcb91405f73a798a517ea235fd1e2a9</ns0:t>
        </ns0:is>
      </ns0:c>
      <ns0:c r="L360" s="2" t="inlineStr">
        <ns0:is>
          <ns0:t>container_crc_verified</ns0:t>
        </ns0:is>
      </ns0:c>
      <ns0:c r="M360" s="2" t="inlineStr">
        <ns0:is>
          <ns0:t>directory_and_content_consistent_identity_pending</ns0:t>
        </ns0:is>
      </ns0:c>
      <ns0:c r="N360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60" s="2" t="inlineStr">
        <ns0:is>
          <ns0:t>https://github.com/Colliam-Vermilion/FirstCodex/blob/results/ad-oxygen-literature-20261006/results/ad-oxygen-literature-20261006/original_files/R12953/supplementary/supplementary__805c1220c91fcff9.docx</ns0:t>
        </ns0:is>
      </ns0:c>
    </ns0:row>
    <ns0:row r="361" ht="48" customHeight="1">
      <ns0:c r="A361" s="3" t="inlineStr">
        <ns0:is>
          <ns0:t>R13837</ns0:t>
        </ns0:is>
      </ns0:c>
      <ns0:c r="B361" s="3" t="inlineStr">
        <ns0:is>
          <ns0:t>Redox mediator, microaeration, and nitrate addition as engineering approaches to enhance the biotransformation of antibiotics in anaerobic reactors.</ns0:t>
        </ns0:is>
      </ns0:c>
      <ns0:c r="C361" s="3" t="inlineStr">
        <ns0:is>
          <ns0:t>10.1016/j.jhazmat.2020.123932</ns0:t>
        </ns0:is>
      </ns0:c>
      <ns0:c r="D361" s="3" t="inlineStr">
        <ns0:is>
          <ns0:t>fulltext</ns0:t>
        </ns0:is>
      </ns0:c>
      <ns0:c r="E361" s="3" t="inlineStr">
        <ns0:is>
          <ns0:t>出版版（版式及版权文字）</ns0:t>
        </ns0:is>
      </ns0:c>
      <ns0:c r="F361" s="3" t="inlineStr">
        <ns0:is>
          <ns0:t>fulltext.pdf</ns0:t>
        </ns0:is>
      </ns0:c>
      <ns0:c r="G361" s="3" t="inlineStr">
        <ns0:is>
          <ns0:t>original_files/R13837/fulltext/fulltext__published__81f9a1dcf3b5bebe.pdf</ns0:t>
        </ns0:is>
      </ns0:c>
      <ns0:c r="H361" s="3" t="inlineStr">
        <ns0:is>
          <ns0:t>local_upload</ns0:t>
        </ns0:is>
      </ns0:c>
      <ns0:c r="I361" s="3" t="inlineStr">
        <ns0:is>
          <ns0:t>localdownload/R13837/fulltext.pdf</ns0:t>
        </ns0:is>
      </ns0:c>
      <ns0:c r="J361" s="3" t="n">
        <ns0:v>947814</ns0:v>
      </ns0:c>
      <ns0:c r="K361" s="3" t="inlineStr">
        <ns0:is>
          <ns0:t>81f9a1dcf3b5bebe22cf525c96aa31c42f2f2043695d15c97917be5d24d163df</ns0:t>
        </ns0:is>
      </ns0:c>
      <ns0:c r="L361" s="3" t="inlineStr">
        <ns0:is>
          <ns0:t>identity_and_body_structure_verified</ns0:t>
        </ns0:is>
      </ns0:c>
      <ns0:c r="M361" s="3" t="inlineStr"/>
      <ns0:c r="N361" s="3" t="inlineStr">
        <ns0:is>
          <ns0:t>首页/前两页题名作者或目标DOI核对，全部页面解析及正文结构检查；不据文件名判全文。</ns0:t>
        </ns0:is>
      </ns0:c>
      <ns0:c r="O361" s="3" t="inlineStr">
        <ns0:is>
          <ns0:t>https://github.com/Colliam-Vermilion/FirstCodex/blob/results/ad-oxygen-literature-20261006/results/ad-oxygen-literature-20261006/original_files/R13837/fulltext/fulltext__published__81f9a1dcf3b5bebe.pdf</ns0:t>
        </ns0:is>
      </ns0:c>
    </ns0:row>
    <ns0:row r="362" ht="48" customHeight="1">
      <ns0:c r="A362" s="2" t="inlineStr">
        <ns0:is>
          <ns0:t>R13969</ns0:t>
        </ns0:is>
      </ns0:c>
      <ns0:c r="B362" s="2" t="inlineStr">
        <ns0:is>
          <ns0:t>Effects of microaeration on hydrogen and methane production from cassava wastewater using a two-stage UASB system</ns0:t>
        </ns0:is>
      </ns0:c>
      <ns0:c r="C362" s="2" t="inlineStr">
        <ns0:is>
          <ns0:t>10.58837/chula.the.2015.1953</ns0:t>
        </ns0:is>
      </ns0:c>
      <ns0:c r="D362" s="2" t="inlineStr">
        <ns0:is>
          <ns0:t>fulltext</ns0:t>
        </ns0:is>
      </ns0:c>
      <ns0:c r="E362" s="2" t="inlineStr">
        <ns0:is>
          <ns0:t>学位/学生报告原稿（分章节者按组）</ns0:t>
        </ns0:is>
      </ns0:c>
      <ns0:c r="F362" s="2" t="inlineStr">
        <ns0:is>
          <ns0:t>R13969_Pairin_tu_front_p.pdf</ns0:t>
        </ns0:is>
      </ns0:c>
      <ns0:c r="G362" s="2" t="inlineStr">
        <ns0:is>
          <ns0:t>original_files/R13969/fulltext/fulltext__thesis__82240174e4cc091f.pdf</ns0:t>
        </ns0:is>
      </ns0:c>
      <ns0:c r="H362" s="2" t="inlineStr">
        <ns0:is>
          <ns0:t>cloud_existing</ns0:t>
        </ns0:is>
      </ns0:c>
      <ns0:c r="I362" s="2" t="inlineStr">
        <ns0:is>
          <ns0:t>original_files/fulltext/R13969_Pairin_tu_front_p.pdf</ns0:t>
        </ns0:is>
      </ns0:c>
      <ns0:c r="J362" s="2" t="n">
        <ns0:v>1130768</ns0:v>
      </ns0:c>
      <ns0:c r="K362" s="2" t="inlineStr">
        <ns0:is>
          <ns0:t>82240174e4cc091f5f38a7251df829ad9fe6d768ac10914b2cfd27bb6ae8ebc1</ns0:t>
        </ns0:is>
      </ns0:c>
      <ns0:c r="L362" s="2" t="inlineStr">
        <ns0:is>
          <ns0:t>complete_multipart_thesis_group_verified</ns0:t>
        </ns0:is>
      </ns0:c>
      <ns0:c r="M362" s="2" t="inlineStr"/>
      <ns0:c r="N362" s="2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362" s="2" t="inlineStr">
        <ns0:is>
          <ns0:t>https://github.com/Colliam-Vermilion/FirstCodex/blob/results/ad-oxygen-literature-20261006/results/ad-oxygen-literature-20261006/original_files/R13969/fulltext/fulltext__thesis__82240174e4cc091f.pdf</ns0:t>
        </ns0:is>
      </ns0:c>
    </ns0:row>
    <ns0:row r="363" ht="48" customHeight="1">
      <ns0:c r="A363" s="3" t="inlineStr">
        <ns0:is>
          <ns0:t>R13955</ns0:t>
        </ns0:is>
      </ns0:c>
      <ns0:c r="B363" s="3" t="inlineStr">
        <ns0:is>
          <ns0:t>Biogas Production from Lignocellulosic Biomass : Impact of pre-treatment, co-digestion, harvest time and inoculation</ns0:t>
        </ns0:is>
      </ns0:c>
      <ns0:c r="C363" s="3" t="inlineStr"/>
      <ns0:c r="D363" s="3" t="inlineStr">
        <ns0:is>
          <ns0:t>fulltext</ns0:t>
        </ns0:is>
      </ns0:c>
      <ns0:c r="E363" s="3" t="inlineStr">
        <ns0:is>
          <ns0:t>学位/学生报告原稿（分章节者按组）</ns0:t>
        </ns0:is>
      </ns0:c>
      <ns0:c r="F363" s="3" t="inlineStr">
        <ns0:is>
          <ns0:t>R13955_2017_Biogas_Production_from_Lignocellulosic_Biomass_Impact_of_pre-treatment_co-digestion_7549e1025985.pdf</ns0:t>
        </ns0:is>
      </ns0:c>
      <ns0:c r="G363" s="3" t="inlineStr">
        <ns0:is>
          <ns0:t>original_files/R13955/fulltext/fulltext__thesis__82d3dd4c7af3e63a.pdf</ns0:t>
        </ns0:is>
      </ns0:c>
      <ns0:c r="H363" s="3" t="inlineStr">
        <ns0:is>
          <ns0:t>cloud_existing</ns0:t>
        </ns0:is>
      </ns0:c>
      <ns0:c r="I363" s="3" t="inlineStr">
        <ns0:is>
          <ns0:t>original_files/fulltext/R13955_2017_Biogas_Production_from_Lignocellulosic_Biomass_Impact_of_pre-treatment_co-digestion_7549e1025985.pdf</ns0:t>
        </ns0:is>
      </ns0:c>
      <ns0:c r="J363" s="3" t="n">
        <ns0:v>14662119</ns0:v>
      </ns0:c>
      <ns0:c r="K363" s="3" t="inlineStr">
        <ns0:is>
          <ns0:t>82d3dd4c7af3e63a708ab83da8c0b4011affe749fea236491c93f91ec4cd59c9</ns0:t>
        </ns0:is>
      </ns0:c>
      <ns0:c r="L363" s="3" t="inlineStr">
        <ns0:is>
          <ns0:t>identity_and_body_structure_verified</ns0:t>
        </ns0:is>
      </ns0:c>
      <ns0:c r="M363" s="3" t="inlineStr"/>
      <ns0:c r="N363" s="3" t="inlineStr">
        <ns0:is>
          <ns0:t>首页/前两页题名作者或目标DOI核对，全部页面解析及正文结构检查；不据文件名判全文。</ns0:t>
        </ns0:is>
      </ns0:c>
      <ns0:c r="O363" s="3" t="inlineStr">
        <ns0:is>
          <ns0:t>https://github.com/Colliam-Vermilion/FirstCodex/blob/results/ad-oxygen-literature-20261006/results/ad-oxygen-literature-20261006/original_files/R13955/fulltext/fulltext__thesis__82d3dd4c7af3e63a.pdf</ns0:t>
        </ns0:is>
      </ns0:c>
    </ns0:row>
    <ns0:row r="364" ht="48" customHeight="1">
      <ns0:c r="A364" s="2" t="inlineStr">
        <ns0:is>
          <ns0:t>R11477</ns0:t>
        </ns0:is>
      </ns0:c>
      <ns0:c r="B364" s="2" t="inlineStr">
        <ns0:is>
          <ns0:t>Enhanced heavy metal stability of sludge anaerobic digestion by different dosages of air nanobubble water</ns0:t>
        </ns0:is>
      </ns0:c>
      <ns0:c r="C364" s="2" t="inlineStr">
        <ns0:is>
          <ns0:t>10.1016/j.jwpe.2025.108560</ns0:t>
        </ns0:is>
      </ns0:c>
      <ns0:c r="D364" s="2" t="inlineStr">
        <ns0:is>
          <ns0:t>fulltext</ns0:t>
        </ns0:is>
      </ns0:c>
      <ns0:c r="E364" s="2" t="inlineStr">
        <ns0:is>
          <ns0:t>出版版（版式及版权文字）</ns0:t>
        </ns0:is>
      </ns0:c>
      <ns0:c r="F364" s="2" t="inlineStr">
        <ns0:is>
          <ns0:t>fulltext.pdf</ns0:t>
        </ns0:is>
      </ns0:c>
      <ns0:c r="G364" s="2" t="inlineStr">
        <ns0:is>
          <ns0:t>original_files/R11477/fulltext/fulltext__published__82d44b08bac57b2b.pdf</ns0:t>
        </ns0:is>
      </ns0:c>
      <ns0:c r="H364" s="2" t="inlineStr">
        <ns0:is>
          <ns0:t>local_upload</ns0:t>
        </ns0:is>
      </ns0:c>
      <ns0:c r="I364" s="2" t="inlineStr">
        <ns0:is>
          <ns0:t>localdownload/R11477/fulltext.pdf</ns0:t>
        </ns0:is>
      </ns0:c>
      <ns0:c r="J364" s="2" t="n">
        <ns0:v>13898723</ns0:v>
      </ns0:c>
      <ns0:c r="K364" s="2" t="inlineStr">
        <ns0:is>
          <ns0:t>82d44b08bac57b2bf8699337567d0b87af9c82a6fc6192bfcd6cb635a756fce6</ns0:t>
        </ns0:is>
      </ns0:c>
      <ns0:c r="L364" s="2" t="inlineStr">
        <ns0:is>
          <ns0:t>identity_and_body_structure_verified</ns0:t>
        </ns0:is>
      </ns0:c>
      <ns0:c r="M364" s="2" t="inlineStr"/>
      <ns0:c r="N364" s="2" t="inlineStr">
        <ns0:is>
          <ns0:t>首页/前两页题名作者或目标DOI核对，全部页面解析及正文结构检查；不据文件名判全文。</ns0:t>
        </ns0:is>
      </ns0:c>
      <ns0:c r="O364" s="2" t="inlineStr">
        <ns0:is>
          <ns0:t>https://github.com/Colliam-Vermilion/FirstCodex/blob/results/ad-oxygen-literature-20261006/results/ad-oxygen-literature-20261006/original_files/R11477/fulltext/fulltext__published__82d44b08bac57b2b.pdf</ns0:t>
        </ns0:is>
      </ns0:c>
    </ns0:row>
    <ns0:row r="365" ht="48" customHeight="1">
      <ns0:c r="A365" s="3" t="inlineStr">
        <ns0:is>
          <ns0:t>R11658</ns0:t>
        </ns0:is>
      </ns0:c>
      <ns0:c r="B365" s="3" t="inlineStr">
        <ns0:is>
          <ns0:t>IMPACT OF MICRO-AERATION ON FUNGAL COMMUNITY FROM ANAEROBIC DIGESTION</ns0:t>
        </ns0:is>
      </ns0:c>
      <ns0:c r="C365" s="3" t="inlineStr">
        <ns0:is>
          <ns0:t>10.30546/300045.2024.1.4.019</ns0:t>
        </ns0:is>
      </ns0:c>
      <ns0:c r="D365" s="3" t="inlineStr">
        <ns0:is>
          <ns0:t>fulltext</ns0:t>
        </ns0:is>
      </ns0:c>
      <ns0:c r="E365" s="3" t="inlineStr">
        <ns0:is>
          <ns0:t>出版版本（原页出版信息）</ns0:t>
        </ns0:is>
      </ns0:c>
      <ns0:c r="F365" s="3" t="inlineStr">
        <ns0:is>
          <ns0:t>R11658_2025_IMPACT_OF_MICRO-AERATION_ON_FUNGAL_COMMUNITY_FROM_ANAEROBIC_DIGESTION.pdf</ns0:t>
        </ns0:is>
      </ns0:c>
      <ns0:c r="G365" s="3" t="inlineStr">
        <ns0:is>
          <ns0:t>original_files/R11658/fulltext/fulltext__published__83a514a4b04c73a0.pdf</ns0:t>
        </ns0:is>
      </ns0:c>
      <ns0:c r="H365" s="3" t="inlineStr">
        <ns0:is>
          <ns0:t>cloud_existing</ns0:t>
        </ns0:is>
      </ns0:c>
      <ns0:c r="I365" s="3" t="inlineStr">
        <ns0:is>
          <ns0:t>original_files/fulltext/R11658_2025_IMPACT_OF_MICRO-AERATION_ON_FUNGAL_COMMUNITY_FROM_ANAEROBIC_DIGESTION.pdf</ns0:t>
        </ns0:is>
      </ns0:c>
      <ns0:c r="J365" s="3" t="n">
        <ns0:v>458052</ns0:v>
      </ns0:c>
      <ns0:c r="K365" s="3" t="inlineStr">
        <ns0:is>
          <ns0:t>83a514a4b04c73a09129c21d623d57eb798a3af7c20dc842d47308f889d7695f</ns0:t>
        </ns0:is>
      </ns0:c>
      <ns0:c r="L365" s="3" t="inlineStr">
        <ns0:is>
          <ns0:t>identity_and_body_structure_verified</ns0:t>
        </ns0:is>
      </ns0:c>
      <ns0:c r="M365" s="3" t="inlineStr"/>
      <ns0:c r="N365" s="3" t="inlineStr">
        <ns0:is>
          <ns0:t>首页/前两页题名作者或目标DOI核对，全部页面解析及正文结构检查；不据文件名判全文。</ns0:t>
        </ns0:is>
      </ns0:c>
      <ns0:c r="O365" s="3" t="inlineStr">
        <ns0:is>
          <ns0:t>https://github.com/Colliam-Vermilion/FirstCodex/blob/results/ad-oxygen-literature-20261006/results/ad-oxygen-literature-20261006/original_files/R11658/fulltext/fulltext__published__83a514a4b04c73a0.pdf</ns0:t>
        </ns0:is>
      </ns0:c>
    </ns0:row>
    <ns0:row r="366" ht="48" customHeight="1">
      <ns0:c r="A366" s="2" t="inlineStr">
        <ns0:is>
          <ns0:t>R07903</ns0:t>
        </ns0:is>
      </ns0:c>
      <ns0:c r="B366" s="2" t="inlineStr">
        <ns0:is>
          <ns0:t>Improved valorization of sewage sludge in the circular economy by anaerobic digestion: Impact of an innovative pretreatment technology</ns0:t>
        </ns0:is>
      </ns0:c>
      <ns0:c r="C366" s="2" t="inlineStr">
        <ns0:is>
          <ns0:t>10.1016/j.wasman.2022.09.035</ns0:t>
        </ns0:is>
      </ns0:c>
      <ns0:c r="D366" s="2" t="inlineStr">
        <ns0:is>
          <ns0:t>fulltext</ns0:t>
        </ns0:is>
      </ns0:c>
      <ns0:c r="E366" s="2" t="inlineStr">
        <ns0:is>
          <ns0:t>出版版（版式及版权文字）</ns0:t>
        </ns0:is>
      </ns0:c>
      <ns0:c r="F366" s="2" t="inlineStr">
        <ns0:is>
          <ns0:t>fulltext.pdf</ns0:t>
        </ns0:is>
      </ns0:c>
      <ns0:c r="G366" s="2" t="inlineStr">
        <ns0:is>
          <ns0:t>original_files/R07903/fulltext/fulltext__published__840af1bcba2461da.pdf</ns0:t>
        </ns0:is>
      </ns0:c>
      <ns0:c r="H366" s="2" t="inlineStr">
        <ns0:is>
          <ns0:t>local_upload</ns0:t>
        </ns0:is>
      </ns0:c>
      <ns0:c r="I366" s="2" t="inlineStr">
        <ns0:is>
          <ns0:t>localdownload/R07903/fulltext.pdf</ns0:t>
        </ns0:is>
      </ns0:c>
      <ns0:c r="J366" s="2" t="n">
        <ns0:v>1499957</ns0:v>
      </ns0:c>
      <ns0:c r="K366" s="2" t="inlineStr">
        <ns0:is>
          <ns0:t>840af1bcba2461daaa8b7f8e0623d1f7729bd8176515cd6b4ced4b6e59d4f259</ns0:t>
        </ns0:is>
      </ns0:c>
      <ns0:c r="L366" s="2" t="inlineStr">
        <ns0:is>
          <ns0:t>identity_and_body_structure_verified</ns0:t>
        </ns0:is>
      </ns0:c>
      <ns0:c r="M366" s="2" t="inlineStr"/>
      <ns0:c r="N366" s="2" t="inlineStr">
        <ns0:is>
          <ns0:t>首页/前两页题名作者或目标DOI核对，全部页面解析及正文结构检查；不据文件名判全文。</ns0:t>
        </ns0:is>
      </ns0:c>
      <ns0:c r="O366" s="2" t="inlineStr">
        <ns0:is>
          <ns0:t>https://github.com/Colliam-Vermilion/FirstCodex/blob/results/ad-oxygen-literature-20261006/results/ad-oxygen-literature-20261006/original_files/R07903/fulltext/fulltext__published__840af1bcba2461da.pdf</ns0:t>
        </ns0:is>
      </ns0:c>
    </ns0:row>
    <ns0:row r="367" ht="48" customHeight="1">
      <ns0:c r="A367" s="3" t="inlineStr">
        <ns0:is>
          <ns0:t>R06129</ns0:t>
        </ns0:is>
      </ns0:c>
      <ns0:c r="B367" s="3" t="inlineStr">
        <ns0:is>
          <ns0:t>Supplementation of O2-containing gas nanobubble water to enhance methane production from anaerobic digestion of cellulose</ns0:t>
        </ns0:is>
      </ns0:c>
      <ns0:c r="C367" s="3" t="inlineStr">
        <ns0:is>
          <ns0:t>10.1016/j.cej.2020.125652</ns0:t>
        </ns0:is>
      </ns0:c>
      <ns0:c r="D367" s="3" t="inlineStr">
        <ns0:is>
          <ns0:t>supplementary</ns0:t>
        </ns0:is>
      </ns0:c>
      <ns0:c r="E367" s="3" t="inlineStr"/>
      <ns0:c r="F367" s="3" t="inlineStr">
        <ns0:is>
          <ns0:t>supplementary.pdf</ns0:t>
        </ns0:is>
      </ns0:c>
      <ns0:c r="G367" s="3" t="inlineStr">
        <ns0:is>
          <ns0:t>original_files/R06129/supplementary/supplementary__843f67cf48ce0705.pdf</ns0:t>
        </ns0:is>
      </ns0:c>
      <ns0:c r="H367" s="3" t="inlineStr">
        <ns0:is>
          <ns0:t>local_upload</ns0:t>
        </ns0:is>
      </ns0:c>
      <ns0:c r="I367" s="3" t="inlineStr">
        <ns0:is>
          <ns0:t>localdownload/R06129/supplementary.pdf</ns0:t>
        </ns0:is>
      </ns0:c>
      <ns0:c r="J367" s="3" t="n">
        <ns0:v>218868</ns0:v>
      </ns0:c>
      <ns0:c r="K367" s="3" t="inlineStr">
        <ns0:is>
          <ns0:t>843f67cf48ce0705bfefc3455298f3da9fe410d97106deabae048d6e211e252c</ns0:t>
        </ns0:is>
      </ns0:c>
      <ns0:c r="L367" s="3" t="inlineStr">
        <ns0:is>
          <ns0:t>pdf_readable_requires_role_review</ns0:t>
        </ns0:is>
      </ns0:c>
      <ns0:c r="M367" s="3" t="inlineStr">
        <ns0:is>
          <ns0:t>title_in_attachment_verified</ns0:t>
        </ns0:is>
      </ns0:c>
      <ns0:c r="N367" s="3" t="inlineStr"/>
      <ns0:c r="O367" s="3" t="inlineStr">
        <ns0:is>
          <ns0:t>https://github.com/Colliam-Vermilion/FirstCodex/blob/results/ad-oxygen-literature-20261006/results/ad-oxygen-literature-20261006/original_files/R06129/supplementary/supplementary__843f67cf48ce0705.pdf</ns0:t>
        </ns0:is>
      </ns0:c>
    </ns0:row>
    <ns0:row r="368" ht="48" customHeight="1">
      <ns0:c r="A368" s="2" t="inlineStr">
        <ns0:is>
          <ns0:t>R11682</ns0:t>
        </ns0:is>
      </ns0:c>
      <ns0:c r="B368" s="2" t="inlineStr">
        <ns0:is>
          <ns0:t>Improving sludge solubilization and biogas upgrading with eco-friendly garbage enzyme and microaerobic pretreatment: Operational parameters and energy balance</ns0:t>
        </ns0:is>
      </ns0:c>
      <ns0:c r="C368" s="2" t="inlineStr">
        <ns0:is>
          <ns0:t>10.1016/j.cej.2025.168425</ns0:t>
        </ns0:is>
      </ns0:c>
      <ns0:c r="D368" s="2" t="inlineStr">
        <ns0:is>
          <ns0:t>supplementary</ns0:t>
        </ns0:is>
      </ns0:c>
      <ns0:c r="E368" s="2" t="inlineStr"/>
      <ns0:c r="F368" s="2" t="inlineStr">
        <ns0:is>
          <ns0:t>supplementary.docx</ns0:t>
        </ns0:is>
      </ns0:c>
      <ns0:c r="G368" s="2" t="inlineStr">
        <ns0:is>
          <ns0:t>original_files/R11682/supplementary/supplementary__85675106de1a4833.docx</ns0:t>
        </ns0:is>
      </ns0:c>
      <ns0:c r="H368" s="2" t="inlineStr">
        <ns0:is>
          <ns0:t>local_upload</ns0:t>
        </ns0:is>
      </ns0:c>
      <ns0:c r="I368" s="2" t="inlineStr">
        <ns0:is>
          <ns0:t>localdownload/R11682/supplementary.docx</ns0:t>
        </ns0:is>
      </ns0:c>
      <ns0:c r="J368" s="2" t="n">
        <ns0:v>187860</ns0:v>
      </ns0:c>
      <ns0:c r="K368" s="2" t="inlineStr">
        <ns0:is>
          <ns0:t>85675106de1a48330cfaa20fa9a90265458beba976f7f9c4cb9aff2822959f4b</ns0:t>
        </ns0:is>
      </ns0:c>
      <ns0:c r="L368" s="2" t="inlineStr">
        <ns0:is>
          <ns0:t>container_crc_verified</ns0:t>
        </ns0:is>
      </ns0:c>
      <ns0:c r="M368" s="2" t="inlineStr">
        <ns0:is>
          <ns0:t>directory_and_content_consistent_identity_pending</ns0:t>
        </ns0:is>
      </ns0:c>
      <ns0:c r="N368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368" s="2" t="inlineStr">
        <ns0:is>
          <ns0:t>https://github.com/Colliam-Vermilion/FirstCodex/blob/results/ad-oxygen-literature-20261006/results/ad-oxygen-literature-20261006/original_files/R11682/supplementary/supplementary__85675106de1a4833.docx</ns0:t>
        </ns0:is>
      </ns0:c>
    </ns0:row>
    <ns0:row r="369" ht="48" customHeight="1">
      <ns0:c r="A369" s="3" t="inlineStr">
        <ns0:is>
          <ns0:t>R04889</ns0:t>
        </ns0:is>
      </ns0:c>
      <ns0:c r="B369" s="3" t="inlineStr">
        <ns0:is>
          <ns0:t>Inoculum Selection and Micro-Aeration for Biogas Production in Two-Stage Anaerobic Digestion of Palm Oil Mill Effluent (POME)</ns0:t>
        </ns0:is>
      </ns0:c>
      <ns0:c r="C369" s="3" t="inlineStr">
        <ns0:is>
          <ns0:t>10.15294/jbat.v8i1.16318</ns0:t>
        </ns0:is>
      </ns0:c>
      <ns0:c r="D369" s="3" t="inlineStr">
        <ns0:is>
          <ns0:t>fulltext</ns0:t>
        </ns0:is>
      </ns0:c>
      <ns0:c r="E369" s="3" t="inlineStr">
        <ns0:is>
          <ns0:t>出版版本（原页出版信息）</ns0:t>
        </ns0:is>
      </ns0:c>
      <ns0:c r="F369" s="3" t="inlineStr">
        <ns0:is>
          <ns0:t>R04889_2019_Inoculum_Selection_and_Micro-Aeration_for_Biogas_Production_in_Two-Stage.pdf</ns0:t>
        </ns0:is>
      </ns0:c>
      <ns0:c r="G369" s="3" t="inlineStr">
        <ns0:is>
          <ns0:t>original_files/R04889/fulltext/fulltext__published__860a0532503787f8.pdf</ns0:t>
        </ns0:is>
      </ns0:c>
      <ns0:c r="H369" s="3" t="inlineStr">
        <ns0:is>
          <ns0:t>cloud_existing</ns0:t>
        </ns0:is>
      </ns0:c>
      <ns0:c r="I369" s="3" t="inlineStr">
        <ns0:is>
          <ns0:t>original_files/fulltext/R04889_2019_Inoculum_Selection_and_Micro-Aeration_for_Biogas_Production_in_Two-Stage.pdf</ns0:t>
        </ns0:is>
      </ns0:c>
      <ns0:c r="J369" s="3" t="n">
        <ns0:v>506684</ns0:v>
      </ns0:c>
      <ns0:c r="K369" s="3" t="inlineStr">
        <ns0:is>
          <ns0:t>860a0532503787f8bb84a599bdbf923f690615b05121c8a78c21249f8de911cb</ns0:t>
        </ns0:is>
      </ns0:c>
      <ns0:c r="L369" s="3" t="inlineStr">
        <ns0:is>
          <ns0:t>identity_and_body_structure_verified</ns0:t>
        </ns0:is>
      </ns0:c>
      <ns0:c r="M369" s="3" t="inlineStr"/>
      <ns0:c r="N369" s="3" t="inlineStr">
        <ns0:is>
          <ns0:t>首页/前两页题名作者或目标DOI核对，全部页面解析及正文结构检查；不据文件名判全文。</ns0:t>
        </ns0:is>
      </ns0:c>
      <ns0:c r="O369" s="3" t="inlineStr">
        <ns0:is>
          <ns0:t>https://github.com/Colliam-Vermilion/FirstCodex/blob/results/ad-oxygen-literature-20261006/results/ad-oxygen-literature-20261006/original_files/R04889/fulltext/fulltext__published__860a0532503787f8.pdf</ns0:t>
        </ns0:is>
      </ns0:c>
    </ns0:row>
    <ns0:row r="370" ht="48" customHeight="1">
      <ns0:c r="A370" s="2" t="inlineStr"/>
      <ns0:c r="B370" s="2" t="inlineStr"/>
      <ns0:c r="C370" s="2" t="inlineStr"/>
      <ns0:c r="D370" s="2" t="inlineStr">
        <ns0:is>
          <ns0:t>source_evidence</ns0:t>
        </ns0:is>
      </ns0:c>
      <ns0:c r="E370" s="2" t="inlineStr"/>
      <ns0:c r="F370" s="2" t="inlineStr">
        <ns0:is>
          <ns0:t>acs_official_repository_access.jsonl</ns0:t>
        </ns0:is>
      </ns0:c>
      <ns0:c r="G370" s="2" t="inlineStr">
        <ns0:is>
          <ns0:t>original_files/_project_evidence/evidence/source_evidence__86399c0bbac210d3.jsonl</ns0:t>
        </ns0:is>
      </ns0:c>
      <ns0:c r="H370" s="2" t="inlineStr">
        <ns0:is>
          <ns0:t>cloud_existing</ns0:t>
        </ns0:is>
      </ns0:c>
      <ns0:c r="I370" s="2" t="inlineStr">
        <ns0:is>
          <ns0:t>original_files/repository_followups_20261017/acs_official_repository_access.jsonl</ns0:t>
        </ns0:is>
      </ns0:c>
      <ns0:c r="J370" s="2" t="n">
        <ns0:v>199</ns0:v>
      </ns0:c>
      <ns0:c r="K370" s="2" t="inlineStr">
        <ns0:is>
          <ns0:t>86399c0bbac210d351f729b6f02287346d0a58c903d6f61d906d09652c1950b3</ns0:t>
        </ns0:is>
      </ns0:c>
      <ns0:c r="L370" s="2" t="inlineStr">
        <ns0:is>
          <ns0:t>text_readable</ns0:t>
        </ns0:is>
      </ns0:c>
      <ns0:c r="M370" s="2" t="inlineStr"/>
      <ns0:c r="N370" s="2" t="inlineStr"/>
      <ns0:c r="O370" s="2" t="inlineStr">
        <ns0:is>
          <ns0:t>https://github.com/Colliam-Vermilion/FirstCodex/blob/results/ad-oxygen-literature-20261006/results/ad-oxygen-literature-20261006/original_files/_project_evidence/evidence/source_evidence__86399c0bbac210d3.jsonl</ns0:t>
        </ns0:is>
      </ns0:c>
    </ns0:row>
    <ns0:row r="371" ht="48" customHeight="1">
      <ns0:c r="A371" s="3" t="inlineStr">
        <ns0:is>
          <ns0:t>R05319</ns0:t>
        </ns0:is>
      </ns0:c>
      <ns0:c r="B371" s="3" t="inlineStr">
        <ns0:is>
          <ns0:t>Air Supplement as a Stimulation Approach for the In Situ Desulfurization and Methanization Enhancement of Anaerobic Digestion of Chicken Manure</ns0:t>
        </ns0:is>
      </ns0:c>
      <ns0:c r="C371" s="3" t="inlineStr">
        <ns0:is>
          <ns0:t>10.1021/acs.energyfuels.0c01724</ns0:t>
        </ns0:is>
      </ns0:c>
      <ns0:c r="D371" s="3" t="inlineStr">
        <ns0:is>
          <ns0:t>fulltext</ns0:t>
        </ns0:is>
      </ns0:c>
      <ns0:c r="E371" s="3" t="inlineStr">
        <ns0:is>
          <ns0:t>出版版（版式及版权文字）</ns0:t>
        </ns0:is>
      </ns0:c>
      <ns0:c r="F371" s="3" t="inlineStr">
        <ns0:is>
          <ns0:t>fulltext.pdf</ns0:t>
        </ns0:is>
      </ns0:c>
      <ns0:c r="G371" s="3" t="inlineStr">
        <ns0:is>
          <ns0:t>original_files/R05319/fulltext/fulltext__published__865dcb7f90757119.pdf</ns0:t>
        </ns0:is>
      </ns0:c>
      <ns0:c r="H371" s="3" t="inlineStr">
        <ns0:is>
          <ns0:t>local_upload</ns0:t>
        </ns0:is>
      </ns0:c>
      <ns0:c r="I371" s="3" t="inlineStr">
        <ns0:is>
          <ns0:t>localdownload/R05319/fulltext.pdf</ns0:t>
        </ns0:is>
      </ns0:c>
      <ns0:c r="J371" s="3" t="n">
        <ns0:v>2608111</ns0:v>
      </ns0:c>
      <ns0:c r="K371" s="3" t="inlineStr">
        <ns0:is>
          <ns0:t>865dcb7f90757119fcc3c78c4e24b37817c7bf203a8727ab8e54a7d37304e19c</ns0:t>
        </ns0:is>
      </ns0:c>
      <ns0:c r="L371" s="3" t="inlineStr">
        <ns0:is>
          <ns0:t>identity_and_body_structure_verified</ns0:t>
        </ns0:is>
      </ns0:c>
      <ns0:c r="M371" s="3" t="inlineStr"/>
      <ns0:c r="N371" s="3" t="inlineStr">
        <ns0:is>
          <ns0:t>首页/前两页题名作者或目标DOI核对，全部页面解析及正文结构检查；不据文件名判全文。</ns0:t>
        </ns0:is>
      </ns0:c>
      <ns0:c r="O371" s="3" t="inlineStr">
        <ns0:is>
          <ns0:t>https://github.com/Colliam-Vermilion/FirstCodex/blob/results/ad-oxygen-literature-20261006/results/ad-oxygen-literature-20261006/original_files/R05319/fulltext/fulltext__published__865dcb7f90757119.pdf</ns0:t>
        </ns0:is>
      </ns0:c>
    </ns0:row>
    <ns0:row r="372" ht="48" customHeight="1">
      <ns0:c r="A372" s="2" t="inlineStr">
        <ns0:is>
          <ns0:t>R13922</ns0:t>
        </ns0:is>
      </ns0:c>
      <ns0:c r="B372" s="2" t="inlineStr">
        <ns0:is>
          <ns0:t>Pilot-scale microaerobic hydrolysis-acidification and anoxic-oxic processes for the treatment of petrochemical wastewater</ns0:t>
        </ns0:is>
      </ns0:c>
      <ns0:c r="C372" s="2" t="inlineStr">
        <ns0:is>
          <ns0:t>10.1007/s11356-021-14810-9</ns0:t>
        </ns0:is>
      </ns0:c>
      <ns0:c r="D372" s="2" t="inlineStr">
        <ns0:is>
          <ns0:t>fulltext</ns0:t>
        </ns0:is>
      </ns0:c>
      <ns0:c r="E372" s="2" t="inlineStr">
        <ns0:is>
          <ns0:t>出版版（版式及版权文字）</ns0:t>
        </ns0:is>
      </ns0:c>
      <ns0:c r="F372" s="2" t="inlineStr">
        <ns0:is>
          <ns0:t>fulltext.pdf</ns0:t>
        </ns0:is>
      </ns0:c>
      <ns0:c r="G372" s="2" t="inlineStr">
        <ns0:is>
          <ns0:t>original_files/R13922/fulltext/fulltext__published__86ff6fe4a39481e0.pdf</ns0:t>
        </ns0:is>
      </ns0:c>
      <ns0:c r="H372" s="2" t="inlineStr">
        <ns0:is>
          <ns0:t>local_upload</ns0:t>
        </ns0:is>
      </ns0:c>
      <ns0:c r="I372" s="2" t="inlineStr">
        <ns0:is>
          <ns0:t>localdownload/R13922/fulltext.pdf</ns0:t>
        </ns0:is>
      </ns0:c>
      <ns0:c r="J372" s="2" t="n">
        <ns0:v>1390794</ns0:v>
      </ns0:c>
      <ns0:c r="K372" s="2" t="inlineStr">
        <ns0:is>
          <ns0:t>86ff6fe4a39481e07c918a7486d45a0d7b37efac2847db13dc208aff4d0c748d</ns0:t>
        </ns0:is>
      </ns0:c>
      <ns0:c r="L372" s="2" t="inlineStr">
        <ns0:is>
          <ns0:t>identity_and_body_structure_verified</ns0:t>
        </ns0:is>
      </ns0:c>
      <ns0:c r="M372" s="2" t="inlineStr"/>
      <ns0:c r="N372" s="2" t="inlineStr">
        <ns0:is>
          <ns0:t>首页/前两页题名作者或目标DOI核对，全部页面解析及正文结构检查；不据文件名判全文。</ns0:t>
        </ns0:is>
      </ns0:c>
      <ns0:c r="O372" s="2" t="inlineStr">
        <ns0:is>
          <ns0:t>https://github.com/Colliam-Vermilion/FirstCodex/blob/results/ad-oxygen-literature-20261006/results/ad-oxygen-literature-20261006/original_files/R13922/fulltext/fulltext__published__86ff6fe4a39481e0.pdf</ns0:t>
        </ns0:is>
      </ns0:c>
    </ns0:row>
    <ns0:row r="373" ht="48" customHeight="1">
      <ns0:c r="A373" s="3" t="inlineStr">
        <ns0:is>
          <ns0:t>R00795</ns0:t>
        </ns0:is>
      </ns0:c>
      <ns0:c r="B373" s="3" t="inlineStr">
        <ns0:is>
          <ns0:t>Microaerobic desulphurisation unit: A new biological system for the removal of H2S from biogas</ns0:t>
        </ns0:is>
      </ns0:c>
      <ns0:c r="C373" s="3" t="inlineStr">
        <ns0:is>
          <ns0:t>10.1016/j.biortech.2013.05.084</ns0:t>
        </ns0:is>
      </ns0:c>
      <ns0:c r="D373" s="3" t="inlineStr">
        <ns0:is>
          <ns0:t>fulltext</ns0:t>
        </ns0:is>
      </ns0:c>
      <ns0:c r="E373" s="3" t="inlineStr">
        <ns0:is>
          <ns0:t>出版版（版式及版权文字）</ns0:t>
        </ns0:is>
      </ns0:c>
      <ns0:c r="F373" s="3" t="inlineStr">
        <ns0:is>
          <ns0:t>fulltext.pdf</ns0:t>
        </ns0:is>
      </ns0:c>
      <ns0:c r="G373" s="3" t="inlineStr">
        <ns0:is>
          <ns0:t>original_files/R00795/fulltext/fulltext__published__874efe69f8123943.pdf</ns0:t>
        </ns0:is>
      </ns0:c>
      <ns0:c r="H373" s="3" t="inlineStr">
        <ns0:is>
          <ns0:t>local_upload</ns0:t>
        </ns0:is>
      </ns0:c>
      <ns0:c r="I373" s="3" t="inlineStr">
        <ns0:is>
          <ns0:t>localdownload/R00795/fulltext.pdf</ns0:t>
        </ns0:is>
      </ns0:c>
      <ns0:c r="J373" s="3" t="n">
        <ns0:v>838740</ns0:v>
      </ns0:c>
      <ns0:c r="K373" s="3" t="inlineStr">
        <ns0:is>
          <ns0:t>874efe69f8123943fc02f6af88d183a26de385e827d7e6016d1efbc719f35d1e</ns0:t>
        </ns0:is>
      </ns0:c>
      <ns0:c r="L373" s="3" t="inlineStr">
        <ns0:is>
          <ns0:t>identity_and_body_structure_verified</ns0:t>
        </ns0:is>
      </ns0:c>
      <ns0:c r="M373" s="3" t="inlineStr"/>
      <ns0:c r="N373" s="3" t="inlineStr">
        <ns0:is>
          <ns0:t>首页/前两页题名作者或目标DOI核对，全部页面解析及正文结构检查；不据文件名判全文。</ns0:t>
        </ns0:is>
      </ns0:c>
      <ns0:c r="O373" s="3" t="inlineStr">
        <ns0:is>
          <ns0:t>https://github.com/Colliam-Vermilion/FirstCodex/blob/results/ad-oxygen-literature-20261006/results/ad-oxygen-literature-20261006/original_files/R00795/fulltext/fulltext__published__874efe69f8123943.pdf</ns0:t>
        </ns0:is>
      </ns0:c>
    </ns0:row>
    <ns0:row r="374" ht="48" customHeight="1">
      <ns0:c r="A374" s="2" t="inlineStr">
        <ns0:is>
          <ns0:t>R03475</ns0:t>
        </ns0:is>
      </ns0:c>
      <ns0:c r="B374" s="2" t="inlineStr">
        <ns0:is>
          <ns0:t>Pre-aeration of food waste to augment acidogenic process at higher organic load: Valorizing biohydrogen, volatile fatty acids and biohythane</ns0:t>
        </ns0:is>
      </ns0:c>
      <ns0:c r="C374" s="2" t="inlineStr">
        <ns0:is>
          <ns0:t>10.1016/j.biortech.2017.05.053</ns0:t>
        </ns0:is>
      </ns0:c>
      <ns0:c r="D374" s="2" t="inlineStr">
        <ns0:is>
          <ns0:t>fulltext</ns0:t>
        </ns0:is>
      </ns0:c>
      <ns0:c r="E374" s="2" t="inlineStr">
        <ns0:is>
          <ns0:t>出版版（版式及版权文字）</ns0:t>
        </ns0:is>
      </ns0:c>
      <ns0:c r="F374" s="2" t="inlineStr">
        <ns0:is>
          <ns0:t>fulltext.pdf</ns0:t>
        </ns0:is>
      </ns0:c>
      <ns0:c r="G374" s="2" t="inlineStr">
        <ns0:is>
          <ns0:t>original_files/R03475/fulltext/fulltext__published__87798503de877f9d.pdf</ns0:t>
        </ns0:is>
      </ns0:c>
      <ns0:c r="H374" t="inlineStr">
        <ns0:is>
          <ns0:t>local_upload; main@ab8353c误传副本</ns0:t>
        </ns0:is>
      </ns0:c>
      <ns0:c r="I374" t="inlineStr">
        <ns0:is>
          <ns0:t>localdownload/R03475/fulltext.pdf; main@ab8353c:R03475/fulltext.pdf</ns0:t>
        </ns0:is>
      </ns0:c>
      <ns0:c r="J374" s="2" t="n">
        <ns0:v>718372</ns0:v>
      </ns0:c>
      <ns0:c r="K374" s="2" t="inlineStr">
        <ns0:is>
          <ns0:t>87798503de877f9daa12f0581b7411045b6801a5a720bc6d6510c01d9a01dd32</ns0:t>
        </ns0:is>
      </ns0:c>
      <ns0:c r="L374" s="2" t="inlineStr">
        <ns0:is>
          <ns0:t>identity_and_body_structure_verified</ns0:t>
        </ns0:is>
      </ns0:c>
      <ns0:c r="M374" s="2" t="inlineStr"/>
      <ns0:c r="N374" s="2" t="inlineStr">
        <ns0:is>
          <ns0:t>首页/前两页题名作者或目标DOI核对，全部页面解析及正文结构检查；不据文件名判全文。</ns0:t>
        </ns0:is>
      </ns0:c>
      <ns0:c r="O374" s="2" t="inlineStr">
        <ns0:is>
          <ns0:t>https://github.com/Colliam-Vermilion/FirstCodex/blob/results/ad-oxygen-literature-20261006/results/ad-oxygen-literature-20261006/original_files/R03475/fulltext/fulltext__published__87798503de877f9d.pdf</ns0:t>
        </ns0:is>
      </ns0:c>
    </ns0:row>
    <ns0:row r="375" ht="48" customHeight="1">
      <ns0:c r="A375" s="3" t="inlineStr">
        <ns0:is>
          <ns0:t>R08393</ns0:t>
        </ns0:is>
      </ns0:c>
      <ns0:c r="B375" s="3" t="inlineStr">
        <ns0:is>
          <ns0:t>The effects of micro-aeration on semi-continued anaerobic digestion of corn straw with increasing organic loading rates</ns0:t>
        </ns0:is>
      </ns0:c>
      <ns0:c r="C375" s="3" t="inlineStr">
        <ns0:is>
          <ns0:t>10.1016/j.renene.2022.06.106</ns0:t>
        </ns0:is>
      </ns0:c>
      <ns0:c r="D375" s="3" t="inlineStr">
        <ns0:is>
          <ns0:t>fulltext</ns0:t>
        </ns0:is>
      </ns0:c>
      <ns0:c r="E375" s="3" t="inlineStr">
        <ns0:is>
          <ns0:t>出版版（版式及版权文字）</ns0:t>
        </ns0:is>
      </ns0:c>
      <ns0:c r="F375" s="3" t="inlineStr">
        <ns0:is>
          <ns0:t>fulltext.pdf</ns0:t>
        </ns0:is>
      </ns0:c>
      <ns0:c r="G375" s="3" t="inlineStr">
        <ns0:is>
          <ns0:t>original_files/R08393/fulltext/fulltext__published__8783bc9ab4738cb6.pdf</ns0:t>
        </ns0:is>
      </ns0:c>
      <ns0:c r="H375" s="3" t="inlineStr">
        <ns0:is>
          <ns0:t>local_upload</ns0:t>
        </ns0:is>
      </ns0:c>
      <ns0:c r="I375" s="3" t="inlineStr">
        <ns0:is>
          <ns0:t>localdownload/R08393/fulltext.pdf</ns0:t>
        </ns0:is>
      </ns0:c>
      <ns0:c r="J375" s="3" t="n">
        <ns0:v>2512550</ns0:v>
      </ns0:c>
      <ns0:c r="K375" s="3" t="inlineStr">
        <ns0:is>
          <ns0:t>8783bc9ab4738cb6844675bc527754d45c2a8a5e3def2f6d17ff3068177b2f02</ns0:t>
        </ns0:is>
      </ns0:c>
      <ns0:c r="L375" s="3" t="inlineStr">
        <ns0:is>
          <ns0:t>identity_and_body_structure_verified</ns0:t>
        </ns0:is>
      </ns0:c>
      <ns0:c r="M375" s="3" t="inlineStr"/>
      <ns0:c r="N375" s="3" t="inlineStr">
        <ns0:is>
          <ns0:t>首页/前两页题名作者或目标DOI核对，全部页面解析及正文结构检查；不据文件名判全文。</ns0:t>
        </ns0:is>
      </ns0:c>
      <ns0:c r="O375" s="3" t="inlineStr">
        <ns0:is>
          <ns0:t>https://github.com/Colliam-Vermilion/FirstCodex/blob/results/ad-oxygen-literature-20261006/results/ad-oxygen-literature-20261006/original_files/R08393/fulltext/fulltext__published__8783bc9ab4738cb6.pdf</ns0:t>
        </ns0:is>
      </ns0:c>
    </ns0:row>
    <ns0:row r="376" ht="48" customHeight="1">
      <ns0:c r="A376" s="2" t="inlineStr">
        <ns0:is>
          <ns0:t>R11421</ns0:t>
        </ns0:is>
      </ns0:c>
      <ns0:c r="B376" s="2" t="inlineStr">
        <ns0:is>
          <ns0:t>Effects of nano-bubble water on anaerobic co-digestion of cabbage waste and cow manure under mesophilic and thermophilic conditions</ns0:t>
        </ns0:is>
      </ns0:c>
      <ns0:c r="C376" s="2" t="inlineStr">
        <ns0:is>
          <ns0:t>10.1080/09593330.2024.2405033</ns0:t>
        </ns0:is>
      </ns0:c>
      <ns0:c r="D376" s="2" t="inlineStr">
        <ns0:is>
          <ns0:t>supplementary</ns0:t>
        </ns0:is>
      </ns0:c>
      <ns0:c r="E376" s="2" t="inlineStr"/>
      <ns0:c r="F376" s="2" t="inlineStr">
        <ns0:is>
          <ns0:t>supplementary.docx</ns0:t>
        </ns0:is>
      </ns0:c>
      <ns0:c r="G376" s="2" t="inlineStr">
        <ns0:is>
          <ns0:t>original_files/R11421/supplementary/supplementary__8822527f7141c204.docx</ns0:t>
        </ns0:is>
      </ns0:c>
      <ns0:c r="H376" s="2" t="inlineStr">
        <ns0:is>
          <ns0:t>local_upload</ns0:t>
        </ns0:is>
      </ns0:c>
      <ns0:c r="I376" s="2" t="inlineStr">
        <ns0:is>
          <ns0:t>localdownload/R11421/supplementary.docx</ns0:t>
        </ns0:is>
      </ns0:c>
      <ns0:c r="J376" s="2" t="n">
        <ns0:v>247204</ns0:v>
      </ns0:c>
      <ns0:c r="K376" s="2" t="inlineStr">
        <ns0:is>
          <ns0:t>8822527f7141c204586dbee260d8679f80c0b3172ad348ab2ddadd05c4c09cd7</ns0:t>
        </ns0:is>
      </ns0:c>
      <ns0:c r="L376" s="2" t="inlineStr">
        <ns0:is>
          <ns0:t>container_crc_verified</ns0:t>
        </ns0:is>
      </ns0:c>
      <ns0:c r="M376" s="2" t="inlineStr">
        <ns0:is>
          <ns0:t>title_in_attachment_verified</ns0:t>
        </ns0:is>
      </ns0:c>
      <ns0:c r="N376" s="2" t="inlineStr"/>
      <ns0:c r="O376" s="2" t="inlineStr">
        <ns0:is>
          <ns0:t>https://github.com/Colliam-Vermilion/FirstCodex/blob/results/ad-oxygen-literature-20261006/results/ad-oxygen-literature-20261006/original_files/R11421/supplementary/supplementary__8822527f7141c204.docx</ns0:t>
        </ns0:is>
      </ns0:c>
    </ns0:row>
    <ns0:row r="377" ht="48" customHeight="1">
      <ns0:c r="A377" s="3" t="inlineStr">
        <ns0:is>
          <ns0:t>R06325</ns0:t>
        </ns0:is>
      </ns0:c>
      <ns0:c r="B377" s="3" t="inlineStr">
        <ns0:is>
          <ns0:t>Anaerobic and Microaerobic Pretreatment for Improving Methane Production From Paper Waste in Anaerobic Digestion</ns0:t>
        </ns0:is>
      </ns0:c>
      <ns0:c r="C377" s="3" t="inlineStr">
        <ns0:is>
          <ns0:t>10.3389/fmicb.2021.688290</ns0:t>
        </ns0:is>
      </ns0:c>
      <ns0:c r="D377" s="3" t="inlineStr">
        <ns0:is>
          <ns0:t>fulltext</ns0:t>
        </ns0:is>
      </ns0:c>
      <ns0:c r="E377" s="3" t="inlineStr">
        <ns0:is>
          <ns0:t>出版版本（原页出版信息）</ns0:t>
        </ns0:is>
      </ns0:c>
      <ns0:c r="F377" s="3" t="inlineStr">
        <ns0:is>
          <ns0:t>R06325_2021_Anaerobic_and_Microaerobic_Pretreatment_for_Improving_Methane_Production_From.pdf</ns0:t>
        </ns0:is>
      </ns0:c>
      <ns0:c r="G377" s="3" t="inlineStr">
        <ns0:is>
          <ns0:t>original_files/R06325/fulltext/fulltext__published__884c1fc31e96ef38.pdf</ns0:t>
        </ns0:is>
      </ns0:c>
      <ns0:c r="H377" s="3" t="inlineStr">
        <ns0:is>
          <ns0:t>cloud_existing</ns0:t>
        </ns0:is>
      </ns0:c>
      <ns0:c r="I377" s="3" t="inlineStr">
        <ns0:is>
          <ns0:t>original_files/fulltext/R06325_2021_Anaerobic_and_Microaerobic_Pretreatment_for_Improving_Methane_Production_From.pdf</ns0:t>
        </ns0:is>
      </ns0:c>
      <ns0:c r="J377" s="3" t="n">
        <ns0:v>4357871</ns0:v>
      </ns0:c>
      <ns0:c r="K377" s="3" t="inlineStr">
        <ns0:is>
          <ns0:t>884c1fc31e96ef3809b9e85f9d4a63d4db7c42a9d44b812980e276293b9cf504</ns0:t>
        </ns0:is>
      </ns0:c>
      <ns0:c r="L377" s="3" t="inlineStr">
        <ns0:is>
          <ns0:t>identity_and_body_structure_verified</ns0:t>
        </ns0:is>
      </ns0:c>
      <ns0:c r="M377" s="3" t="inlineStr"/>
      <ns0:c r="N377" s="3" t="inlineStr">
        <ns0:is>
          <ns0:t>首页/前两页题名作者或目标DOI核对，全部页面解析及正文结构检查；不据文件名判全文。</ns0:t>
        </ns0:is>
      </ns0:c>
      <ns0:c r="O377" s="3" t="inlineStr">
        <ns0:is>
          <ns0:t>https://github.com/Colliam-Vermilion/FirstCodex/blob/results/ad-oxygen-literature-20261006/results/ad-oxygen-literature-20261006/original_files/R06325/fulltext/fulltext__published__884c1fc31e96ef38.pdf</ns0:t>
        </ns0:is>
      </ns0:c>
    </ns0:row>
    <ns0:row r="378" ht="48" customHeight="1">
      <ns0:c r="A378" s="2" t="inlineStr">
        <ns0:is>
          <ns0:t>R13948</ns0:t>
        </ns0:is>
      </ns0:c>
      <ns0:c r="B378" s="2" t="inlineStr">
        <ns0:is>
          <ns0:t>Anaerobic treatment of post-hydrothermal liquefaction wastewater from Spirulina associated with microaeration and photocatalysis</ns0:t>
        </ns0:is>
      </ns0:c>
      <ns0:c r="C378" s="2" t="inlineStr">
        <ns0:is>
          <ns0:t>10.11606/t.74.2021.tde-16082022-143011</ns0:t>
        </ns0:is>
      </ns0:c>
      <ns0:c r="D378" s="2" t="inlineStr">
        <ns0:is>
          <ns0:t>fulltext</ns0:t>
        </ns0:is>
      </ns0:c>
      <ns0:c r="E378" s="2" t="inlineStr">
        <ns0:is>
          <ns0:t>学位/学生报告原稿（分章节者按组）</ns0:t>
        </ns0:is>
      </ns0:c>
      <ns0:c r="F378" s="2" t="inlineStr">
        <ns0:is>
          <ns0:t>fulltext.pdf</ns0:t>
        </ns0:is>
      </ns0:c>
      <ns0:c r="G378" s="2" t="inlineStr">
        <ns0:is>
          <ns0:t>original_files/R13948/fulltext/fulltext__thesis__8ae093e70cce8a05.pdf</ns0:t>
        </ns0:is>
      </ns0:c>
      <ns0:c r="H378" s="2" t="inlineStr">
        <ns0:is>
          <ns0:t>local_upload</ns0:t>
        </ns0:is>
      </ns0:c>
      <ns0:c r="I378" s="2" t="inlineStr">
        <ns0:is>
          <ns0:t>localdownload/R13948/fulltext.pdf</ns0:t>
        </ns0:is>
      </ns0:c>
      <ns0:c r="J378" s="2" t="n">
        <ns0:v>3110019</ns0:v>
      </ns0:c>
      <ns0:c r="K378" s="2" t="inlineStr">
        <ns0:is>
          <ns0:t>8ae093e70cce8a050ef921a4b05272a23d77899d293137d8cb0d5fc28256803c</ns0:t>
        </ns0:is>
      </ns0:c>
      <ns0:c r="L378" s="2" t="inlineStr">
        <ns0:is>
          <ns0:t>identity_and_body_structure_verified</ns0:t>
        </ns0:is>
      </ns0:c>
      <ns0:c r="M378" s="2" t="inlineStr"/>
      <ns0:c r="N378" s="2" t="inlineStr">
        <ns0:is>
          <ns0:t>首页/前两页题名作者或目标DOI核对，全部页面解析及正文结构检查；不据文件名判全文。</ns0:t>
        </ns0:is>
      </ns0:c>
      <ns0:c r="O378" s="2" t="inlineStr">
        <ns0:is>
          <ns0:t>https://github.com/Colliam-Vermilion/FirstCodex/blob/results/ad-oxygen-literature-20261006/results/ad-oxygen-literature-20261006/original_files/R13948/fulltext/fulltext__thesis__8ae093e70cce8a05.pdf</ns0:t>
        </ns0:is>
      </ns0:c>
    </ns0:row>
    <ns0:row r="379" ht="48" customHeight="1">
      <ns0:c r="A379" s="3" t="inlineStr">
        <ns0:is>
          <ns0:t>R03657</ns0:t>
        </ns0:is>
      </ns0:c>
      <ns0:c r="B379" s="3" t="inlineStr">
        <ns0:is>
          <ns0:t>A little breath of fresh air into an anaerobic system: How microaeration facilitates anaerobic digestion process</ns0:t>
        </ns0:is>
      </ns0:c>
      <ns0:c r="C379" s="3" t="inlineStr">
        <ns0:is>
          <ns0:t>10.1016/j.biotechadv.2018.08.007</ns0:t>
        </ns0:is>
      </ns0:c>
      <ns0:c r="D379" s="3" t="inlineStr">
        <ns0:is>
          <ns0:t>fulltext</ns0:t>
        </ns0:is>
      </ns0:c>
      <ns0:c r="E379" s="3" t="inlineStr">
        <ns0:is>
          <ns0:t>出版版（版式及版权文字）</ns0:t>
        </ns0:is>
      </ns0:c>
      <ns0:c r="F379" s="3" t="inlineStr">
        <ns0:is>
          <ns0:t>fulltext.pdf</ns0:t>
        </ns0:is>
      </ns0:c>
      <ns0:c r="G379" s="3" t="inlineStr">
        <ns0:is>
          <ns0:t>original_files/R03657/fulltext/fulltext__published__8b0a0f5e474d6cc6.pdf</ns0:t>
        </ns0:is>
      </ns0:c>
      <ns0:c r="H379" t="inlineStr">
        <ns0:is>
          <ns0:t>local_upload; main@ab8353c误传副本</ns0:t>
        </ns0:is>
      </ns0:c>
      <ns0:c r="I379" t="inlineStr">
        <ns0:is>
          <ns0:t>localdownload/R03657/fulltext.pdf; main@ab8353c:R03657/fulltext.pdf</ns0:t>
        </ns0:is>
      </ns0:c>
      <ns0:c r="J379" s="3" t="n">
        <ns0:v>1874536</ns0:v>
      </ns0:c>
      <ns0:c r="K379" s="3" t="inlineStr">
        <ns0:is>
          <ns0:t>8b0a0f5e474d6cc63465fea439b9dc6751af88b7420d3bb397ea3a8c1b4352f3</ns0:t>
        </ns0:is>
      </ns0:c>
      <ns0:c r="L379" s="3" t="inlineStr">
        <ns0:is>
          <ns0:t>identity_and_body_structure_verified</ns0:t>
        </ns0:is>
      </ns0:c>
      <ns0:c r="M379" s="3" t="inlineStr"/>
      <ns0:c r="N379" s="3" t="inlineStr">
        <ns0:is>
          <ns0:t>首页/前两页题名作者或目标DOI核对，全部页面解析及正文结构检查；不据文件名判全文。</ns0:t>
        </ns0:is>
      </ns0:c>
      <ns0:c r="O379" s="3" t="inlineStr">
        <ns0:is>
          <ns0:t>https://github.com/Colliam-Vermilion/FirstCodex/blob/results/ad-oxygen-literature-20261006/results/ad-oxygen-literature-20261006/original_files/R03657/fulltext/fulltext__published__8b0a0f5e474d6cc6.pdf</ns0:t>
        </ns0:is>
      </ns0:c>
    </ns0:row>
    <ns0:row r="380" ht="48" customHeight="1">
      <ns0:c r="A380" s="2" t="inlineStr">
        <ns0:is>
          <ns0:t>R12841</ns0:t>
        </ns0:is>
      </ns0:c>
      <ns0:c r="B380" s="2" t="inlineStr">
        <ns0:is>
          <ns0:t>Dose-response effects of microaeration on thermophilic lignocellulose-based anaerobic digestion: performance, stability and microbial community dynamics</ns0:t>
        </ns0:is>
      </ns0:c>
      <ns0:c r="C380" s="2" t="inlineStr">
        <ns0:is>
          <ns0:t>10.1016/j.biteb.2026.102593</ns0:t>
        </ns0:is>
      </ns0:c>
      <ns0:c r="D380" s="2" t="inlineStr">
        <ns0:is>
          <ns0:t>fulltext</ns0:t>
        </ns0:is>
      </ns0:c>
      <ns0:c r="E380" s="2" t="inlineStr">
        <ns0:is>
          <ns0:t>出版版（版式及版权文字）</ns0:t>
        </ns0:is>
      </ns0:c>
      <ns0:c r="F380" s="2" t="inlineStr">
        <ns0:is>
          <ns0:t>fulltext.pdf</ns0:t>
        </ns0:is>
      </ns0:c>
      <ns0:c r="G380" s="2" t="inlineStr">
        <ns0:is>
          <ns0:t>original_files/R12841/fulltext/fulltext__published__8bb95f7588cd32f1.pdf</ns0:t>
        </ns0:is>
      </ns0:c>
      <ns0:c r="H380" s="2" t="inlineStr">
        <ns0:is>
          <ns0:t>local_upload</ns0:t>
        </ns0:is>
      </ns0:c>
      <ns0:c r="I380" s="2" t="inlineStr">
        <ns0:is>
          <ns0:t>localdownload/R12841/fulltext.pdf</ns0:t>
        </ns0:is>
      </ns0:c>
      <ns0:c r="J380" s="2" t="n">
        <ns0:v>4472063</ns0:v>
      </ns0:c>
      <ns0:c r="K380" s="2" t="inlineStr">
        <ns0:is>
          <ns0:t>8bb95f7588cd32f1c4a5ebc79c76fb6e997bb6e75e78b85c779b7d893e214e4c</ns0:t>
        </ns0:is>
      </ns0:c>
      <ns0:c r="L380" s="2" t="inlineStr">
        <ns0:is>
          <ns0:t>identity_and_body_structure_verified</ns0:t>
        </ns0:is>
      </ns0:c>
      <ns0:c r="M380" s="2" t="inlineStr"/>
      <ns0:c r="N380" s="2" t="inlineStr">
        <ns0:is>
          <ns0:t>首页/前两页题名作者或目标DOI核对，全部页面解析及正文结构检查；不据文件名判全文。</ns0:t>
        </ns0:is>
      </ns0:c>
      <ns0:c r="O380" s="2" t="inlineStr">
        <ns0:is>
          <ns0:t>https://github.com/Colliam-Vermilion/FirstCodex/blob/results/ad-oxygen-literature-20261006/results/ad-oxygen-literature-20261006/original_files/R12841/fulltext/fulltext__published__8bb95f7588cd32f1.pdf</ns0:t>
        </ns0:is>
      </ns0:c>
    </ns0:row>
    <ns0:row r="381" ht="48" customHeight="1">
      <ns0:c r="A381" s="3" t="inlineStr">
        <ns0:is>
          <ns0:t>R12509</ns0:t>
        </ns0:is>
      </ns0:c>
      <ns0:c r="B381" s="3" t="inlineStr">
        <ns0:is>
          <ns0:t>A mechanism-guided, low-input Lactiplantibacillus plantarum strategy for attenuating antibiotic resistomes under oxygen re-entry during anaerobic fermentation</ns0:t>
        </ns0:is>
      </ns0:c>
      <ns0:c r="C381" s="3" t="inlineStr">
        <ns0:is>
          <ns0:t>10.1016/j.cej.2026.178822</ns0:t>
        </ns0:is>
      </ns0:c>
      <ns0:c r="D381" s="3" t="inlineStr">
        <ns0:is>
          <ns0:t>fulltext</ns0:t>
        </ns0:is>
      </ns0:c>
      <ns0:c r="E381" s="3" t="inlineStr">
        <ns0:is>
          <ns0:t>出版版（版式及版权文字）</ns0:t>
        </ns0:is>
      </ns0:c>
      <ns0:c r="F381" s="3" t="inlineStr">
        <ns0:is>
          <ns0:t>fulltext.pdf</ns0:t>
        </ns0:is>
      </ns0:c>
      <ns0:c r="G381" s="3" t="inlineStr">
        <ns0:is>
          <ns0:t>original_files/R12509/fulltext/fulltext__published__8c04deeda2dde15d.pdf</ns0:t>
        </ns0:is>
      </ns0:c>
      <ns0:c r="H381" s="3" t="inlineStr">
        <ns0:is>
          <ns0:t>local_upload</ns0:t>
        </ns0:is>
      </ns0:c>
      <ns0:c r="I381" s="3" t="inlineStr">
        <ns0:is>
          <ns0:t>localdownload/R12509/fulltext.pdf</ns0:t>
        </ns0:is>
      </ns0:c>
      <ns0:c r="J381" s="3" t="n">
        <ns0:v>10578160</ns0:v>
      </ns0:c>
      <ns0:c r="K381" s="3" t="inlineStr">
        <ns0:is>
          <ns0:t>8c04deeda2dde15d24c86df5fafff28420f8a8a4bbb295b1b7aae5dbf72d9dc9</ns0:t>
        </ns0:is>
      </ns0:c>
      <ns0:c r="L381" s="3" t="inlineStr">
        <ns0:is>
          <ns0:t>identity_and_body_structure_verified</ns0:t>
        </ns0:is>
      </ns0:c>
      <ns0:c r="M381" s="3" t="inlineStr"/>
      <ns0:c r="N381" s="3" t="inlineStr">
        <ns0:is>
          <ns0:t>首页/前两页题名作者或目标DOI核对，全部页面解析及正文结构检查；不据文件名判全文。</ns0:t>
        </ns0:is>
      </ns0:c>
      <ns0:c r="O381" s="3" t="inlineStr">
        <ns0:is>
          <ns0:t>https://github.com/Colliam-Vermilion/FirstCodex/blob/results/ad-oxygen-literature-20261006/results/ad-oxygen-literature-20261006/original_files/R12509/fulltext/fulltext__published__8c04deeda2dde15d.pdf</ns0:t>
        </ns0:is>
      </ns0:c>
    </ns0:row>
    <ns0:row r="382" ht="48" customHeight="1">
      <ns0:c r="A382" s="2" t="inlineStr">
        <ns0:is>
          <ns0:t>R13880</ns0:t>
        </ns0:is>
      </ns0:c>
      <ns0:c r="B382" s="2" t="inlineStr">
        <ns0:is>
          <ns0:t>Alleviation of ammonia inhibition via nano-bubble water supplementation during anaerobic digestion of ammonia-rich swine manure: Buffering capacity promotion and methane production enhancement</ns0:t>
        </ns0:is>
      </ns0:c>
      <ns0:c r="C382" s="2" t="inlineStr">
        <ns0:is>
          <ns0:t>10.1016/j.biortech.2021.125131</ns0:t>
        </ns0:is>
      </ns0:c>
      <ns0:c r="D382" s="2" t="inlineStr">
        <ns0:is>
          <ns0:t>fulltext</ns0:t>
        </ns0:is>
      </ns0:c>
      <ns0:c r="E382" s="2" t="inlineStr">
        <ns0:is>
          <ns0:t>出版版（版式及版权文字）</ns0:t>
        </ns0:is>
      </ns0:c>
      <ns0:c r="F382" s="2" t="inlineStr">
        <ns0:is>
          <ns0:t>fulltext.pdf</ns0:t>
        </ns0:is>
      </ns0:c>
      <ns0:c r="G382" s="2" t="inlineStr">
        <ns0:is>
          <ns0:t>original_files/R13880/fulltext/fulltext__published__8c8b7f714742c1a3.pdf</ns0:t>
        </ns0:is>
      </ns0:c>
      <ns0:c r="H382" s="2" t="inlineStr">
        <ns0:is>
          <ns0:t>local_upload</ns0:t>
        </ns0:is>
      </ns0:c>
      <ns0:c r="I382" s="2" t="inlineStr">
        <ns0:is>
          <ns0:t>localdownload/R13880/fulltext.pdf</ns0:t>
        </ns0:is>
      </ns0:c>
      <ns0:c r="J382" s="2" t="n">
        <ns0:v>2921981</ns0:v>
      </ns0:c>
      <ns0:c r="K382" s="2" t="inlineStr">
        <ns0:is>
          <ns0:t>8c8b7f714742c1a3dbc3ed065f74a248ddfe4714ca85c2bb6615636c5e7fb3ac</ns0:t>
        </ns0:is>
      </ns0:c>
      <ns0:c r="L382" s="2" t="inlineStr">
        <ns0:is>
          <ns0:t>identity_and_body_structure_verified</ns0:t>
        </ns0:is>
      </ns0:c>
      <ns0:c r="M382" s="2" t="inlineStr"/>
      <ns0:c r="N382" s="2" t="inlineStr">
        <ns0:is>
          <ns0:t>首页/前两页题名作者或目标DOI核对，全部页面解析及正文结构检查；不据文件名判全文。</ns0:t>
        </ns0:is>
      </ns0:c>
      <ns0:c r="O382" s="2" t="inlineStr">
        <ns0:is>
          <ns0:t>https://github.com/Colliam-Vermilion/FirstCodex/blob/results/ad-oxygen-literature-20261006/results/ad-oxygen-literature-20261006/original_files/R13880/fulltext/fulltext__published__8c8b7f714742c1a3.pdf</ns0:t>
        </ns0:is>
      </ns0:c>
    </ns0:row>
    <ns0:row r="383" ht="48" customHeight="1">
      <ns0:c r="A383" s="3" t="inlineStr">
        <ns0:is>
          <ns0:t>R06069</ns0:t>
        </ns0:is>
      </ns0:c>
      <ns0:c r="B383" s="3" t="inlineStr">
        <ns0:is>
          <ns0:t>Review on microaeration-based anaerobic digestion: State of the art, challenges, and prospectives</ns0:t>
        </ns0:is>
      </ns0:c>
      <ns0:c r="C383" s="3" t="inlineStr">
        <ns0:is>
          <ns0:t>10.1016/j.scitotenv.2019.136388</ns0:t>
        </ns0:is>
      </ns0:c>
      <ns0:c r="D383" s="3" t="inlineStr">
        <ns0:is>
          <ns0:t>fulltext</ns0:t>
        </ns0:is>
      </ns0:c>
      <ns0:c r="E383" s="3" t="inlineStr">
        <ns0:is>
          <ns0:t>出版版（版式及版权文字）</ns0:t>
        </ns0:is>
      </ns0:c>
      <ns0:c r="F383" s="3" t="inlineStr">
        <ns0:is>
          <ns0:t>fulltext.pdf</ns0:t>
        </ns0:is>
      </ns0:c>
      <ns0:c r="G383" s="3" t="inlineStr">
        <ns0:is>
          <ns0:t>original_files/R06069/fulltext/fulltext__published__8d8b0c609086c78d.pdf</ns0:t>
        </ns0:is>
      </ns0:c>
      <ns0:c r="H383" s="3" t="inlineStr">
        <ns0:is>
          <ns0:t>local_upload</ns0:t>
        </ns0:is>
      </ns0:c>
      <ns0:c r="I383" s="3" t="inlineStr">
        <ns0:is>
          <ns0:t>localdownload/R06069/fulltext.pdf</ns0:t>
        </ns0:is>
      </ns0:c>
      <ns0:c r="J383" s="3" t="n">
        <ns0:v>726176</ns0:v>
      </ns0:c>
      <ns0:c r="K383" s="3" t="inlineStr">
        <ns0:is>
          <ns0:t>8d8b0c609086c78dc4fd387e12dc0428e228a580b3528c778f0618e28245333c</ns0:t>
        </ns0:is>
      </ns0:c>
      <ns0:c r="L383" s="3" t="inlineStr">
        <ns0:is>
          <ns0:t>identity_and_body_structure_verified</ns0:t>
        </ns0:is>
      </ns0:c>
      <ns0:c r="M383" s="3" t="inlineStr"/>
      <ns0:c r="N383" s="3" t="inlineStr">
        <ns0:is>
          <ns0:t>首页/前两页题名作者或目标DOI核对，全部页面解析及正文结构检查；不据文件名判全文。</ns0:t>
        </ns0:is>
      </ns0:c>
      <ns0:c r="O383" s="3" t="inlineStr">
        <ns0:is>
          <ns0:t>https://github.com/Colliam-Vermilion/FirstCodex/blob/results/ad-oxygen-literature-20261006/results/ad-oxygen-literature-20261006/original_files/R06069/fulltext/fulltext__published__8d8b0c609086c78d.pdf</ns0:t>
        </ns0:is>
      </ns0:c>
    </ns0:row>
    <ns0:row r="384" ht="48" customHeight="1">
      <ns0:c r="A384" s="2" t="inlineStr">
        <ns0:is>
          <ns0:t>R13889</ns0:t>
        </ns0:is>
      </ns0:c>
      <ns0:c r="B384" s="2" t="inlineStr">
        <ns0:is>
          <ns0:t>Increase in biogas production in anaerobic sludge digestion by combining aerobic hydrolysis and addition of metallic wastes</ns0:t>
        </ns0:is>
      </ns0:c>
      <ns0:c r="C384" s="2" t="inlineStr">
        <ns0:is>
          <ns0:t>10.1016/j.renene.2018.02.004</ns0:t>
        </ns0:is>
      </ns0:c>
      <ns0:c r="D384" s="2" t="inlineStr">
        <ns0:is>
          <ns0:t>fulltext</ns0:t>
        </ns0:is>
      </ns0:c>
      <ns0:c r="E384" s="2" t="inlineStr">
        <ns0:is>
          <ns0:t>repository-labelled Postprint author manuscript; not publisher formatted version</ns0:t>
        </ns0:is>
      </ns0:c>
      <ns0:c r="F384" s="2" t="inlineStr">
        <ns0:is>
          <ns0:t>R13889_2018_Increase_in_biogas_production_in_anaerobic_sludge_digestion_by_combining_aerobic_hydrolysis_and_addi.pdf</ns0:t>
        </ns0:is>
      </ns0:c>
      <ns0:c r="G384" s="2" t="inlineStr">
        <ns0:is>
          <ns0:t>original_files/R13889/fulltext/fulltext__version_unverified__8db0dcdf434e876e.pdf</ns0:t>
        </ns0:is>
      </ns0:c>
      <ns0:c r="H384" s="2" t="inlineStr">
        <ns0:is>
          <ns0:t>cloud_existing</ns0:t>
        </ns0:is>
      </ns0:c>
      <ns0:c r="I384" s="2" t="inlineStr">
        <ns0:is>
          <ns0:t>original_files/fulltext/R13889_2018_Increase_in_biogas_production_in_anaerobic_sludge_digestion_by_combining_aerobic_hydrolysis_and_addi.pdf</ns0:t>
        </ns0:is>
      </ns0:c>
      <ns0:c r="J384" s="2" t="n">
        <ns0:v>514378</ns0:v>
      </ns0:c>
      <ns0:c r="K384" s="2" t="inlineStr">
        <ns0:is>
          <ns0:t>8db0dcdf434e876e7cbff3cf342105807bdd41a900f74c0028cb14a6c6e56779</ns0:t>
        </ns0:is>
      </ns0:c>
      <ns0:c r="L384" s="2" t="inlineStr">
        <ns0:is>
          <ns0:t>identity_and_body_structure_verified</ns0:t>
        </ns0:is>
      </ns0:c>
      <ns0:c r="M384" s="2" t="inlineStr"/>
      <ns0:c r="N384" s="2" t="inlineStr">
        <ns0:is>
          <ns0:t>首页/前两页题名作者或目标DOI核对，全部页面解析及正文结构检查；不据文件名判全文。</ns0:t>
        </ns0:is>
      </ns0:c>
      <ns0:c r="O384" s="2" t="inlineStr">
        <ns0:is>
          <ns0:t>https://github.com/Colliam-Vermilion/FirstCodex/blob/results/ad-oxygen-literature-20261006/results/ad-oxygen-literature-20261006/original_files/R13889/fulltext/fulltext__version_unverified__8db0dcdf434e876e.pdf</ns0:t>
        </ns0:is>
      </ns0:c>
    </ns0:row>
    <ns0:row r="385" ht="48" customHeight="1">
      <ns0:c r="A385" s="3" t="inlineStr">
        <ns0:is>
          <ns0:t>R09219</ns0:t>
        </ns0:is>
      </ns0:c>
      <ns0:c r="B385" s="3" t="inlineStr">
        <ns0:is>
          <ns0:t>Micro-aeration: an attractive strategy to facilitate anaerobic digestion</ns0:t>
        </ns0:is>
      </ns0:c>
      <ns0:c r="C385" s="3" t="inlineStr">
        <ns0:is>
          <ns0:t>10.1016/j.tibtech.2022.09.008</ns0:t>
        </ns0:is>
      </ns0:c>
      <ns0:c r="D385" s="3" t="inlineStr">
        <ns0:is>
          <ns0:t>fulltext</ns0:t>
        </ns0:is>
      </ns0:c>
      <ns0:c r="E385" s="3" t="inlineStr">
        <ns0:is>
          <ns0:t>出版版（版式及版权文字）</ns0:t>
        </ns0:is>
      </ns0:c>
      <ns0:c r="F385" s="3" t="inlineStr">
        <ns0:is>
          <ns0:t>fulltext.pdf</ns0:t>
        </ns0:is>
      </ns0:c>
      <ns0:c r="G385" s="3" t="inlineStr">
        <ns0:is>
          <ns0:t>original_files/R09219/fulltext/fulltext__published__8df39ca7cbd1b2fe.pdf</ns0:t>
        </ns0:is>
      </ns0:c>
      <ns0:c r="H385" s="3" t="inlineStr">
        <ns0:is>
          <ns0:t>local_upload</ns0:t>
        </ns0:is>
      </ns0:c>
      <ns0:c r="I385" s="3" t="inlineStr">
        <ns0:is>
          <ns0:t>localdownload/R09219/fulltext.pdf</ns0:t>
        </ns0:is>
      </ns0:c>
      <ns0:c r="J385" s="3" t="n">
        <ns0:v>2519163</ns0:v>
      </ns0:c>
      <ns0:c r="K385" s="3" t="inlineStr">
        <ns0:is>
          <ns0:t>8df39ca7cbd1b2feb2e07c56c553bbfbea9b050ca04b430db27de7957c5f8276</ns0:t>
        </ns0:is>
      </ns0:c>
      <ns0:c r="L385" s="3" t="inlineStr">
        <ns0:is>
          <ns0:t>identity_and_body_structure_verified</ns0:t>
        </ns0:is>
      </ns0:c>
      <ns0:c r="M385" s="3" t="inlineStr"/>
      <ns0:c r="N385" s="3" t="inlineStr">
        <ns0:is>
          <ns0:t>首页/前两页题名作者或目标DOI核对，全部页面解析及正文结构检查；不据文件名判全文。</ns0:t>
        </ns0:is>
      </ns0:c>
      <ns0:c r="O385" s="3" t="inlineStr">
        <ns0:is>
          <ns0:t>https://github.com/Colliam-Vermilion/FirstCodex/blob/results/ad-oxygen-literature-20261006/results/ad-oxygen-literature-20261006/original_files/R09219/fulltext/fulltext__published__8df39ca7cbd1b2fe.pdf</ns0:t>
        </ns0:is>
      </ns0:c>
    </ns0:row>
    <ns0:row r="386" ht="48" customHeight="1">
      <ns0:c r="A386" s="2" t="inlineStr">
        <ns0:is>
          <ns0:t>R08346</ns0:t>
        </ns0:is>
      </ns0:c>
      <ns0:c r="B386" s="2" t="inlineStr">
        <ns0:is>
          <ns0:t>Supplementation of KOH to improve salt tolerance of methanogenesis in the two-stage anaerobic digestion of food waste using pre-acclimated anaerobically digested sludge by air-nanobubble water</ns0:t>
        </ns0:is>
      </ns0:c>
      <ns0:c r="C386" s="2" t="inlineStr">
        <ns0:is>
          <ns0:t>10.1016/j.biortech.2021.126360</ns0:t>
        </ns0:is>
      </ns0:c>
      <ns0:c r="D386" s="2" t="inlineStr">
        <ns0:is>
          <ns0:t>fulltext</ns0:t>
        </ns0:is>
      </ns0:c>
      <ns0:c r="E386" s="2" t="inlineStr">
        <ns0:is>
          <ns0:t>出版版（版式及版权文字）</ns0:t>
        </ns0:is>
      </ns0:c>
      <ns0:c r="F386" s="2" t="inlineStr">
        <ns0:is>
          <ns0:t>fulltext.pdf</ns0:t>
        </ns0:is>
      </ns0:c>
      <ns0:c r="G386" s="2" t="inlineStr">
        <ns0:is>
          <ns0:t>original_files/R08346/fulltext/fulltext__published__8fbfd9ecf913a34e.pdf</ns0:t>
        </ns0:is>
      </ns0:c>
      <ns0:c r="H386" s="2" t="inlineStr">
        <ns0:is>
          <ns0:t>local_upload</ns0:t>
        </ns0:is>
      </ns0:c>
      <ns0:c r="I386" s="2" t="inlineStr">
        <ns0:is>
          <ns0:t>localdownload/R08346/fulltext.pdf</ns0:t>
        </ns0:is>
      </ns0:c>
      <ns0:c r="J386" s="2" t="n">
        <ns0:v>4361802</ns0:v>
      </ns0:c>
      <ns0:c r="K386" s="2" t="inlineStr">
        <ns0:is>
          <ns0:t>8fbfd9ecf913a34e5b72d4b5d3fe693d1d6621ac8961b0f0b1a5886fa3f9d903</ns0:t>
        </ns0:is>
      </ns0:c>
      <ns0:c r="L386" s="2" t="inlineStr">
        <ns0:is>
          <ns0:t>identity_and_body_structure_verified</ns0:t>
        </ns0:is>
      </ns0:c>
      <ns0:c r="M386" s="2" t="inlineStr"/>
      <ns0:c r="N386" s="2" t="inlineStr">
        <ns0:is>
          <ns0:t>首页/前两页题名作者或目标DOI核对，全部页面解析及正文结构检查；不据文件名判全文。</ns0:t>
        </ns0:is>
      </ns0:c>
      <ns0:c r="O386" s="2" t="inlineStr">
        <ns0:is>
          <ns0:t>https://github.com/Colliam-Vermilion/FirstCodex/blob/results/ad-oxygen-literature-20261006/results/ad-oxygen-literature-20261006/original_files/R08346/fulltext/fulltext__published__8fbfd9ecf913a34e.pdf</ns0:t>
        </ns0:is>
      </ns0:c>
    </ns0:row>
    <ns0:row r="387" ht="48" customHeight="1">
      <ns0:c r="A387" s="3" t="inlineStr">
        <ns0:is>
          <ns0:t>R06588</ns0:t>
        </ns0:is>
      </ns0:c>
      <ns0:c r="B387" s="3" t="inlineStr">
        <ns0:is>
          <ns0:t>Effect of Rotten Butter Shock Load on Anaerobic Digestion of Chicken Manure</ns0:t>
        </ns0:is>
      </ns0:c>
      <ns0:c r="C387" s="3" t="inlineStr">
        <ns0:is>
          <ns0:t>10.22146/agritech.56792</ns0:t>
        </ns0:is>
      </ns0:c>
      <ns0:c r="D387" s="3" t="inlineStr">
        <ns0:is>
          <ns0:t>source_evidence</ns0:t>
        </ns0:is>
      </ns0:c>
      <ns0:c r="E387" s="3" t="inlineStr"/>
      <ns0:c r="F387" s="3" t="inlineStr">
        <ns0:is>
          <ns0:t>publisher_article_page_20261017.html</ns0:t>
        </ns0:is>
      </ns0:c>
      <ns0:c r="G387" s="3" t="inlineStr">
        <ns0:is>
          <ns0:t>original_files/R06588/evidence/source_evidence__8fd0838c6516a6e3.html</ns0:t>
        </ns0:is>
      </ns0:c>
      <ns0:c r="H387" s="3" t="inlineStr">
        <ns0:is>
          <ns0:t>cloud_existing</ns0:t>
        </ns0:is>
      </ns0:c>
      <ns0:c r="I387" s="3" t="inlineStr">
        <ns0:is>
          <ns0:t>original_files/source_evidence/R06588/publisher_article_page_20261017.html</ns0:t>
        </ns0:is>
      </ns0:c>
      <ns0:c r="J387" s="3" t="n">
        <ns0:v>50405</ns0:v>
      </ns0:c>
      <ns0:c r="K387" s="3" t="inlineStr">
        <ns0:is>
          <ns0:t>8fd0838c6516a6e33dd95f77988ad5d07ee0c0cba47d3f613cd6cf2bede8abbf</ns0:t>
        </ns0:is>
      </ns0:c>
      <ns0:c r="L387" s="3" t="inlineStr">
        <ns0:is>
          <ns0:t>text_readable</ns0:t>
        </ns0:is>
      </ns0:c>
      <ns0:c r="M387" s="3" t="inlineStr"/>
      <ns0:c r="N387" s="3" t="inlineStr"/>
      <ns0:c r="O387" s="3" t="inlineStr">
        <ns0:is>
          <ns0:t>https://github.com/Colliam-Vermilion/FirstCodex/blob/results/ad-oxygen-literature-20261006/results/ad-oxygen-literature-20261006/original_files/R06588/evidence/source_evidence__8fd0838c6516a6e3.html</ns0:t>
        </ns0:is>
      </ns0:c>
    </ns0:row>
    <ns0:row r="388" ht="48" customHeight="1">
      <ns0:c r="A388" s="2" t="inlineStr">
        <ns0:is>
          <ns0:t>R13817</ns0:t>
        </ns0:is>
      </ns0:c>
      <ns0:c r="B388" s="2" t="inlineStr">
        <ns0:is>
          <ns0:t>Micro-aeration unlocks endogenous nitrogen removal in anaerobic digesters via metabolically versatile fermentative bacteria</ns0:t>
        </ns0:is>
      </ns0:c>
      <ns0:c r="C388" s="2" t="inlineStr">
        <ns0:is>
          <ns0:t>10.1016/j.watres.2026.126838</ns0:t>
        </ns0:is>
      </ns0:c>
      <ns0:c r="D388" s="2" t="inlineStr">
        <ns0:is>
          <ns0:t>supplementary</ns0:t>
        </ns0:is>
      </ns0:c>
      <ns0:c r="E388" s="2" t="inlineStr"/>
      <ns0:c r="F388" s="2" t="inlineStr">
        <ns0:is>
          <ns0:t>supplementary.docx</ns0:t>
        </ns0:is>
      </ns0:c>
      <ns0:c r="G388" s="2" t="inlineStr">
        <ns0:is>
          <ns0:t>original_files/R13817/supplementary/supplementary__90f0f92a33705eba.docx</ns0:t>
        </ns0:is>
      </ns0:c>
      <ns0:c r="H388" s="2" t="inlineStr">
        <ns0:is>
          <ns0:t>local_upload</ns0:t>
        </ns0:is>
      </ns0:c>
      <ns0:c r="I388" s="2" t="inlineStr">
        <ns0:is>
          <ns0:t>localdownload/R13817/supplementary.docx</ns0:t>
        </ns0:is>
      </ns0:c>
      <ns0:c r="J388" s="2" t="n">
        <ns0:v>15961374</ns0:v>
      </ns0:c>
      <ns0:c r="K388" s="2" t="inlineStr">
        <ns0:is>
          <ns0:t>90f0f92a33705ebae7f764f33c25f987604462ffef4fd8bbdbcbc76bc0878d14</ns0:t>
        </ns0:is>
      </ns0:c>
      <ns0:c r="L388" s="2" t="inlineStr">
        <ns0:is>
          <ns0:t>container_crc_verified</ns0:t>
        </ns0:is>
      </ns0:c>
      <ns0:c r="M388" s="2" t="inlineStr">
        <ns0:is>
          <ns0:t>title_in_attachment_verified</ns0:t>
        </ns0:is>
      </ns0:c>
      <ns0:c r="N388" s="2" t="inlineStr"/>
      <ns0:c r="O388" s="2" t="inlineStr">
        <ns0:is>
          <ns0:t>https://github.com/Colliam-Vermilion/FirstCodex/blob/results/ad-oxygen-literature-20261006/results/ad-oxygen-literature-20261006/original_files/R13817/supplementary/supplementary__90f0f92a33705eba.docx</ns0:t>
        </ns0:is>
      </ns0:c>
    </ns0:row>
    <ns0:row r="389" ht="48" customHeight="1">
      <ns0:c r="A389" s="3" t="inlineStr">
        <ns0:is>
          <ns0:t>R06034</ns0:t>
        </ns0:is>
      </ns0:c>
      <ns0:c r="B389" s="3" t="inlineStr">
        <ns0:is>
          <ns0:t>Rapid Two Stage Anaerobic Digestion of Nejayote through Microaeration and Direct Interspecies Electron Transfer</ns0:t>
        </ns0:is>
      </ns0:c>
      <ns0:c r="C389" s="3" t="inlineStr">
        <ns0:is>
          <ns0:t>10.3390/pr8121614</ns0:t>
        </ns0:is>
      </ns0:c>
      <ns0:c r="D389" s="3" t="inlineStr">
        <ns0:is>
          <ns0:t>source_evidence</ns0:t>
        </ns0:is>
      </ns0:c>
      <ns0:c r="E389" s="3" t="inlineStr"/>
      <ns0:c r="F389" s="3" t="inlineStr">
        <ns0:is>
          <ns0:t>publisher_article_page_20261017.html</ns0:t>
        </ns0:is>
      </ns0:c>
      <ns0:c r="G389" s="3" t="inlineStr">
        <ns0:is>
          <ns0:t>original_files/R06034/evidence/source_evidence__915bbccd2d3268dc.html</ns0:t>
        </ns0:is>
      </ns0:c>
      <ns0:c r="H389" s="3" t="inlineStr">
        <ns0:is>
          <ns0:t>cloud_existing</ns0:t>
        </ns0:is>
      </ns0:c>
      <ns0:c r="I389" s="3" t="inlineStr">
        <ns0:is>
          <ns0:t>original_files/source_evidence/R06034/publisher_article_page_20261017.html</ns0:t>
        </ns0:is>
      </ns0:c>
      <ns0:c r="J389" s="3" t="n">
        <ns0:v>525658</ns0:v>
      </ns0:c>
      <ns0:c r="K389" s="3" t="inlineStr">
        <ns0:is>
          <ns0:t>915bbccd2d3268dc98a41fbb31ea9e1bbb29b42ec1cbf6fdfaf772d7db3b0c47</ns0:t>
        </ns0:is>
      </ns0:c>
      <ns0:c r="L389" s="3" t="inlineStr">
        <ns0:is>
          <ns0:t>text_readable</ns0:t>
        </ns0:is>
      </ns0:c>
      <ns0:c r="M389" s="3" t="inlineStr"/>
      <ns0:c r="N389" s="3" t="inlineStr"/>
      <ns0:c r="O389" s="3" t="inlineStr">
        <ns0:is>
          <ns0:t>https://github.com/Colliam-Vermilion/FirstCodex/blob/results/ad-oxygen-literature-20261006/results/ad-oxygen-literature-20261006/original_files/R06034/evidence/source_evidence__915bbccd2d3268dc.html</ns0:t>
        </ns0:is>
      </ns0:c>
    </ns0:row>
    <ns0:row r="390" ht="48" customHeight="1">
      <ns0:c r="A390" s="2" t="inlineStr">
        <ns0:is>
          <ns0:t>R04899</ns0:t>
        </ns0:is>
      </ns0:c>
      <ns0:c r="B390" s="2" t="inlineStr">
        <ns0:is>
          <ns0:t>Intermittent micro-aeration: New strategy to control volatile fatty acid accumulation in high organic loading anaerobic digestion</ns0:t>
        </ns0:is>
      </ns0:c>
      <ns0:c r="C390" s="2" t="inlineStr">
        <ns0:is>
          <ns0:t>10.1016/j.watres.2019.115080</ns0:t>
        </ns0:is>
      </ns0:c>
      <ns0:c r="D390" s="2" t="inlineStr">
        <ns0:is>
          <ns0:t>fulltext</ns0:t>
        </ns0:is>
      </ns0:c>
      <ns0:c r="E390" s="2" t="inlineStr">
        <ns0:is>
          <ns0:t>出版版（版式及版权文字）</ns0:t>
        </ns0:is>
      </ns0:c>
      <ns0:c r="F390" s="2" t="inlineStr">
        <ns0:is>
          <ns0:t>fulltext.pdf</ns0:t>
        </ns0:is>
      </ns0:c>
      <ns0:c r="G390" s="2" t="inlineStr">
        <ns0:is>
          <ns0:t>original_files/R04899/fulltext/fulltext__published__92f0b2f1ad01522c.pdf</ns0:t>
        </ns0:is>
      </ns0:c>
      <ns0:c r="H390" s="2" t="inlineStr">
        <ns0:is>
          <ns0:t>local_upload</ns0:t>
        </ns0:is>
      </ns0:c>
      <ns0:c r="I390" s="2" t="inlineStr">
        <ns0:is>
          <ns0:t>localdownload/R04899/fulltext.pdf</ns0:t>
        </ns0:is>
      </ns0:c>
      <ns0:c r="J390" s="2" t="n">
        <ns0:v>2241254</ns0:v>
      </ns0:c>
      <ns0:c r="K390" s="2" t="inlineStr">
        <ns0:is>
          <ns0:t>92f0b2f1ad01522ccc4e76595e3cd022e18db61eb7367bec31eeb097881b8329</ns0:t>
        </ns0:is>
      </ns0:c>
      <ns0:c r="L390" s="2" t="inlineStr">
        <ns0:is>
          <ns0:t>identity_and_body_structure_verified</ns0:t>
        </ns0:is>
      </ns0:c>
      <ns0:c r="M390" s="2" t="inlineStr"/>
      <ns0:c r="N390" s="2" t="inlineStr">
        <ns0:is>
          <ns0:t>首页/前两页题名作者或目标DOI核对，全部页面解析及正文结构检查；不据文件名判全文。</ns0:t>
        </ns0:is>
      </ns0:c>
      <ns0:c r="O390" s="2" t="inlineStr">
        <ns0:is>
          <ns0:t>https://github.com/Colliam-Vermilion/FirstCodex/blob/results/ad-oxygen-literature-20261006/results/ad-oxygen-literature-20261006/original_files/R04899/fulltext/fulltext__published__92f0b2f1ad01522c.pdf</ns0:t>
        </ns0:is>
      </ns0:c>
    </ns0:row>
    <ns0:row r="391" ht="48" customHeight="1">
      <ns0:c r="A391" s="3" t="inlineStr">
        <ns0:is>
          <ns0:t>R13864</ns0:t>
        </ns0:is>
      </ns0:c>
      <ns0:c r="B391" s="3" t="inlineStr">
        <ns0:is>
          <ns0:t>Microaeration promotes volatile siloxanes conversion to methane and simpler monomeric products</ns0:t>
        </ns0:is>
      </ns0:c>
      <ns0:c r="C391" s="3" t="inlineStr">
        <ns0:is>
          <ns0:t>10.1016/j.biortech.2024.130673</ns0:t>
        </ns0:is>
      </ns0:c>
      <ns0:c r="D391" s="3" t="inlineStr">
        <ns0:is>
          <ns0:t>fulltext</ns0:t>
        </ns0:is>
      </ns0:c>
      <ns0:c r="E391" s="3" t="inlineStr">
        <ns0:is>
          <ns0:t>出版版（版式及版权文字）</ns0:t>
        </ns0:is>
      </ns0:c>
      <ns0:c r="F391" s="3" t="inlineStr">
        <ns0:is>
          <ns0:t>fulltext.pdf</ns0:t>
        </ns0:is>
      </ns0:c>
      <ns0:c r="G391" s="3" t="inlineStr">
        <ns0:is>
          <ns0:t>original_files/R13864/fulltext/fulltext__published__9305bd8c9ccdcd40.pdf</ns0:t>
        </ns0:is>
      </ns0:c>
      <ns0:c r="H391" s="3" t="inlineStr">
        <ns0:is>
          <ns0:t>local_upload</ns0:t>
        </ns0:is>
      </ns0:c>
      <ns0:c r="I391" s="3" t="inlineStr">
        <ns0:is>
          <ns0:t>localdownload/R13864/fulltext.pdf</ns0:t>
        </ns0:is>
      </ns0:c>
      <ns0:c r="J391" s="3" t="n">
        <ns0:v>2098952</ns0:v>
      </ns0:c>
      <ns0:c r="K391" s="3" t="inlineStr">
        <ns0:is>
          <ns0:t>9305bd8c9ccdcd40645008c38cb093e8b2c717261010416ff2b2c4328a72f6a6</ns0:t>
        </ns0:is>
      </ns0:c>
      <ns0:c r="L391" s="3" t="inlineStr">
        <ns0:is>
          <ns0:t>identity_and_body_structure_verified</ns0:t>
        </ns0:is>
      </ns0:c>
      <ns0:c r="M391" s="3" t="inlineStr"/>
      <ns0:c r="N391" s="3" t="inlineStr">
        <ns0:is>
          <ns0:t>首页/前两页题名作者或目标DOI核对，全部页面解析及正文结构检查；不据文件名判全文。</ns0:t>
        </ns0:is>
      </ns0:c>
      <ns0:c r="O391" s="3" t="inlineStr">
        <ns0:is>
          <ns0:t>https://github.com/Colliam-Vermilion/FirstCodex/blob/results/ad-oxygen-literature-20261006/results/ad-oxygen-literature-20261006/original_files/R13864/fulltext/fulltext__published__9305bd8c9ccdcd40.pdf</ns0:t>
        </ns0:is>
      </ns0:c>
    </ns0:row>
    <ns0:row r="392" ht="48" customHeight="1">
      <ns0:c r="A392" s="2" t="inlineStr">
        <ns0:is>
          <ns0:t>R13917</ns0:t>
        </ns0:is>
      </ns0:c>
      <ns0:c r="B392" s="2" t="inlineStr">
        <ns0:is>
          <ns0:t>Intermittent air mixing enhances dry anaerobic co-digestion of pig manure solid fraction and wheat straw: Methane performance and machine-learning-guided parameter optimization</ns0:t>
        </ns0:is>
      </ns0:c>
      <ns0:c r="C392" s="2" t="inlineStr">
        <ns0:is>
          <ns0:t>10.1016/j.biortech.2026.135704</ns0:t>
        </ns0:is>
      </ns0:c>
      <ns0:c r="D392" s="2" t="inlineStr">
        <ns0:is>
          <ns0:t>supplementary</ns0:t>
        </ns0:is>
      </ns0:c>
      <ns0:c r="E392" s="2" t="inlineStr"/>
      <ns0:c r="F392" s="2" t="inlineStr">
        <ns0:is>
          <ns0:t>supplementary.docx</ns0:t>
        </ns0:is>
      </ns0:c>
      <ns0:c r="G392" s="2" t="inlineStr">
        <ns0:is>
          <ns0:t>original_files/R13917/supplementary/supplementary__931ab0744b3ff934.docx</ns0:t>
        </ns0:is>
      </ns0:c>
      <ns0:c r="H392" s="2" t="inlineStr">
        <ns0:is>
          <ns0:t>local_upload</ns0:t>
        </ns0:is>
      </ns0:c>
      <ns0:c r="I392" s="2" t="inlineStr">
        <ns0:is>
          <ns0:t>localdownload/R13917/supplementary.docx</ns0:t>
        </ns0:is>
      </ns0:c>
      <ns0:c r="J392" s="2" t="n">
        <ns0:v>514799</ns0:v>
      </ns0:c>
      <ns0:c r="K392" s="2" t="inlineStr">
        <ns0:is>
          <ns0:t>931ab0744b3ff934e8e7516b9d9349677520b8d0124c675f75aaa9e2c2d71daa</ns0:t>
        </ns0:is>
      </ns0:c>
      <ns0:c r="L392" s="2" t="inlineStr">
        <ns0:is>
          <ns0:t>container_crc_verified</ns0:t>
        </ns0:is>
      </ns0:c>
      <ns0:c r="M392" s="2" t="inlineStr">
        <ns0:is>
          <ns0:t>title_in_attachment_verified</ns0:t>
        </ns0:is>
      </ns0:c>
      <ns0:c r="N392" s="2" t="inlineStr"/>
      <ns0:c r="O392" s="2" t="inlineStr">
        <ns0:is>
          <ns0:t>https://github.com/Colliam-Vermilion/FirstCodex/blob/results/ad-oxygen-literature-20261006/results/ad-oxygen-literature-20261006/original_files/R13917/supplementary/supplementary__931ab0744b3ff934.docx</ns0:t>
        </ns0:is>
      </ns0:c>
    </ns0:row>
    <ns0:row r="393" ht="48" customHeight="1">
      <ns0:c r="A393" s="3" t="inlineStr">
        <ns0:is>
          <ns0:t>R13888</ns0:t>
        </ns0:is>
      </ns0:c>
      <ns0:c r="B393" s="3" t="inlineStr">
        <ns0:is>
          <ns0:t>Influence of thermophilic aerobic digestion as a sludge pre-treatment and solids retention time of mesophilic anaerobic digestion on the methane production, sludge digestion and microbial communities in a sequential digestion process</ns0:t>
        </ns0:is>
      </ns0:c>
      <ns0:c r="C393" s="3" t="inlineStr">
        <ns0:is>
          <ns0:t>10.1016/j.watres.2013.06.041</ns0:t>
        </ns0:is>
      </ns0:c>
      <ns0:c r="D393" s="3" t="inlineStr">
        <ns0:is>
          <ns0:t>fulltext</ns0:t>
        </ns0:is>
      </ns0:c>
      <ns0:c r="E393" s="3" t="inlineStr">
        <ns0:is>
          <ns0:t>出版版（版式及版权文字）</ns0:t>
        </ns0:is>
      </ns0:c>
      <ns0:c r="F393" s="3" t="inlineStr">
        <ns0:is>
          <ns0:t>fulltext.pdf</ns0:t>
        </ns0:is>
      </ns0:c>
      <ns0:c r="G393" s="3" t="inlineStr">
        <ns0:is>
          <ns0:t>original_files/R13888/fulltext/fulltext__published__93351455d27e8f99.pdf</ns0:t>
        </ns0:is>
      </ns0:c>
      <ns0:c r="H393" s="3" t="inlineStr">
        <ns0:is>
          <ns0:t>local_upload</ns0:t>
        </ns0:is>
      </ns0:c>
      <ns0:c r="I393" s="3" t="inlineStr">
        <ns0:is>
          <ns0:t>localdownload/R13888/fulltext.pdf</ns0:t>
        </ns0:is>
      </ns0:c>
      <ns0:c r="J393" s="3" t="n">
        <ns0:v>2496248</ns0:v>
      </ns0:c>
      <ns0:c r="K393" s="3" t="inlineStr">
        <ns0:is>
          <ns0:t>93351455d27e8f9999f696b8f7ff92e4113b117d6f8dcf86bdb6e9f87802754b</ns0:t>
        </ns0:is>
      </ns0:c>
      <ns0:c r="L393" s="3" t="inlineStr">
        <ns0:is>
          <ns0:t>identity_and_body_structure_verified</ns0:t>
        </ns0:is>
      </ns0:c>
      <ns0:c r="M393" s="3" t="inlineStr"/>
      <ns0:c r="N393" s="3" t="inlineStr">
        <ns0:is>
          <ns0:t>首页/前两页题名作者或目标DOI核对，全部页面解析及正文结构检查；不据文件名判全文。</ns0:t>
        </ns0:is>
      </ns0:c>
      <ns0:c r="O393" s="3" t="inlineStr">
        <ns0:is>
          <ns0:t>https://github.com/Colliam-Vermilion/FirstCodex/blob/results/ad-oxygen-literature-20261006/results/ad-oxygen-literature-20261006/original_files/R13888/fulltext/fulltext__published__93351455d27e8f99.pdf</ns0:t>
        </ns0:is>
      </ns0:c>
    </ns0:row>
    <ns0:row r="394" ht="48" customHeight="1">
      <ns0:c r="A394" s="2" t="inlineStr">
        <ns0:is>
          <ns0:t>R11534</ns0:t>
        </ns0:is>
      </ns0:c>
      <ns0:c r="B394" s="2" t="inlineStr">
        <ns0:is>
          <ns0:t>Enhancing hydrolysis acidification process for coal gasification wastewater treatment through micro-aeration strategy: The role of micro-oxygen environment</ns0:t>
        </ns0:is>
      </ns0:c>
      <ns0:c r="C394" s="2" t="inlineStr">
        <ns0:is>
          <ns0:t>10.1016/j.watres.2025.123898</ns0:t>
        </ns0:is>
      </ns0:c>
      <ns0:c r="D394" s="2" t="inlineStr">
        <ns0:is>
          <ns0:t>supplementary</ns0:t>
        </ns0:is>
      </ns0:c>
      <ns0:c r="E394" s="2" t="inlineStr"/>
      <ns0:c r="F394" s="2" t="inlineStr">
        <ns0:is>
          <ns0:t>supplementary.docx</ns0:t>
        </ns0:is>
      </ns0:c>
      <ns0:c r="G394" s="2" t="inlineStr">
        <ns0:is>
          <ns0:t>original_files/R11534/supplementary/supplementary__93778a13403ff116.docx</ns0:t>
        </ns0:is>
      </ns0:c>
      <ns0:c r="H394" s="2" t="inlineStr">
        <ns0:is>
          <ns0:t>local_upload</ns0:t>
        </ns0:is>
      </ns0:c>
      <ns0:c r="I394" s="2" t="inlineStr">
        <ns0:is>
          <ns0:t>localdownload/R11534/supplementary.docx</ns0:t>
        </ns0:is>
      </ns0:c>
      <ns0:c r="J394" s="2" t="n">
        <ns0:v>4676657</ns0:v>
      </ns0:c>
      <ns0:c r="K394" s="2" t="inlineStr">
        <ns0:is>
          <ns0:t>93778a13403ff116f3c3344788c507acc8940f4528aebc6998ba460fc439250c</ns0:t>
        </ns0:is>
      </ns0:c>
      <ns0:c r="L394" s="2" t="inlineStr">
        <ns0:is>
          <ns0:t>container_crc_verified</ns0:t>
        </ns0:is>
      </ns0:c>
      <ns0:c r="M394" s="2" t="inlineStr">
        <ns0:is>
          <ns0:t>title_in_attachment_verified</ns0:t>
        </ns0:is>
      </ns0:c>
      <ns0:c r="N394" s="2" t="inlineStr"/>
      <ns0:c r="O394" s="2" t="inlineStr">
        <ns0:is>
          <ns0:t>https://github.com/Colliam-Vermilion/FirstCodex/blob/results/ad-oxygen-literature-20261006/results/ad-oxygen-literature-20261006/original_files/R11534/supplementary/supplementary__93778a13403ff116.docx</ns0:t>
        </ns0:is>
      </ns0:c>
    </ns0:row>
    <ns0:row r="395" ht="48" customHeight="1">
      <ns0:c r="A395" s="3" t="inlineStr">
        <ns0:is>
          <ns0:t>R13282</ns0:t>
        </ns0:is>
      </ns0:c>
      <ns0:c r="B395" s="3" t="inlineStr">
        <ns0:is>
          <ns0:t>Microaeration for Enhancement of Methane Productivity from Cassava Wastewater and Digestibility of Added Cassava Residue</ns0:t>
        </ns0:is>
      </ns0:c>
      <ns0:c r="C395" s="3" t="inlineStr">
        <ns0:is>
          <ns0:t>10.3390/fermentation12050212</ns0:t>
        </ns0:is>
      </ns0:c>
      <ns0:c r="D395" s="3" t="inlineStr">
        <ns0:is>
          <ns0:t>fulltext</ns0:t>
        </ns0:is>
      </ns0:c>
      <ns0:c r="E395" s="3" t="inlineStr">
        <ns0:is>
          <ns0:t>出版版本（原页出版信息）</ns0:t>
        </ns0:is>
      </ns0:c>
      <ns0:c r="F395" s="3" t="inlineStr">
        <ns0:is>
          <ns0:t>R13282_2026_Microaeration_for_Enhancement_of_Methane_Productivity_from_Cassava_Wastewater.pdf</ns0:t>
        </ns0:is>
      </ns0:c>
      <ns0:c r="G395" s="3" t="inlineStr">
        <ns0:is>
          <ns0:t>original_files/R13282/fulltext/fulltext__published__93cadfa778095a0e.pdf</ns0:t>
        </ns0:is>
      </ns0:c>
      <ns0:c r="H395" s="3" t="inlineStr">
        <ns0:is>
          <ns0:t>cloud_existing</ns0:t>
        </ns0:is>
      </ns0:c>
      <ns0:c r="I395" s="3" t="inlineStr">
        <ns0:is>
          <ns0:t>original_files/fulltext/R13282_2026_Microaeration_for_Enhancement_of_Methane_Productivity_from_Cassava_Wastewater.pdf</ns0:t>
        </ns0:is>
      </ns0:c>
      <ns0:c r="J395" s="3" t="n">
        <ns0:v>2825466</ns0:v>
      </ns0:c>
      <ns0:c r="K395" s="3" t="inlineStr">
        <ns0:is>
          <ns0:t>93cadfa778095a0ec79a6ee1d1b45cbba28d25c6fafc477ddfbce06f6d8faa31</ns0:t>
        </ns0:is>
      </ns0:c>
      <ns0:c r="L395" s="3" t="inlineStr">
        <ns0:is>
          <ns0:t>identity_and_body_structure_verified</ns0:t>
        </ns0:is>
      </ns0:c>
      <ns0:c r="M395" s="3" t="inlineStr"/>
      <ns0:c r="N395" s="3" t="inlineStr">
        <ns0:is>
          <ns0:t>首页/前两页题名作者或目标DOI核对，全部页面解析及正文结构检查；不据文件名判全文。</ns0:t>
        </ns0:is>
      </ns0:c>
      <ns0:c r="O395" s="3" t="inlineStr">
        <ns0:is>
          <ns0:t>https://github.com/Colliam-Vermilion/FirstCodex/blob/results/ad-oxygen-literature-20261006/results/ad-oxygen-literature-20261006/original_files/R13282/fulltext/fulltext__published__93cadfa778095a0e.pdf</ns0:t>
        </ns0:is>
      </ns0:c>
    </ns0:row>
    <ns0:row r="396" ht="48" customHeight="1">
      <ns0:c r="A396" s="2" t="inlineStr">
        <ns0:is>
          <ns0:t>R04899</ns0:t>
        </ns0:is>
      </ns0:c>
      <ns0:c r="B396" s="2" t="inlineStr">
        <ns0:is>
          <ns0:t>Intermittent micro-aeration: New strategy to control volatile fatty acid accumulation in high organic loading anaerobic digestion</ns0:t>
        </ns0:is>
      </ns0:c>
      <ns0:c r="C396" s="2" t="inlineStr">
        <ns0:is>
          <ns0:t>10.1016/j.watres.2019.115080</ns0:t>
        </ns0:is>
      </ns0:c>
      <ns0:c r="D396" s="2" t="inlineStr">
        <ns0:is>
          <ns0:t>supplementary</ns0:t>
        </ns0:is>
      </ns0:c>
      <ns0:c r="E396" s="2" t="inlineStr"/>
      <ns0:c r="F396" s="2" t="inlineStr">
        <ns0:is>
          <ns0:t>supplementary.docx</ns0:t>
        </ns0:is>
      </ns0:c>
      <ns0:c r="G396" s="2" t="inlineStr">
        <ns0:is>
          <ns0:t>original_files/R04899/supplementary/supplementary__93e7e6da6f9fc16c.docx</ns0:t>
        </ns0:is>
      </ns0:c>
      <ns0:c r="H396" s="2" t="inlineStr">
        <ns0:is>
          <ns0:t>local_upload</ns0:t>
        </ns0:is>
      </ns0:c>
      <ns0:c r="I396" s="2" t="inlineStr">
        <ns0:is>
          <ns0:t>localdownload/R04899/supplementary.docx</ns0:t>
        </ns0:is>
      </ns0:c>
      <ns0:c r="J396" s="2" t="n">
        <ns0:v>15855843</ns0:v>
      </ns0:c>
      <ns0:c r="K396" s="2" t="inlineStr">
        <ns0:is>
          <ns0:t>93e7e6da6f9fc16c9535a4cfd721b7da589326e3314fb7eee286572c71da81eb</ns0:t>
        </ns0:is>
      </ns0:c>
      <ns0:c r="L396" s="2" t="inlineStr">
        <ns0:is>
          <ns0:t>container_crc_verified</ns0:t>
        </ns0:is>
      </ns0:c>
      <ns0:c r="M396" s="2" t="inlineStr">
        <ns0:is>
          <ns0:t>title_in_attachment_verified</ns0:t>
        </ns0:is>
      </ns0:c>
      <ns0:c r="N396" s="2" t="inlineStr"/>
      <ns0:c r="O396" s="2" t="inlineStr">
        <ns0:is>
          <ns0:t>https://github.com/Colliam-Vermilion/FirstCodex/blob/results/ad-oxygen-literature-20261006/results/ad-oxygen-literature-20261006/original_files/R04899/supplementary/supplementary__93e7e6da6f9fc16c.docx</ns0:t>
        </ns0:is>
      </ns0:c>
    </ns0:row>
    <ns0:row r="397" ht="48" customHeight="1">
      <ns0:c r="A397" s="3" t="inlineStr">
        <ns0:is>
          <ns0:t>R03164</ns0:t>
        </ns0:is>
      </ns0:c>
      <ns0:c r="B397" s="3" t="inlineStr">
        <ns0:is>
          <ns0:t>Effect of micro-aeration and inoculum type on the biodegradation of lignocellulosic substrate</ns0:t>
        </ns0:is>
      </ns0:c>
      <ns0:c r="C397" s="3" t="inlineStr">
        <ns0:is>
          <ns0:t>10.1016/j.biortech.2016.11.081</ns0:t>
        </ns0:is>
      </ns0:c>
      <ns0:c r="D397" s="3" t="inlineStr">
        <ns0:is>
          <ns0:t>fulltext</ns0:t>
        </ns0:is>
      </ns0:c>
      <ns0:c r="E397" s="3" t="inlineStr">
        <ns0:is>
          <ns0:t>出版版（版式及版权文字）</ns0:t>
        </ns0:is>
      </ns0:c>
      <ns0:c r="F397" s="3" t="inlineStr">
        <ns0:is>
          <ns0:t>fulltext.pdf</ns0:t>
        </ns0:is>
      </ns0:c>
      <ns0:c r="G397" s="3" t="inlineStr">
        <ns0:is>
          <ns0:t>original_files/R03164/fulltext/fulltext__published__948ccf2541317dc8.pdf</ns0:t>
        </ns0:is>
      </ns0:c>
      <ns0:c r="H397" t="inlineStr">
        <ns0:is>
          <ns0:t>local_upload; main@ab8353c误传副本</ns0:t>
        </ns0:is>
      </ns0:c>
      <ns0:c r="I397" t="inlineStr">
        <ns0:is>
          <ns0:t>localdownload/R03164/fulltext.pdf; main@ab8353c:R03164/fulltext.pdf</ns0:t>
        </ns0:is>
      </ns0:c>
      <ns0:c r="J397" s="3" t="n">
        <ns0:v>1909616</ns0:v>
      </ns0:c>
      <ns0:c r="K397" s="3" t="inlineStr">
        <ns0:is>
          <ns0:t>948ccf2541317dc8e00eb42160e9daec06bc8b39c43b79359b07d0bcd90014a5</ns0:t>
        </ns0:is>
      </ns0:c>
      <ns0:c r="L397" s="3" t="inlineStr">
        <ns0:is>
          <ns0:t>identity_and_body_structure_verified</ns0:t>
        </ns0:is>
      </ns0:c>
      <ns0:c r="M397" s="3" t="inlineStr"/>
      <ns0:c r="N397" s="3" t="inlineStr">
        <ns0:is>
          <ns0:t>首页/前两页题名作者或目标DOI核对，全部页面解析及正文结构检查；不据文件名判全文。</ns0:t>
        </ns0:is>
      </ns0:c>
      <ns0:c r="O397" s="3" t="inlineStr">
        <ns0:is>
          <ns0:t>https://github.com/Colliam-Vermilion/FirstCodex/blob/results/ad-oxygen-literature-20261006/results/ad-oxygen-literature-20261006/original_files/R03164/fulltext/fulltext__published__948ccf2541317dc8.pdf</ns0:t>
        </ns0:is>
      </ns0:c>
    </ns0:row>
    <ns0:row r="398" ht="48" customHeight="1">
      <ns0:c r="A398" s="2" t="inlineStr">
        <ns0:is>
          <ns0:t>R13859</ns0:t>
        </ns0:is>
      </ns0:c>
      <ns0:c r="B398" s="2" t="inlineStr">
        <ns0:is>
          <ns0:t>Importance of digester’s headspace geometry for the efficient H2S removal through microaeration; experimental and simulation study</ns0:t>
        </ns0:is>
      </ns0:c>
      <ns0:c r="C398" s="2" t="inlineStr">
        <ns0:is>
          <ns0:t>10.1016/j.fuel.2024.130900</ns0:t>
        </ns0:is>
      </ns0:c>
      <ns0:c r="D398" s="2" t="inlineStr">
        <ns0:is>
          <ns0:t>fulltext</ns0:t>
        </ns0:is>
      </ns0:c>
      <ns0:c r="E398" s="2" t="inlineStr">
        <ns0:is>
          <ns0:t>出版版（版式及版权文字）</ns0:t>
        </ns0:is>
      </ns0:c>
      <ns0:c r="F398" s="2" t="inlineStr">
        <ns0:is>
          <ns0:t>fulltext.pdf</ns0:t>
        </ns0:is>
      </ns0:c>
      <ns0:c r="G398" s="2" t="inlineStr">
        <ns0:is>
          <ns0:t>original_files/R13859/fulltext/fulltext__published__951ec15280a733dc.pdf</ns0:t>
        </ns0:is>
      </ns0:c>
      <ns0:c r="H398" s="2" t="inlineStr">
        <ns0:is>
          <ns0:t>local_upload</ns0:t>
        </ns0:is>
      </ns0:c>
      <ns0:c r="I398" s="2" t="inlineStr">
        <ns0:is>
          <ns0:t>localdownload/R13859/fulltext.pdf</ns0:t>
        </ns0:is>
      </ns0:c>
      <ns0:c r="J398" s="2" t="n">
        <ns0:v>11820795</ns0:v>
      </ns0:c>
      <ns0:c r="K398" s="2" t="inlineStr">
        <ns0:is>
          <ns0:t>951ec15280a733dc2b4f86c8b2527c3d5551a148c84472175b47d00a7a6abf35</ns0:t>
        </ns0:is>
      </ns0:c>
      <ns0:c r="L398" s="2" t="inlineStr">
        <ns0:is>
          <ns0:t>identity_and_body_structure_verified</ns0:t>
        </ns0:is>
      </ns0:c>
      <ns0:c r="M398" s="2" t="inlineStr"/>
      <ns0:c r="N398" s="2" t="inlineStr">
        <ns0:is>
          <ns0:t>首页/前两页题名作者或目标DOI核对，全部页面解析及正文结构检查；不据文件名判全文。</ns0:t>
        </ns0:is>
      </ns0:c>
      <ns0:c r="O398" s="2" t="inlineStr">
        <ns0:is>
          <ns0:t>https://github.com/Colliam-Vermilion/FirstCodex/blob/results/ad-oxygen-literature-20261006/results/ad-oxygen-literature-20261006/original_files/R13859/fulltext/fulltext__published__951ec15280a733dc.pdf</ns0:t>
        </ns0:is>
      </ns0:c>
    </ns0:row>
    <ns0:row r="399" ht="48" customHeight="1">
      <ns0:c r="A399" s="3" t="inlineStr">
        <ns0:is>
          <ns0:t>R02863</ns0:t>
        </ns0:is>
      </ns0:c>
      <ns0:c r="B399" s="3" t="inlineStr">
        <ns0:is>
          <ns0:t>Transformations, Inhibition and Inhibition Control Methods of Sulfur in Sludge Anaerobic Digestion: A Review</ns0:t>
        </ns0:is>
      </ns0:c>
      <ns0:c r="C399" s="3" t="inlineStr">
        <ns0:is>
          <ns0:t>10.2174/1385272820666160513152913</ns0:t>
        </ns0:is>
      </ns0:c>
      <ns0:c r="D399" s="3" t="inlineStr">
        <ns0:is>
          <ns0:t>uncertain</ns0:t>
        </ns0:is>
      </ns0:c>
      <ns0:c r="E399" s="3" t="inlineStr"/>
      <ns0:c r="F399" s="3" t="inlineStr">
        <ns0:is>
          <ns0:t>R02863_2016_Transformations_Inhibition_and_Inhibition_Control_Methods_of_Sulfur_in_Sludge_Anaerobic_Digestion_A__96f875a8ccf3.pdf; R04721_2019_Effects_of_Gas_Supplying_Patterns_on_Aerobic_Anaerobic_Biogas_Production_of_Rice_Straw_96f875a8ccf3.pdf</ns0:t>
        </ns0:is>
      </ns0:c>
      <ns0:c r="G399" s="3" t="inlineStr">
        <ns0:is>
          <ns0:t>original_files/R02863/uncertain/uncertain__96f875a8ccf3e269.pdf</ns0:t>
        </ns0:is>
      </ns0:c>
      <ns0:c r="H399" s="3" t="inlineStr">
        <ns0:is>
          <ns0:t>cloud_existing</ns0:t>
        </ns0:is>
      </ns0:c>
      <ns0:c r="I399" s="3" t="inlineStr">
        <ns0:is>
          <ns0:t>original_files/continuation_20261017/candidates/R02863_2016_Transformations_Inhibition_and_Inhibition_Control_Methods_of_Sulfur_in_Sludge_Anaerobic_Digestion_A__96f875a8ccf3.pdf; original_files/continuation_20261017/candidates/R04721_2019_Effects_of_Gas_Supplying_Patterns_on_Aerobic_Anaerobic_Biogas_Production_of_Rice_Straw_96f875a8ccf3.pdf</ns0:t>
        </ns0:is>
      </ns0:c>
      <ns0:c r="J399" s="3" t="n">
        <ns0:v>2144463</ns0:v>
      </ns0:c>
      <ns0:c r="K399" s="3" t="inlineStr">
        <ns0:is>
          <ns0:t>96f875a8ccf3e26986db7461de3195f9402855335383b93602b15b6ca6085490</ns0:t>
        </ns0:is>
      </ns0:c>
      <ns0:c r="L399" s="3" t="inlineStr">
        <ns0:is>
          <ns0:t>historical_candidate_not_target_fulltext</ns0:t>
        </ns0:is>
      </ns0:c>
      <ns0:c r="M399" s="3" t="inlineStr"/>
      <ns0:c r="N399" s="3" t="inlineStr">
        <ns0:is>
          <ns0:t>历史候选抓取物：出版商目录/广告、期刊索引或检索页等，目标身份及正文不成立；原件保留，不计全文或科研补充材料。</ns0:t>
        </ns0:is>
      </ns0:c>
      <ns0:c r="O399" s="3" t="inlineStr">
        <ns0:is>
          <ns0:t>https://github.com/Colliam-Vermilion/FirstCodex/blob/results/ad-oxygen-literature-20261006/results/ad-oxygen-literature-20261006/original_files/R02863/uncertain/uncertain__96f875a8ccf3e269.pdf</ns0:t>
        </ns0:is>
      </ns0:c>
    </ns0:row>
    <ns0:row r="400" ht="48" customHeight="1">
      <ns0:c r="A400" s="2" t="inlineStr">
        <ns0:is>
          <ns0:t>R10833</ns0:t>
        </ns0:is>
      </ns0:c>
      <ns0:c r="B400" s="2" t="inlineStr">
        <ns0:is>
          <ns0:t>Synchronous improvement of methane production and digestate dewaterability in sludge anaerobic digestion by nanobubble</ns0:t>
        </ns0:is>
      </ns0:c>
      <ns0:c r="C400" s="2" t="inlineStr">
        <ns0:is>
          <ns0:t>10.1016/j.biortech.2024.130791</ns0:t>
        </ns0:is>
      </ns0:c>
      <ns0:c r="D400" s="2" t="inlineStr">
        <ns0:is>
          <ns0:t>supplementary</ns0:t>
        </ns0:is>
      </ns0:c>
      <ns0:c r="E400" s="2" t="inlineStr"/>
      <ns0:c r="F400" s="2" t="inlineStr">
        <ns0:is>
          <ns0:t>supplementary.docx</ns0:t>
        </ns0:is>
      </ns0:c>
      <ns0:c r="G400" s="2" t="inlineStr">
        <ns0:is>
          <ns0:t>original_files/R10833/supplementary/supplementary__978850b2399a4b4b.docx</ns0:t>
        </ns0:is>
      </ns0:c>
      <ns0:c r="H400" s="2" t="inlineStr">
        <ns0:is>
          <ns0:t>local_upload</ns0:t>
        </ns0:is>
      </ns0:c>
      <ns0:c r="I400" s="2" t="inlineStr">
        <ns0:is>
          <ns0:t>localdownload/R10833/supplementary.docx</ns0:t>
        </ns0:is>
      </ns0:c>
      <ns0:c r="J400" s="2" t="n">
        <ns0:v>667345</ns0:v>
      </ns0:c>
      <ns0:c r="K400" s="2" t="inlineStr">
        <ns0:is>
          <ns0:t>978850b2399a4b4bc236fa7dbeaac16e05d60db9311ba863dc47d82ecab98a61</ns0:t>
        </ns0:is>
      </ns0:c>
      <ns0:c r="L400" s="2" t="inlineStr">
        <ns0:is>
          <ns0:t>container_crc_verified</ns0:t>
        </ns0:is>
      </ns0:c>
      <ns0:c r="M400" s="2" t="inlineStr">
        <ns0:is>
          <ns0:t>title_in_attachment_verified</ns0:t>
        </ns0:is>
      </ns0:c>
      <ns0:c r="N400" s="2" t="inlineStr"/>
      <ns0:c r="O400" s="2" t="inlineStr">
        <ns0:is>
          <ns0:t>https://github.com/Colliam-Vermilion/FirstCodex/blob/results/ad-oxygen-literature-20261006/results/ad-oxygen-literature-20261006/original_files/R10833/supplementary/supplementary__978850b2399a4b4b.docx</ns0:t>
        </ns0:is>
      </ns0:c>
    </ns0:row>
    <ns0:row r="401" ht="48" customHeight="1">
      <ns0:c r="A401" s="3" t="inlineStr">
        <ns0:is>
          <ns0:t>R08393</ns0:t>
        </ns0:is>
      </ns0:c>
      <ns0:c r="B401" s="3" t="inlineStr">
        <ns0:is>
          <ns0:t>The effects of micro-aeration on semi-continued anaerobic digestion of corn straw with increasing organic loading rates</ns0:t>
        </ns0:is>
      </ns0:c>
      <ns0:c r="C401" s="3" t="inlineStr">
        <ns0:is>
          <ns0:t>10.1016/j.renene.2022.06.106</ns0:t>
        </ns0:is>
      </ns0:c>
      <ns0:c r="D401" s="3" t="inlineStr">
        <ns0:is>
          <ns0:t>supplementary</ns0:t>
        </ns0:is>
      </ns0:c>
      <ns0:c r="E401" s="3" t="inlineStr"/>
      <ns0:c r="F401" s="3" t="inlineStr">
        <ns0:is>
          <ns0:t>supplementary.docx</ns0:t>
        </ns0:is>
      </ns0:c>
      <ns0:c r="G401" s="3" t="inlineStr">
        <ns0:is>
          <ns0:t>original_files/R08393/supplementary/supplementary__97f3045bbf7c1650.docx</ns0:t>
        </ns0:is>
      </ns0:c>
      <ns0:c r="H401" s="3" t="inlineStr">
        <ns0:is>
          <ns0:t>local_upload</ns0:t>
        </ns0:is>
      </ns0:c>
      <ns0:c r="I401" s="3" t="inlineStr">
        <ns0:is>
          <ns0:t>localdownload/R08393/supplementary.docx</ns0:t>
        </ns0:is>
      </ns0:c>
      <ns0:c r="J401" s="3" t="n">
        <ns0:v>368882</ns0:v>
      </ns0:c>
      <ns0:c r="K401" s="3" t="inlineStr">
        <ns0:is>
          <ns0:t>97f3045bbf7c1650a3f6fa967368213be8775e8cd2d1109bae99f9546e4af309</ns0:t>
        </ns0:is>
      </ns0:c>
      <ns0:c r="L401" s="3" t="inlineStr">
        <ns0:is>
          <ns0:t>container_crc_verified</ns0:t>
        </ns0:is>
      </ns0:c>
      <ns0:c r="M401" s="3" t="inlineStr">
        <ns0:is>
          <ns0:t>directory_and_content_consistent_identity_pending</ns0:t>
        </ns0:is>
      </ns0:c>
      <ns0:c r="N401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01" s="3" t="inlineStr">
        <ns0:is>
          <ns0:t>https://github.com/Colliam-Vermilion/FirstCodex/blob/results/ad-oxygen-literature-20261006/results/ad-oxygen-literature-20261006/original_files/R08393/supplementary/supplementary__97f3045bbf7c1650.docx</ns0:t>
        </ns0:is>
      </ns0:c>
    </ns0:row>
    <ns0:row r="402" ht="48" customHeight="1">
      <ns0:c r="A402" s="2" t="inlineStr">
        <ns0:is>
          <ns0:t>R02340</ns0:t>
        </ns0:is>
      </ns0:c>
      <ns0:c r="B402" s="2" t="inlineStr">
        <ns0:is>
          <ns0:t>Biogas production enhancement using semi-aerobic pre-aeration in a hybrid bioreactor landfill</ns0:t>
        </ns0:is>
      </ns0:c>
      <ns0:c r="C402" s="2" t="inlineStr">
        <ns0:is>
          <ns0:t>10.1016/j.wasman.2015.10.025</ns0:t>
        </ns0:is>
      </ns0:c>
      <ns0:c r="D402" s="2" t="inlineStr">
        <ns0:is>
          <ns0:t>fulltext</ns0:t>
        </ns0:is>
      </ns0:c>
      <ns0:c r="E402" s="2" t="inlineStr">
        <ns0:is>
          <ns0:t>出版版（版式及版权文字）</ns0:t>
        </ns0:is>
      </ns0:c>
      <ns0:c r="F402" s="2" t="inlineStr">
        <ns0:is>
          <ns0:t>fulltext.pdf</ns0:t>
        </ns0:is>
      </ns0:c>
      <ns0:c r="G402" s="2" t="inlineStr">
        <ns0:is>
          <ns0:t>original_files/R02340/fulltext/fulltext__published__97fce73e3525cec6.pdf</ns0:t>
        </ns0:is>
      </ns0:c>
      <ns0:c r="H402" t="inlineStr">
        <ns0:is>
          <ns0:t>local_upload; main@ab8353c误传副本</ns0:t>
        </ns0:is>
      </ns0:c>
      <ns0:c r="I402" t="inlineStr">
        <ns0:is>
          <ns0:t>localdownload/R02340/fulltext.pdf; main@ab8353c:R02340/fulltext.pdf</ns0:t>
        </ns0:is>
      </ns0:c>
      <ns0:c r="J402" s="2" t="n">
        <ns0:v>2241580</ns0:v>
      </ns0:c>
      <ns0:c r="K402" s="2" t="inlineStr">
        <ns0:is>
          <ns0:t>97fce73e3525cec6028a56e81fac50aa1cbb3e2abe85424d09504309ca947980</ns0:t>
        </ns0:is>
      </ns0:c>
      <ns0:c r="L402" s="2" t="inlineStr">
        <ns0:is>
          <ns0:t>identity_and_body_structure_verified</ns0:t>
        </ns0:is>
      </ns0:c>
      <ns0:c r="M402" s="2" t="inlineStr"/>
      <ns0:c r="N402" s="2" t="inlineStr">
        <ns0:is>
          <ns0:t>首页/前两页题名作者或目标DOI核对，全部页面解析及正文结构检查；不据文件名判全文。</ns0:t>
        </ns0:is>
      </ns0:c>
      <ns0:c r="O402" s="2" t="inlineStr">
        <ns0:is>
          <ns0:t>https://github.com/Colliam-Vermilion/FirstCodex/blob/results/ad-oxygen-literature-20261006/results/ad-oxygen-literature-20261006/original_files/R02340/fulltext/fulltext__published__97fce73e3525cec6.pdf</ns0:t>
        </ns0:is>
      </ns0:c>
    </ns0:row>
    <ns0:row r="403" ht="48" customHeight="1">
      <ns0:c r="A403" s="3" t="inlineStr">
        <ns0:is>
          <ns0:t>R12985</ns0:t>
        </ns0:is>
      </ns0:c>
      <ns0:c r="B403" s="3" t="inlineStr">
        <ns0:is>
          <ns0:t>Evaluation of Anaerobic Digestion Amended with Micro-Aeration and/or Sound Treatment on the Resistome and Virulence Factor Gene Profiles in Poultry Litter</ns0:t>
        </ns0:is>
      </ns0:c>
      <ns0:c r="C403" s="3" t="inlineStr">
        <ns0:is>
          <ns0:t>10.3390/antibiotics15020153</ns0:t>
        </ns0:is>
      </ns0:c>
      <ns0:c r="D403" s="3" t="inlineStr">
        <ns0:is>
          <ns0:t>derived</ns0:t>
        </ns0:is>
      </ns0:c>
      <ns0:c r="E403" s="3" t="inlineStr"/>
      <ns0:c r="F403" s="3" t="inlineStr">
        <ns0:is>
          <ns0:t>Supplementary Table S4-Summary Table for ARG classes.xlsx</ns0:t>
        </ns0:is>
      </ns0:c>
      <ns0:c r="G403" s="3" t="inlineStr">
        <ns0:is>
          <ns0:t>original_files/R12985/derived/derived__99672ebb9aaa605b.xlsx</ns0:t>
        </ns0:is>
      </ns0:c>
      <ns0:c r="H403" s="3" t="inlineStr">
        <ns0:is>
          <ns0:t>cloud_existing</ns0:t>
        </ns0:is>
      </ns0:c>
      <ns0:c r="I403" s="3" t="inlineStr">
        <ns0:is>
          <ns0:t>original_files/supplementary/R12985/extracted/Supplementary Table S4-Summary Table for ARG classes.xlsx</ns0:t>
        </ns0:is>
      </ns0:c>
      <ns0:c r="J403" s="3" t="n">
        <ns0:v>43818</ns0:v>
      </ns0:c>
      <ns0:c r="K403" s="3" t="inlineStr">
        <ns0:is>
          <ns0:t>99672ebb9aaa605bbfdbd485ae7eaf7c5863075aa63643472ffe22706e5698f4</ns0:t>
        </ns0:is>
      </ns0:c>
      <ns0:c r="L403" s="3" t="inlineStr">
        <ns0:is>
          <ns0:t>xlsx_open_and_zip_crc_verified</ns0:t>
        </ns0:is>
      </ns0:c>
      <ns0:c r="M403" s="3" t="inlineStr"/>
      <ns0:c r="N403" s="3" t="inlineStr"/>
      <ns0:c r="O403" s="3" t="inlineStr">
        <ns0:is>
          <ns0:t>https://github.com/Colliam-Vermilion/FirstCodex/blob/results/ad-oxygen-literature-20261006/results/ad-oxygen-literature-20261006/original_files/R12985/derived/derived__99672ebb9aaa605b.xlsx</ns0:t>
        </ns0:is>
      </ns0:c>
    </ns0:row>
    <ns0:row r="404" ht="48" customHeight="1">
      <ns0:c r="A404" s="2" t="inlineStr">
        <ns0:is>
          <ns0:t>R06294</ns0:t>
        </ns0:is>
      </ns0:c>
      <ns0:c r="B404" s="2" t="inlineStr">
        <ns0:is>
          <ns0:t>Addition of air-nanobubble water to mitigate the inhibition of high salinity on co-production of hydrogen and methane from two-stage anaerobic digestion of food waste</ns0:t>
        </ns0:is>
      </ns0:c>
      <ns0:c r="C404" s="2" t="inlineStr">
        <ns0:is>
          <ns0:t>10.1016/j.jclepro.2021.127942</ns0:t>
        </ns0:is>
      </ns0:c>
      <ns0:c r="D404" s="2" t="inlineStr">
        <ns0:is>
          <ns0:t>fulltext</ns0:t>
        </ns0:is>
      </ns0:c>
      <ns0:c r="E404" s="2" t="inlineStr">
        <ns0:is>
          <ns0:t>出版版（版式及版权文字）</ns0:t>
        </ns0:is>
      </ns0:c>
      <ns0:c r="F404" s="2" t="inlineStr">
        <ns0:is>
          <ns0:t>fulltext.pdf</ns0:t>
        </ns0:is>
      </ns0:c>
      <ns0:c r="G404" s="2" t="inlineStr">
        <ns0:is>
          <ns0:t>original_files/R06294/fulltext/fulltext__published__99b6d8dec3f1e792.pdf</ns0:t>
        </ns0:is>
      </ns0:c>
      <ns0:c r="H404" s="2" t="inlineStr">
        <ns0:is>
          <ns0:t>local_upload</ns0:t>
        </ns0:is>
      </ns0:c>
      <ns0:c r="I404" s="2" t="inlineStr">
        <ns0:is>
          <ns0:t>localdownload/R06294/fulltext.pdf</ns0:t>
        </ns0:is>
      </ns0:c>
      <ns0:c r="J404" s="2" t="n">
        <ns0:v>7213400</ns0:v>
      </ns0:c>
      <ns0:c r="K404" s="2" t="inlineStr">
        <ns0:is>
          <ns0:t>99b6d8dec3f1e7922087c2ffd3f630bccfbbb99ffe754581881f2a541035957d</ns0:t>
        </ns0:is>
      </ns0:c>
      <ns0:c r="L404" s="2" t="inlineStr">
        <ns0:is>
          <ns0:t>identity_and_body_structure_verified</ns0:t>
        </ns0:is>
      </ns0:c>
      <ns0:c r="M404" s="2" t="inlineStr"/>
      <ns0:c r="N404" s="2" t="inlineStr">
        <ns0:is>
          <ns0:t>首页/前两页题名作者或目标DOI核对，全部页面解析及正文结构检查；不据文件名判全文。</ns0:t>
        </ns0:is>
      </ns0:c>
      <ns0:c r="O404" s="2" t="inlineStr">
        <ns0:is>
          <ns0:t>https://github.com/Colliam-Vermilion/FirstCodex/blob/results/ad-oxygen-literature-20261006/results/ad-oxygen-literature-20261006/original_files/R06294/fulltext/fulltext__published__99b6d8dec3f1e792.pdf</ns0:t>
        </ns0:is>
      </ns0:c>
    </ns0:row>
    <ns0:row r="405" ht="48" customHeight="1">
      <ns0:c r="A405" s="3" t="inlineStr">
        <ns0:is>
          <ns0:t>R10290</ns0:t>
        </ns0:is>
      </ns0:c>
      <ns0:c r="B405" s="3" t="inlineStr">
        <ns0:is>
          <ns0:t>Gas nanobubble technology in wastewater treatment and anaerobic digestion</ns0:t>
        </ns0:is>
      </ns0:c>
      <ns0:c r="C405" s="3" t="inlineStr">
        <ns0:is>
          <ns0:t>10.34135/nbc.2100</ns0:t>
        </ns0:is>
      </ns0:c>
      <ns0:c r="D405" s="3" t="inlineStr">
        <ns0:is>
          <ns0:t>source_evidence</ns0:t>
        </ns0:is>
      </ns0:c>
      <ns0:c r="E405" s="3" t="inlineStr"/>
      <ns0:c r="F405" s="3" t="inlineStr">
        <ns0:is>
          <ns0:t>publisher_article_page_20261017.html</ns0:t>
        </ns0:is>
      </ns0:c>
      <ns0:c r="G405" s="3" t="inlineStr">
        <ns0:is>
          <ns0:t>original_files/R10290/evidence/source_evidence__9a3491b2e1e775f4.html</ns0:t>
        </ns0:is>
      </ns0:c>
      <ns0:c r="H405" s="3" t="inlineStr">
        <ns0:is>
          <ns0:t>cloud_existing</ns0:t>
        </ns0:is>
      </ns0:c>
      <ns0:c r="I405" s="3" t="inlineStr">
        <ns0:is>
          <ns0:t>original_files/source_evidence/R10290/publisher_article_page_20261017.html</ns0:t>
        </ns0:is>
      </ns0:c>
      <ns0:c r="J405" s="3" t="n">
        <ns0:v>25671</ns0:v>
      </ns0:c>
      <ns0:c r="K405" s="3" t="inlineStr">
        <ns0:is>
          <ns0:t>9a3491b2e1e775f42abb9e0fdf9642f285df5d6c2829a95009bfb7a3a10b1c10</ns0:t>
        </ns0:is>
      </ns0:c>
      <ns0:c r="L405" s="3" t="inlineStr">
        <ns0:is>
          <ns0:t>text_readable</ns0:t>
        </ns0:is>
      </ns0:c>
      <ns0:c r="M405" s="3" t="inlineStr"/>
      <ns0:c r="N405" s="3" t="inlineStr"/>
      <ns0:c r="O405" s="3" t="inlineStr">
        <ns0:is>
          <ns0:t>https://github.com/Colliam-Vermilion/FirstCodex/blob/results/ad-oxygen-literature-20261006/results/ad-oxygen-literature-20261006/original_files/R10290/evidence/source_evidence__9a3491b2e1e775f4.html</ns0:t>
        </ns0:is>
      </ns0:c>
    </ns0:row>
    <ns0:row r="406" ht="48" customHeight="1">
      <ns0:c r="A406" s="2" t="inlineStr">
        <ns0:is>
          <ns0:t>R13928</ns0:t>
        </ns0:is>
      </ns0:c>
      <ns0:c r="B406" s="2" t="inlineStr">
        <ns0:is>
          <ns0:t>The impact of aerobic pretreatment of agro and industrial wastes on their biomethanation potential in Nisargruna technology</ns0:t>
        </ns0:is>
      </ns0:c>
      <ns0:c r="C406" s="2" t="inlineStr">
        <ns0:is>
          <ns0:t>10.38150/sajeb.11(5).p548-556</ns0:t>
        </ns0:is>
      </ns0:c>
      <ns0:c r="D406" s="2" t="inlineStr">
        <ns0:is>
          <ns0:t>uncertain</ns0:t>
        </ns0:is>
      </ns0:c>
      <ns0:c r="E406" s="2" t="inlineStr"/>
      <ns0:c r="F406" s="2" t="inlineStr">
        <ns0:is>
          <ns0:t>R13928_2021_The_impact_of_aerobic_pretreatment_of_agro_and_industrial_wastes_on_their_biomethanation_potential_i_9a5ac478146e.pdf</ns0:t>
        </ns0:is>
      </ns0:c>
      <ns0:c r="G406" s="2" t="inlineStr">
        <ns0:is>
          <ns0:t>original_files/R13928/uncertain/uncertain__9a5ac478146e1c56.pdf</ns0:t>
        </ns0:is>
      </ns0:c>
      <ns0:c r="H406" s="2" t="inlineStr">
        <ns0:is>
          <ns0:t>cloud_existing</ns0:t>
        </ns0:is>
      </ns0:c>
      <ns0:c r="I406" s="2" t="inlineStr">
        <ns0:is>
          <ns0:t>original_files/continuation_20261017/candidates/R13928_2021_The_impact_of_aerobic_pretreatment_of_agro_and_industrial_wastes_on_their_biomethanation_potential_i_9a5ac478146e.pdf</ns0:t>
        </ns0:is>
      </ns0:c>
      <ns0:c r="J406" s="2" t="n">
        <ns0:v>291257</ns0:v>
      </ns0:c>
      <ns0:c r="K406" s="2" t="inlineStr">
        <ns0:is>
          <ns0:t>9a5ac478146e1c5678b2dc76632b052fd8dd3715eba55fe381c8b7836771e2d6</ns0:t>
        </ns0:is>
      </ns0:c>
      <ns0:c r="L406" s="2" t="inlineStr">
        <ns0:is>
          <ns0:t>historical_candidate_not_target_fulltext</ns0:t>
        </ns0:is>
      </ns0:c>
      <ns0:c r="M406" s="2" t="inlineStr"/>
      <ns0:c r="N406" s="2" t="inlineStr">
        <ns0:is>
          <ns0:t>历史候选抓取物：出版商目录/广告、期刊索引或检索页等，目标身份及正文不成立；原件保留，不计全文或科研补充材料。</ns0:t>
        </ns0:is>
      </ns0:c>
      <ns0:c r="O406" s="2" t="inlineStr">
        <ns0:is>
          <ns0:t>https://github.com/Colliam-Vermilion/FirstCodex/blob/results/ad-oxygen-literature-20261006/results/ad-oxygen-literature-20261006/original_files/R13928/uncertain/uncertain__9a5ac478146e1c56.pdf</ns0:t>
        </ns0:is>
      </ns0:c>
    </ns0:row>
    <ns0:row r="407" ht="48" customHeight="1">
      <ns0:c r="A407" s="3" t="inlineStr">
        <ns0:is>
          <ns0:t>R10187</ns0:t>
        </ns0:is>
      </ns0:c>
      <ns0:c r="B407" s="3" t="inlineStr">
        <ns0:is>
          <ns0:t>Enhancement of methane production from anaerobic digestion of Erigeron canadensis via O2-nanobubble water supplementation</ns0:t>
        </ns0:is>
      </ns0:c>
      <ns0:c r="C407" s="3" t="inlineStr">
        <ns0:is>
          <ns0:t>10.1016/j.chemosphere.2024.141732</ns0:t>
        </ns0:is>
      </ns0:c>
      <ns0:c r="D407" s="3" t="inlineStr">
        <ns0:is>
          <ns0:t>supplementary</ns0:t>
        </ns0:is>
      </ns0:c>
      <ns0:c r="E407" s="3" t="inlineStr"/>
      <ns0:c r="F407" s="3" t="inlineStr">
        <ns0:is>
          <ns0:t>supplementary.docx</ns0:t>
        </ns0:is>
      </ns0:c>
      <ns0:c r="G407" s="3" t="inlineStr">
        <ns0:is>
          <ns0:t>original_files/R10187/supplementary/supplementary__9b5e4725b27653c8.docx</ns0:t>
        </ns0:is>
      </ns0:c>
      <ns0:c r="H407" s="3" t="inlineStr">
        <ns0:is>
          <ns0:t>local_upload</ns0:t>
        </ns0:is>
      </ns0:c>
      <ns0:c r="I407" s="3" t="inlineStr">
        <ns0:is>
          <ns0:t>localdownload/R10187/supplementary.docx</ns0:t>
        </ns0:is>
      </ns0:c>
      <ns0:c r="J407" s="3" t="n">
        <ns0:v>3277053</ns0:v>
      </ns0:c>
      <ns0:c r="K407" s="3" t="inlineStr">
        <ns0:is>
          <ns0:t>9b5e4725b27653c849ac0cf93f9b3a93549b3a33d644a5a6db2ee2cfdc260d1b</ns0:t>
        </ns0:is>
      </ns0:c>
      <ns0:c r="L407" s="3" t="inlineStr">
        <ns0:is>
          <ns0:t>container_crc_verified</ns0:t>
        </ns0:is>
      </ns0:c>
      <ns0:c r="M407" s="3" t="inlineStr">
        <ns0:is>
          <ns0:t>directory_and_content_consistent_identity_pending</ns0:t>
        </ns0:is>
      </ns0:c>
      <ns0:c r="N407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07" s="3" t="inlineStr">
        <ns0:is>
          <ns0:t>https://github.com/Colliam-Vermilion/FirstCodex/blob/results/ad-oxygen-literature-20261006/results/ad-oxygen-literature-20261006/original_files/R10187/supplementary/supplementary__9b5e4725b27653c8.docx</ns0:t>
        </ns0:is>
      </ns0:c>
    </ns0:row>
    <ns0:row r="408" ht="48" customHeight="1">
      <ns0:c r="A408" s="2" t="inlineStr">
        <ns0:is>
          <ns0:t>R02176</ns0:t>
        </ns0:is>
      </ns0:c>
      <ns0:c r="B408" s="2" t="inlineStr">
        <ns0:is>
          <ns0:t>The chemical properties and microbial community characterization of the thermophilic microaerobic pretreatment process</ns0:t>
        </ns0:is>
      </ns0:c>
      <ns0:c r="C408" s="2" t="inlineStr">
        <ns0:is>
          <ns0:t>10.1016/j.biortech.2015.09.029</ns0:t>
        </ns0:is>
      </ns0:c>
      <ns0:c r="D408" s="2" t="inlineStr">
        <ns0:is>
          <ns0:t>fulltext</ns0:t>
        </ns0:is>
      </ns0:c>
      <ns0:c r="E408" s="2" t="inlineStr">
        <ns0:is>
          <ns0:t>出版版（版式及版权文字）</ns0:t>
        </ns0:is>
      </ns0:c>
      <ns0:c r="F408" s="2" t="inlineStr">
        <ns0:is>
          <ns0:t>fulltext.pdf</ns0:t>
        </ns0:is>
      </ns0:c>
      <ns0:c r="G408" s="2" t="inlineStr">
        <ns0:is>
          <ns0:t>original_files/R02176/fulltext/fulltext__published__9b88e4a9a62a14a8.pdf</ns0:t>
        </ns0:is>
      </ns0:c>
      <ns0:c r="H408" s="2" t="inlineStr">
        <ns0:is>
          <ns0:t>local_upload</ns0:t>
        </ns0:is>
      </ns0:c>
      <ns0:c r="I408" s="2" t="inlineStr">
        <ns0:is>
          <ns0:t>localdownload/R02176/fulltext.pdf</ns0:t>
        </ns0:is>
      </ns0:c>
      <ns0:c r="J408" s="2" t="n">
        <ns0:v>1147042</ns0:v>
      </ns0:c>
      <ns0:c r="K408" s="2" t="inlineStr">
        <ns0:is>
          <ns0:t>9b88e4a9a62a14a890bfdd4909f394a8a82ce138df57c2b355878cac31323f2a</ns0:t>
        </ns0:is>
      </ns0:c>
      <ns0:c r="L408" s="2" t="inlineStr">
        <ns0:is>
          <ns0:t>identity_and_body_structure_verified</ns0:t>
        </ns0:is>
      </ns0:c>
      <ns0:c r="M408" s="2" t="inlineStr"/>
      <ns0:c r="N408" s="2" t="inlineStr">
        <ns0:is>
          <ns0:t>首页/前两页题名作者或目标DOI核对，全部页面解析及正文结构检查；不据文件名判全文。</ns0:t>
        </ns0:is>
      </ns0:c>
      <ns0:c r="O408" s="2" t="inlineStr">
        <ns0:is>
          <ns0:t>https://github.com/Colliam-Vermilion/FirstCodex/blob/results/ad-oxygen-literature-20261006/results/ad-oxygen-literature-20261006/original_files/R02176/fulltext/fulltext__published__9b88e4a9a62a14a8.pdf</ns0:t>
        </ns0:is>
      </ns0:c>
    </ns0:row>
    <ns0:row r="409" ht="48" customHeight="1">
      <ns0:c r="A409" s="3" t="inlineStr">
        <ns0:is>
          <ns0:t>R13912</ns0:t>
        </ns0:is>
      </ns0:c>
      <ns0:c r="B409" s="3" t="inlineStr">
        <ns0:is>
          <ns0:t>The effects and underlying mechanisms of composting and extrusion pretreatment on anaerobic biogas production from wheat straw</ns0:t>
        </ns0:is>
      </ns0:c>
      <ns0:c r="C409" s="3" t="inlineStr">
        <ns0:is>
          <ns0:t>10.1080/09593330.2026.2727085</ns0:t>
        </ns0:is>
      </ns0:c>
      <ns0:c r="D409" s="3" t="inlineStr">
        <ns0:is>
          <ns0:t>supplementary</ns0:t>
        </ns0:is>
      </ns0:c>
      <ns0:c r="E409" s="3" t="inlineStr"/>
      <ns0:c r="F409" s="3" t="inlineStr">
        <ns0:is>
          <ns0:t>supplementary.docx</ns0:t>
        </ns0:is>
      </ns0:c>
      <ns0:c r="G409" s="3" t="inlineStr">
        <ns0:is>
          <ns0:t>original_files/R13912/supplementary/supplementary__9ba1382da92c8f4d.docx</ns0:t>
        </ns0:is>
      </ns0:c>
      <ns0:c r="H409" s="3" t="inlineStr">
        <ns0:is>
          <ns0:t>local_upload</ns0:t>
        </ns0:is>
      </ns0:c>
      <ns0:c r="I409" s="3" t="inlineStr">
        <ns0:is>
          <ns0:t>localdownload/R13912/supplementary.docx</ns0:t>
        </ns0:is>
      </ns0:c>
      <ns0:c r="J409" s="3" t="n">
        <ns0:v>66167</ns0:v>
      </ns0:c>
      <ns0:c r="K409" s="3" t="inlineStr">
        <ns0:is>
          <ns0:t>9ba1382da92c8f4d9a0c190edb6a63ea4460905682f0479282c447227fc1a3a6</ns0:t>
        </ns0:is>
      </ns0:c>
      <ns0:c r="L409" s="3" t="inlineStr">
        <ns0:is>
          <ns0:t>container_crc_verified</ns0:t>
        </ns0:is>
      </ns0:c>
      <ns0:c r="M409" s="3" t="inlineStr">
        <ns0:is>
          <ns0:t>directory_and_content_consistent_identity_pending</ns0:t>
        </ns0:is>
      </ns0:c>
      <ns0:c r="N409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09" s="3" t="inlineStr">
        <ns0:is>
          <ns0:t>https://github.com/Colliam-Vermilion/FirstCodex/blob/results/ad-oxygen-literature-20261006/results/ad-oxygen-literature-20261006/original_files/R13912/supplementary/supplementary__9ba1382da92c8f4d.docx</ns0:t>
        </ns0:is>
      </ns0:c>
    </ns0:row>
    <ns0:row r="410" ht="48" customHeight="1">
      <ns0:c r="A410" s="2" t="inlineStr">
        <ns0:is>
          <ns0:t>R11844</ns0:t>
        </ns0:is>
      </ns0:c>
      <ns0:c r="B410" s="2" t="inlineStr">
        <ns0:is>
          <ns0:t>Micro-aeration for improving anaerobic treatment and biogas production from organic pollutants</ns0:t>
        </ns0:is>
      </ns0:c>
      <ns0:c r="C410" s="2" t="inlineStr">
        <ns0:is>
          <ns0:t>10.1007/s00253-025-13519-w</ns0:t>
        </ns0:is>
      </ns0:c>
      <ns0:c r="D410" s="2" t="inlineStr">
        <ns0:is>
          <ns0:t>source_evidence</ns0:t>
        </ns0:is>
      </ns0:c>
      <ns0:c r="E410" s="2" t="inlineStr"/>
      <ns0:c r="F410" s="2" t="inlineStr">
        <ns0:is>
          <ns0:t>PMC12125087_fullText.xml</ns0:t>
        </ns0:is>
      </ns0:c>
      <ns0:c r="G410" s="2" t="inlineStr">
        <ns0:is>
          <ns0:t>original_files/R11844/evidence/source_evidence__9c39d5f64ac01253.xml</ns0:t>
        </ns0:is>
      </ns0:c>
      <ns0:c r="H410" s="2" t="inlineStr">
        <ns0:is>
          <ns0:t>cloud_existing</ns0:t>
        </ns0:is>
      </ns0:c>
      <ns0:c r="I410" s="2" t="inlineStr">
        <ns0:is>
          <ns0:t>original_files/source_evidence/R11844/PMC12125087_fullText.xml</ns0:t>
        </ns0:is>
      </ns0:c>
      <ns0:c r="J410" s="2" t="n">
        <ns0:v>256247</ns0:v>
      </ns0:c>
      <ns0:c r="K410" s="2" t="inlineStr">
        <ns0:is>
          <ns0:t>9c39d5f64ac01253c8bb4866ce3974997765b2d47e37641f3717e99e0d7f1f61</ns0:t>
        </ns0:is>
      </ns0:c>
      <ns0:c r="L410" s="2" t="inlineStr">
        <ns0:is>
          <ns0:t>text_readable</ns0:t>
        </ns0:is>
      </ns0:c>
      <ns0:c r="M410" s="2" t="inlineStr"/>
      <ns0:c r="N410" s="2" t="inlineStr"/>
      <ns0:c r="O410" s="2" t="inlineStr">
        <ns0:is>
          <ns0:t>https://github.com/Colliam-Vermilion/FirstCodex/blob/results/ad-oxygen-literature-20261006/results/ad-oxygen-literature-20261006/original_files/R11844/evidence/source_evidence__9c39d5f64ac01253.xml</ns0:t>
        </ns0:is>
      </ns0:c>
    </ns0:row>
    <ns0:row r="411" ht="48" customHeight="1">
      <ns0:c r="A411" s="3" t="inlineStr">
        <ns0:is>
          <ns0:t>R10586</ns0:t>
        </ns0:is>
      </ns0:c>
      <ns0:c r="B411" s="3" t="inlineStr">
        <ns0:is>
          <ns0:t>Nanobubble water promotes anaerobic digestion of high-solids cattle manure under mesophilic and thermophilic conditions</ns0:t>
        </ns0:is>
      </ns0:c>
      <ns0:c r="C411" s="3" t="inlineStr">
        <ns0:is>
          <ns0:t>10.1016/j.envres.2024.118721</ns0:t>
        </ns0:is>
      </ns0:c>
      <ns0:c r="D411" s="3" t="inlineStr">
        <ns0:is>
          <ns0:t>fulltext</ns0:t>
        </ns0:is>
      </ns0:c>
      <ns0:c r="E411" s="3" t="inlineStr">
        <ns0:is>
          <ns0:t>出版版（版式及版权文字）</ns0:t>
        </ns0:is>
      </ns0:c>
      <ns0:c r="F411" s="3" t="inlineStr">
        <ns0:is>
          <ns0:t>fulltext.pdf</ns0:t>
        </ns0:is>
      </ns0:c>
      <ns0:c r="G411" s="3" t="inlineStr">
        <ns0:is>
          <ns0:t>original_files/R10586/fulltext/fulltext__published__9c63a9f190c6375d.pdf</ns0:t>
        </ns0:is>
      </ns0:c>
      <ns0:c r="H411" s="3" t="inlineStr">
        <ns0:is>
          <ns0:t>local_upload</ns0:t>
        </ns0:is>
      </ns0:c>
      <ns0:c r="I411" s="3" t="inlineStr">
        <ns0:is>
          <ns0:t>localdownload/R10586/fulltext.pdf</ns0:t>
        </ns0:is>
      </ns0:c>
      <ns0:c r="J411" s="3" t="n">
        <ns0:v>7474633</ns0:v>
      </ns0:c>
      <ns0:c r="K411" s="3" t="inlineStr">
        <ns0:is>
          <ns0:t>9c63a9f190c6375d25efe8a76b081c816f8faf796caaacdf035e99c38619c66e</ns0:t>
        </ns0:is>
      </ns0:c>
      <ns0:c r="L411" s="3" t="inlineStr">
        <ns0:is>
          <ns0:t>identity_and_body_structure_verified</ns0:t>
        </ns0:is>
      </ns0:c>
      <ns0:c r="M411" s="3" t="inlineStr"/>
      <ns0:c r="N411" s="3" t="inlineStr">
        <ns0:is>
          <ns0:t>首页/前两页题名作者或目标DOI核对，全部页面解析及正文结构检查；不据文件名判全文。</ns0:t>
        </ns0:is>
      </ns0:c>
      <ns0:c r="O411" s="3" t="inlineStr">
        <ns0:is>
          <ns0:t>https://github.com/Colliam-Vermilion/FirstCodex/blob/results/ad-oxygen-literature-20261006/results/ad-oxygen-literature-20261006/original_files/R10586/fulltext/fulltext__published__9c63a9f190c6375d.pdf</ns0:t>
        </ns0:is>
      </ns0:c>
    </ns0:row>
    <ns0:row r="412" ht="48" customHeight="1">
      <ns0:c r="A412" s="2" t="inlineStr">
        <ns0:is>
          <ns0:t>R13816</ns0:t>
        </ns0:is>
      </ns0:c>
      <ns0:c r="B412" s="2" t="inlineStr">
        <ns0:is>
          <ns0:t>Can microaeration and hydraulic retention time steer anaerobic microbiomes toward efficient linear alkylbenzene sulfonate degradation?</ns0:t>
        </ns0:is>
      </ns0:c>
      <ns0:c r="C412" s="2" t="inlineStr">
        <ns0:is>
          <ns0:t>10.1016/j.biortech.2026.135794</ns0:t>
        </ns0:is>
      </ns0:c>
      <ns0:c r="D412" s="2" t="inlineStr">
        <ns0:is>
          <ns0:t>fulltext</ns0:t>
        </ns0:is>
      </ns0:c>
      <ns0:c r="E412" s="2" t="inlineStr">
        <ns0:is>
          <ns0:t>出版版（版式及版权文字）</ns0:t>
        </ns0:is>
      </ns0:c>
      <ns0:c r="F412" s="2" t="inlineStr">
        <ns0:is>
          <ns0:t>fulltext.pdf</ns0:t>
        </ns0:is>
      </ns0:c>
      <ns0:c r="G412" s="2" t="inlineStr">
        <ns0:is>
          <ns0:t>original_files/R13816/fulltext/fulltext__published__9ca1f17111350dd6.pdf</ns0:t>
        </ns0:is>
      </ns0:c>
      <ns0:c r="H412" s="2" t="inlineStr">
        <ns0:is>
          <ns0:t>local_upload</ns0:t>
        </ns0:is>
      </ns0:c>
      <ns0:c r="I412" s="2" t="inlineStr">
        <ns0:is>
          <ns0:t>localdownload/R13816/fulltext.pdf</ns0:t>
        </ns0:is>
      </ns0:c>
      <ns0:c r="J412" s="2" t="n">
        <ns0:v>4684856</ns0:v>
      </ns0:c>
      <ns0:c r="K412" s="2" t="inlineStr">
        <ns0:is>
          <ns0:t>9ca1f17111350dd69221515ab3091a07458ae20d25f26eddad6d542e8f0efcc6</ns0:t>
        </ns0:is>
      </ns0:c>
      <ns0:c r="L412" s="2" t="inlineStr">
        <ns0:is>
          <ns0:t>identity_and_body_structure_verified</ns0:t>
        </ns0:is>
      </ns0:c>
      <ns0:c r="M412" s="2" t="inlineStr"/>
      <ns0:c r="N412" s="2" t="inlineStr">
        <ns0:is>
          <ns0:t>首页/前两页题名作者或目标DOI核对，全部页面解析及正文结构检查；不据文件名判全文。</ns0:t>
        </ns0:is>
      </ns0:c>
      <ns0:c r="O412" s="2" t="inlineStr">
        <ns0:is>
          <ns0:t>https://github.com/Colliam-Vermilion/FirstCodex/blob/results/ad-oxygen-literature-20261006/results/ad-oxygen-literature-20261006/original_files/R13816/fulltext/fulltext__published__9ca1f17111350dd6.pdf</ns0:t>
        </ns0:is>
      </ns0:c>
    </ns0:row>
    <ns0:row r="413" ht="48" customHeight="1">
      <ns0:c r="A413" s="3" t="inlineStr">
        <ns0:is>
          <ns0:t>R04928</ns0:t>
        </ns0:is>
      </ns0:c>
      <ns0:c r="B413" s="3" t="inlineStr">
        <ns0:is>
          <ns0:t>MATHEMATICAL MODEL FOR QUANTITATIVE ANALYSIS OF ACIDOGENIC PERFORMANCE UNDER MICROAERATION CONDITION IN ANAEROBIC VINASSE TREATMENT</ns0:t>
        </ns0:is>
      </ns0:c>
      <ns0:c r="C413" s="3" t="inlineStr">
        <ns0:is>
          <ns0:t>10.21771/jrtppi.2019.v10.no1.p12-21</ns0:t>
        </ns0:is>
      </ns0:c>
      <ns0:c r="D413" s="3" t="inlineStr">
        <ns0:is>
          <ns0:t>fulltext</ns0:t>
        </ns0:is>
      </ns0:c>
      <ns0:c r="E413" s="3" t="inlineStr">
        <ns0:is>
          <ns0:t>期刊正式文章页提供的出版PDF（10(1):12–21）；PDF DOI栏为占位符，DOI由同一期刊文章页的citation_doi独立核对</ns0:t>
        </ns0:is>
      </ns0:c>
      <ns0:c r="F413" s="3" t="inlineStr">
        <ns0:is>
          <ns0:t>R04928_2019_MATHEMATICAL_MODEL_FOR_QUANTITATIVE_ANALYSIS_OF_ACIDOGENIC_PERFORMANCE_UNDER_MICROAERATION_CONDITION_9d47028c0220.pdf</ns0:t>
        </ns0:is>
      </ns0:c>
      <ns0:c r="G413" s="3" t="inlineStr">
        <ns0:is>
          <ns0:t>original_files/R04928/fulltext/fulltext__published__9d47028c02204ac0.pdf</ns0:t>
        </ns0:is>
      </ns0:c>
      <ns0:c r="H413" s="3" t="inlineStr">
        <ns0:is>
          <ns0:t>cloud_existing</ns0:t>
        </ns0:is>
      </ns0:c>
      <ns0:c r="I413" s="3" t="inlineStr">
        <ns0:is>
          <ns0:t>original_files/fulltext/R04928_2019_MATHEMATICAL_MODEL_FOR_QUANTITATIVE_ANALYSIS_OF_ACIDOGENIC_PERFORMANCE_UNDER_MICROAERATION_CONDITION_9d47028c0220.pdf</ns0:t>
        </ns0:is>
      </ns0:c>
      <ns0:c r="J413" s="3" t="n">
        <ns0:v>614108</ns0:v>
      </ns0:c>
      <ns0:c r="K413" s="3" t="inlineStr">
        <ns0:is>
          <ns0:t>9d47028c02204ac08f73849bdf73af55c1e235aa3593b2b281d139b85d58607f</ns0:t>
        </ns0:is>
      </ns0:c>
      <ns0:c r="L413" s="3" t="inlineStr">
        <ns0:is>
          <ns0:t>identity_and_body_structure_verified</ns0:t>
        </ns0:is>
      </ns0:c>
      <ns0:c r="M413" s="3" t="inlineStr"/>
      <ns0:c r="N413" s="3" t="inlineStr">
        <ns0:is>
          <ns0:t>首页/前两页题名作者或目标DOI核对，全部页面解析及正文结构检查；不据文件名判全文。</ns0:t>
        </ns0:is>
      </ns0:c>
      <ns0:c r="O413" s="3" t="inlineStr">
        <ns0:is>
          <ns0:t>https://github.com/Colliam-Vermilion/FirstCodex/blob/results/ad-oxygen-literature-20261006/results/ad-oxygen-literature-20261006/original_files/R04928/fulltext/fulltext__published__9d47028c02204ac0.pdf</ns0:t>
        </ns0:is>
      </ns0:c>
    </ns0:row>
    <ns0:row r="414" ht="48" customHeight="1">
      <ns0:c r="A414" s="2" t="inlineStr">
        <ns0:is>
          <ns0:t>R04477</ns0:t>
        </ns0:is>
      </ns0:c>
      <ns0:c r="B414" s="2" t="inlineStr">
        <ns0:is>
          <ns0:t>Aeration to Improve Biogas Production by Recalcitrant Feedstock</ns0:t>
        </ns0:is>
      </ns0:c>
      <ns0:c r="C414" s="2" t="inlineStr">
        <ns0:is>
          <ns0:t>10.3390/environments6040044</ns0:t>
        </ns0:is>
      </ns0:c>
      <ns0:c r="D414" s="2" t="inlineStr">
        <ns0:is>
          <ns0:t>source_evidence</ns0:t>
        </ns0:is>
      </ns0:c>
      <ns0:c r="E414" s="2" t="inlineStr"/>
      <ns0:c r="F414" s="2" t="inlineStr">
        <ns0:is>
          <ns0:t>publisher_article_page_20261017.html</ns0:t>
        </ns0:is>
      </ns0:c>
      <ns0:c r="G414" s="2" t="inlineStr">
        <ns0:is>
          <ns0:t>original_files/R04477/evidence/source_evidence__9dbfb6e507a0bd12.html</ns0:t>
        </ns0:is>
      </ns0:c>
      <ns0:c r="H414" s="2" t="inlineStr">
        <ns0:is>
          <ns0:t>cloud_existing</ns0:t>
        </ns0:is>
      </ns0:c>
      <ns0:c r="I414" s="2" t="inlineStr">
        <ns0:is>
          <ns0:t>original_files/source_evidence/R04477/publisher_article_page_20261017.html</ns0:t>
        </ns0:is>
      </ns0:c>
      <ns0:c r="J414" s="2" t="n">
        <ns0:v>352068</ns0:v>
      </ns0:c>
      <ns0:c r="K414" s="2" t="inlineStr">
        <ns0:is>
          <ns0:t>9dbfb6e507a0bd120567df3249e3f0b407e8411917b6ef6165299ba9f9117bc1</ns0:t>
        </ns0:is>
      </ns0:c>
      <ns0:c r="L414" s="2" t="inlineStr">
        <ns0:is>
          <ns0:t>text_readable</ns0:t>
        </ns0:is>
      </ns0:c>
      <ns0:c r="M414" s="2" t="inlineStr"/>
      <ns0:c r="N414" s="2" t="inlineStr"/>
      <ns0:c r="O414" s="2" t="inlineStr">
        <ns0:is>
          <ns0:t>https://github.com/Colliam-Vermilion/FirstCodex/blob/results/ad-oxygen-literature-20261006/results/ad-oxygen-literature-20261006/original_files/R04477/evidence/source_evidence__9dbfb6e507a0bd12.html</ns0:t>
        </ns0:is>
      </ns0:c>
    </ns0:row>
    <ns0:row r="415" ht="48" customHeight="1">
      <ns0:c r="A415" s="3" t="inlineStr">
        <ns0:is>
          <ns0:t>R09230</ns0:t>
        </ns0:is>
      </ns0:c>
      <ns0:c r="B415" s="3" t="inlineStr">
        <ns0:is>
          <ns0:t>Microbial electrolysis cell simultaneously enhancing methanization and reducing hydrogen sulfide production in anaerobic digestion of sewage sludge</ns0:t>
        </ns0:is>
      </ns0:c>
      <ns0:c r="C415" s="3" t="inlineStr">
        <ns0:is>
          <ns0:t>10.1016/j.chemosphere.2023.139445</ns0:t>
        </ns0:is>
      </ns0:c>
      <ns0:c r="D415" s="3" t="inlineStr">
        <ns0:is>
          <ns0:t>supplementary</ns0:t>
        </ns0:is>
      </ns0:c>
      <ns0:c r="E415" s="3" t="inlineStr"/>
      <ns0:c r="F415" s="3" t="inlineStr">
        <ns0:is>
          <ns0:t>supplementary.docx</ns0:t>
        </ns0:is>
      </ns0:c>
      <ns0:c r="G415" s="3" t="inlineStr">
        <ns0:is>
          <ns0:t>original_files/R09230/supplementary/supplementary__9eb15b74ff187bb6.docx</ns0:t>
        </ns0:is>
      </ns0:c>
      <ns0:c r="H415" s="3" t="inlineStr">
        <ns0:is>
          <ns0:t>local_upload</ns0:t>
        </ns0:is>
      </ns0:c>
      <ns0:c r="I415" s="3" t="inlineStr">
        <ns0:is>
          <ns0:t>localdownload/R09230/supplementary.docx</ns0:t>
        </ns0:is>
      </ns0:c>
      <ns0:c r="J415" s="3" t="n">
        <ns0:v>13575336</ns0:v>
      </ns0:c>
      <ns0:c r="K415" s="3" t="inlineStr">
        <ns0:is>
          <ns0:t>9eb15b74ff187bb6af61f53e2511db8530336039e08576f31557347687e6f658</ns0:t>
        </ns0:is>
      </ns0:c>
      <ns0:c r="L415" s="3" t="inlineStr">
        <ns0:is>
          <ns0:t>container_crc_verified</ns0:t>
        </ns0:is>
      </ns0:c>
      <ns0:c r="M415" s="3" t="inlineStr">
        <ns0:is>
          <ns0:t>title_in_attachment_verified</ns0:t>
        </ns0:is>
      </ns0:c>
      <ns0:c r="N415" s="3" t="inlineStr"/>
      <ns0:c r="O415" s="3" t="inlineStr">
        <ns0:is>
          <ns0:t>https://github.com/Colliam-Vermilion/FirstCodex/blob/results/ad-oxygen-literature-20261006/results/ad-oxygen-literature-20261006/original_files/R09230/supplementary/supplementary__9eb15b74ff187bb6.docx</ns0:t>
        </ns0:is>
      </ns0:c>
    </ns0:row>
    <ns0:row r="416" ht="48" customHeight="1">
      <ns0:c r="A416" s="2" t="inlineStr">
        <ns0:is>
          <ns0:t>R05542</ns0:t>
        </ns0:is>
      </ns0:c>
      <ns0:c r="B416" s="2" t="inlineStr">
        <ns0:is>
          <ns0:t>Effect of micro-aerobic process on improvement of anaerobic digestion sewage sludge treatment: flow cytometry and ATP assessment</ns0:t>
        </ns0:is>
      </ns0:c>
      <ns0:c r="C416" s="2" t="inlineStr">
        <ns0:is>
          <ns0:t>10.1039/d0ra05540a</ns0:t>
        </ns0:is>
      </ns0:c>
      <ns0:c r="D416" s="2" t="inlineStr">
        <ns0:is>
          <ns0:t>source_evidence</ns0:t>
        </ns0:is>
      </ns0:c>
      <ns0:c r="E416" s="2" t="inlineStr"/>
      <ns0:c r="F416" s="2" t="inlineStr">
        <ns0:is>
          <ns0:t>PMC9056904_fullText.xml</ns0:t>
        </ns0:is>
      </ns0:c>
      <ns0:c r="G416" s="2" t="inlineStr">
        <ns0:is>
          <ns0:t>original_files/R05542/evidence/source_evidence__9ee6c9217e7c01e1.xml</ns0:t>
        </ns0:is>
      </ns0:c>
      <ns0:c r="H416" s="2" t="inlineStr">
        <ns0:is>
          <ns0:t>cloud_existing</ns0:t>
        </ns0:is>
      </ns0:c>
      <ns0:c r="I416" s="2" t="inlineStr">
        <ns0:is>
          <ns0:t>original_files/source_evidence/R05542/PMC9056904_fullText.xml</ns0:t>
        </ns0:is>
      </ns0:c>
      <ns0:c r="J416" s="2" t="n">
        <ns0:v>100215</ns0:v>
      </ns0:c>
      <ns0:c r="K416" s="2" t="inlineStr">
        <ns0:is>
          <ns0:t>9ee6c9217e7c01e1604e3170e0041677e5b9d0f14b59ee1e9717c1082d9d193a</ns0:t>
        </ns0:is>
      </ns0:c>
      <ns0:c r="L416" s="2" t="inlineStr">
        <ns0:is>
          <ns0:t>text_readable</ns0:t>
        </ns0:is>
      </ns0:c>
      <ns0:c r="M416" s="2" t="inlineStr"/>
      <ns0:c r="N416" s="2" t="inlineStr"/>
      <ns0:c r="O416" s="2" t="inlineStr">
        <ns0:is>
          <ns0:t>https://github.com/Colliam-Vermilion/FirstCodex/blob/results/ad-oxygen-literature-20261006/results/ad-oxygen-literature-20261006/original_files/R05542/evidence/source_evidence__9ee6c9217e7c01e1.xml</ns0:t>
        </ns0:is>
      </ns0:c>
    </ns0:row>
    <ns0:row r="417" ht="48" customHeight="1">
      <ns0:c r="A417" s="3" t="inlineStr">
        <ns0:is>
          <ns0:t>R06587</ns0:t>
        </ns0:is>
      </ns0:c>
      <ns0:c r="B417" s="3" t="inlineStr">
        <ns0:is>
          <ns0:t>Effect of Propane Addition and Oxygen Enrichment on the Flame Characteristics of Biogas</ns0:t>
        </ns0:is>
      </ns0:c>
      <ns0:c r="C417" s="3" t="inlineStr">
        <ns0:is>
          <ns0:t>10.1021/acs.energyfuels.1c00113</ns0:t>
        </ns0:is>
      </ns0:c>
      <ns0:c r="D417" s="3" t="inlineStr">
        <ns0:is>
          <ns0:t>supplementary</ns0:t>
        </ns0:is>
      </ns0:c>
      <ns0:c r="E417" s="3" t="inlineStr"/>
      <ns0:c r="F417" s="3" t="inlineStr">
        <ns0:is>
          <ns0:t>supplementary.pdf</ns0:t>
        </ns0:is>
      </ns0:c>
      <ns0:c r="G417" s="3" t="inlineStr">
        <ns0:is>
          <ns0:t>original_files/R06587/supplementary/supplementary__9f958573a8dc365c.pdf</ns0:t>
        </ns0:is>
      </ns0:c>
      <ns0:c r="H417" s="3" t="inlineStr">
        <ns0:is>
          <ns0:t>local_upload</ns0:t>
        </ns0:is>
      </ns0:c>
      <ns0:c r="I417" s="3" t="inlineStr">
        <ns0:is>
          <ns0:t>localdownload/R06587/supplementary.pdf</ns0:t>
        </ns0:is>
      </ns0:c>
      <ns0:c r="J417" s="3" t="n">
        <ns0:v>660867</ns0:v>
      </ns0:c>
      <ns0:c r="K417" s="3" t="inlineStr">
        <ns0:is>
          <ns0:t>9f958573a8dc365c58186c18b06f2fc4f7088ccd0b804731965b9cf481c88e97</ns0:t>
        </ns0:is>
      </ns0:c>
      <ns0:c r="L417" s="3" t="inlineStr">
        <ns0:is>
          <ns0:t>pdf_readable_requires_role_review</ns0:t>
        </ns0:is>
      </ns0:c>
      <ns0:c r="M417" s="3" t="inlineStr">
        <ns0:is>
          <ns0:t>title_in_attachment_verified</ns0:t>
        </ns0:is>
      </ns0:c>
      <ns0:c r="N417" s="3" t="inlineStr"/>
      <ns0:c r="O417" s="3" t="inlineStr">
        <ns0:is>
          <ns0:t>https://github.com/Colliam-Vermilion/FirstCodex/blob/results/ad-oxygen-literature-20261006/results/ad-oxygen-literature-20261006/original_files/R06587/supplementary/supplementary__9f958573a8dc365c.pdf</ns0:t>
        </ns0:is>
      </ns0:c>
    </ns0:row>
    <ns0:row r="418" ht="48" customHeight="1">
      <ns0:c r="A418" s="2" t="inlineStr">
        <ns0:is>
          <ns0:t>R06196</ns0:t>
        </ns0:is>
      </ns0:c>
      <ns0:c r="B418" s="2" t="inlineStr">
        <ns0:is>
          <ns0:t>Two Phase Anaerobic Digestion System of Municipal Solid Waste by Utilizing Microaeration and Granular Activated Carbon</ns0:t>
        </ns0:is>
      </ns0:c>
      <ns0:c r="C418" s="2" t="inlineStr">
        <ns0:is>
          <ns0:t>10.3390/en13040933</ns0:t>
        </ns0:is>
      </ns0:c>
      <ns0:c r="D418" s="2" t="inlineStr">
        <ns0:is>
          <ns0:t>fulltext</ns0:t>
        </ns0:is>
      </ns0:c>
      <ns0:c r="E418" s="2" t="inlineStr">
        <ns0:is>
          <ns0:t>出版版本（原页出版信息）</ns0:t>
        </ns0:is>
      </ns0:c>
      <ns0:c r="F418" s="2" t="inlineStr">
        <ns0:is>
          <ns0:t>R06196_2020_Two_Phase_Anaerobic_Digestion_System_of_Municipal_Solid_Waste.pdf</ns0:t>
        </ns0:is>
      </ns0:c>
      <ns0:c r="G418" s="2" t="inlineStr">
        <ns0:is>
          <ns0:t>original_files/R06196/fulltext/fulltext__published__9fbe84ed55130245.pdf</ns0:t>
        </ns0:is>
      </ns0:c>
      <ns0:c r="H418" s="2" t="inlineStr">
        <ns0:is>
          <ns0:t>cloud_existing</ns0:t>
        </ns0:is>
      </ns0:c>
      <ns0:c r="I418" s="2" t="inlineStr">
        <ns0:is>
          <ns0:t>original_files/fulltext/R06196_2020_Two_Phase_Anaerobic_Digestion_System_of_Municipal_Solid_Waste.pdf</ns0:t>
        </ns0:is>
      </ns0:c>
      <ns0:c r="J418" s="2" t="n">
        <ns0:v>1937275</ns0:v>
      </ns0:c>
      <ns0:c r="K418" s="2" t="inlineStr">
        <ns0:is>
          <ns0:t>9fbe84ed551302456df5cffb337d34d87bf1e2b6545d4932814c7d7a518f3c1f</ns0:t>
        </ns0:is>
      </ns0:c>
      <ns0:c r="L418" s="2" t="inlineStr">
        <ns0:is>
          <ns0:t>identity_and_body_structure_verified</ns0:t>
        </ns0:is>
      </ns0:c>
      <ns0:c r="M418" s="2" t="inlineStr"/>
      <ns0:c r="N418" s="2" t="inlineStr">
        <ns0:is>
          <ns0:t>首页/前两页题名作者或目标DOI核对，全部页面解析及正文结构检查；不据文件名判全文。</ns0:t>
        </ns0:is>
      </ns0:c>
      <ns0:c r="O418" s="2" t="inlineStr">
        <ns0:is>
          <ns0:t>https://github.com/Colliam-Vermilion/FirstCodex/blob/results/ad-oxygen-literature-20261006/results/ad-oxygen-literature-20261006/original_files/R06196/fulltext/fulltext__published__9fbe84ed55130245.pdf</ns0:t>
        </ns0:is>
      </ns0:c>
    </ns0:row>
    <ns0:row r="419" ht="48" customHeight="1">
      <ns0:c r="A419" s="3" t="inlineStr">
        <ns0:is>
          <ns0:t>R03737</ns0:t>
        </ns0:is>
      </ns0:c>
      <ns0:c r="B419" s="3" t="inlineStr">
        <ns0:is>
          <ns0:t>Biochemical and microbial changes reveal how aerobic pre-treatment impacts anaerobic biodegradability of food waste</ns0:t>
        </ns0:is>
      </ns0:c>
      <ns0:c r="C419" s="3" t="inlineStr">
        <ns0:is>
          <ns0:t>10.1016/j.wasman.2018.09.011</ns0:t>
        </ns0:is>
      </ns0:c>
      <ns0:c r="D419" s="3" t="inlineStr">
        <ns0:is>
          <ns0:t>fulltext</ns0:t>
        </ns0:is>
      </ns0:c>
      <ns0:c r="E419" s="3" t="inlineStr">
        <ns0:is>
          <ns0:t>出版版（版式及版权文字）</ns0:t>
        </ns0:is>
      </ns0:c>
      <ns0:c r="F419" s="3" t="inlineStr">
        <ns0:is>
          <ns0:t>fulltext.pdf</ns0:t>
        </ns0:is>
      </ns0:c>
      <ns0:c r="G419" s="3" t="inlineStr">
        <ns0:is>
          <ns0:t>original_files/R03737/fulltext/fulltext__published__a01cf0612b37cb24.pdf</ns0:t>
        </ns0:is>
      </ns0:c>
      <ns0:c r="H419" t="inlineStr">
        <ns0:is>
          <ns0:t>local_upload; main@ab8353c误传副本</ns0:t>
        </ns0:is>
      </ns0:c>
      <ns0:c r="I419" t="inlineStr">
        <ns0:is>
          <ns0:t>localdownload/R03737/fulltext.pdf; main@ab8353c:R03737/fulltext.pdf</ns0:t>
        </ns0:is>
      </ns0:c>
      <ns0:c r="J419" s="3" t="n">
        <ns0:v>1163924</ns0:v>
      </ns0:c>
      <ns0:c r="K419" s="3" t="inlineStr">
        <ns0:is>
          <ns0:t>a01cf0612b37cb24266d34adcc648fcab6d66b40737d0f275e61dd9c4e3f4de0</ns0:t>
        </ns0:is>
      </ns0:c>
      <ns0:c r="L419" s="3" t="inlineStr">
        <ns0:is>
          <ns0:t>identity_and_body_structure_verified</ns0:t>
        </ns0:is>
      </ns0:c>
      <ns0:c r="M419" s="3" t="inlineStr"/>
      <ns0:c r="N419" s="3" t="inlineStr">
        <ns0:is>
          <ns0:t>首页/前两页题名作者或目标DOI核对，全部页面解析及正文结构检查；不据文件名判全文。</ns0:t>
        </ns0:is>
      </ns0:c>
      <ns0:c r="O419" s="3" t="inlineStr">
        <ns0:is>
          <ns0:t>https://github.com/Colliam-Vermilion/FirstCodex/blob/results/ad-oxygen-literature-20261006/results/ad-oxygen-literature-20261006/original_files/R03737/fulltext/fulltext__published__a01cf0612b37cb24.pdf</ns0:t>
        </ns0:is>
      </ns0:c>
    </ns0:row>
    <ns0:row r="420" ht="48" customHeight="1">
      <ns0:c r="A420" s="2" t="inlineStr">
        <ns0:is>
          <ns0:t>R13274</ns0:t>
        </ns0:is>
      </ns0:c>
      <ns0:c r="B420" s="2" t="inlineStr">
        <ns0:is>
          <ns0:t>Micro-aeration enhances lactic acid production in food waste fermentation</ns0:t>
        </ns0:is>
      </ns0:c>
      <ns0:c r="C420" s="2" t="inlineStr">
        <ns0:is>
          <ns0:t>10.1016/j.biortech.2025.133807</ns0:t>
        </ns0:is>
      </ns0:c>
      <ns0:c r="D420" s="2" t="inlineStr">
        <ns0:is>
          <ns0:t>fulltext</ns0:t>
        </ns0:is>
      </ns0:c>
      <ns0:c r="E420" s="2" t="inlineStr">
        <ns0:is>
          <ns0:t>出版版（版式及版权文字）</ns0:t>
        </ns0:is>
      </ns0:c>
      <ns0:c r="F420" s="2" t="inlineStr">
        <ns0:is>
          <ns0:t>fulltext.pdf</ns0:t>
        </ns0:is>
      </ns0:c>
      <ns0:c r="G420" s="2" t="inlineStr">
        <ns0:is>
          <ns0:t>original_files/R13274/fulltext/fulltext__published__a01e60567ddc9a8f.pdf</ns0:t>
        </ns0:is>
      </ns0:c>
      <ns0:c r="H420" s="2" t="inlineStr">
        <ns0:is>
          <ns0:t>local_upload</ns0:t>
        </ns0:is>
      </ns0:c>
      <ns0:c r="I420" s="2" t="inlineStr">
        <ns0:is>
          <ns0:t>localdownload/R13274/fulltext.pdf</ns0:t>
        </ns0:is>
      </ns0:c>
      <ns0:c r="J420" s="2" t="n">
        <ns0:v>6382253</ns0:v>
      </ns0:c>
      <ns0:c r="K420" s="2" t="inlineStr">
        <ns0:is>
          <ns0:t>a01e60567ddc9a8f833e3e4d2af079ab1bfb52380a79226a3cb7fe8384e2ad63</ns0:t>
        </ns0:is>
      </ns0:c>
      <ns0:c r="L420" s="2" t="inlineStr">
        <ns0:is>
          <ns0:t>identity_and_body_structure_verified</ns0:t>
        </ns0:is>
      </ns0:c>
      <ns0:c r="M420" s="2" t="inlineStr"/>
      <ns0:c r="N420" s="2" t="inlineStr">
        <ns0:is>
          <ns0:t>首页/前两页题名作者或目标DOI核对，全部页面解析及正文结构检查；不据文件名判全文。</ns0:t>
        </ns0:is>
      </ns0:c>
      <ns0:c r="O420" s="2" t="inlineStr">
        <ns0:is>
          <ns0:t>https://github.com/Colliam-Vermilion/FirstCodex/blob/results/ad-oxygen-literature-20261006/results/ad-oxygen-literature-20261006/original_files/R13274/fulltext/fulltext__published__a01e60567ddc9a8f.pdf</ns0:t>
        </ns0:is>
      </ns0:c>
    </ns0:row>
    <ns0:row r="421" ht="48" customHeight="1">
      <ns0:c r="A421" s="3" t="inlineStr">
        <ns0:is>
          <ns0:t>R08280</ns0:t>
        </ns0:is>
      </ns0:c>
      <ns0:c r="B421" s="3" t="inlineStr">
        <ns0:is>
          <ns0:t>Revealing mechanism of micro-aeration for enhancing volatile fatty acids production from swine manure</ns0:t>
        </ns0:is>
      </ns0:c>
      <ns0:c r="C421" s="3" t="inlineStr">
        <ns0:is>
          <ns0:t>10.1016/j.biortech.2022.128140</ns0:t>
        </ns0:is>
      </ns0:c>
      <ns0:c r="D421" s="3" t="inlineStr">
        <ns0:is>
          <ns0:t>supplementary</ns0:t>
        </ns0:is>
      </ns0:c>
      <ns0:c r="E421" s="3" t="inlineStr"/>
      <ns0:c r="F421" s="3" t="inlineStr">
        <ns0:is>
          <ns0:t>supplementary.docx</ns0:t>
        </ns0:is>
      </ns0:c>
      <ns0:c r="G421" s="3" t="inlineStr">
        <ns0:is>
          <ns0:t>original_files/R08280/supplementary/supplementary__a1191a34988b74dd.docx</ns0:t>
        </ns0:is>
      </ns0:c>
      <ns0:c r="H421" s="3" t="inlineStr">
        <ns0:is>
          <ns0:t>local_upload</ns0:t>
        </ns0:is>
      </ns0:c>
      <ns0:c r="I421" s="3" t="inlineStr">
        <ns0:is>
          <ns0:t>localdownload/R08280/supplementary.docx</ns0:t>
        </ns0:is>
      </ns0:c>
      <ns0:c r="J421" s="3" t="n">
        <ns0:v>647394</ns0:v>
      </ns0:c>
      <ns0:c r="K421" s="3" t="inlineStr">
        <ns0:is>
          <ns0:t>a1191a34988b74dd742a54b3e62f1cc11145c1bc723963d3e0d3bbe991e13a0d</ns0:t>
        </ns0:is>
      </ns0:c>
      <ns0:c r="L421" s="3" t="inlineStr">
        <ns0:is>
          <ns0:t>container_crc_verified</ns0:t>
        </ns0:is>
      </ns0:c>
      <ns0:c r="M421" s="3" t="inlineStr">
        <ns0:is>
          <ns0:t>directory_and_content_consistent_identity_pending</ns0:t>
        </ns0:is>
      </ns0:c>
      <ns0:c r="N421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21" s="3" t="inlineStr">
        <ns0:is>
          <ns0:t>https://github.com/Colliam-Vermilion/FirstCodex/blob/results/ad-oxygen-literature-20261006/results/ad-oxygen-literature-20261006/original_files/R08280/supplementary/supplementary__a1191a34988b74dd.docx</ns0:t>
        </ns0:is>
      </ns0:c>
    </ns0:row>
    <ns0:row r="422" ht="48" customHeight="1">
      <ns0:c r="A422" s="2" t="inlineStr">
        <ns0:is>
          <ns0:t>R13941</ns0:t>
        </ns0:is>
      </ns0:c>
      <ns0:c r="B422" s="2" t="inlineStr">
        <ns0:is>
          <ns0:t>Impact of micro-aerobic conditions in UASB Reactor using media to improve the removal efficiency of organics and nutrients from wastewater</ns0:t>
        </ns0:is>
      </ns0:c>
      <ns0:c r="C422" s="2" t="inlineStr">
        <ns0:is>
          <ns0:t>10.1080/09593330.2025.2609982</ns0:t>
        </ns0:is>
      </ns0:c>
      <ns0:c r="D422" s="2" t="inlineStr">
        <ns0:is>
          <ns0:t>fulltext</ns0:t>
        </ns0:is>
      </ns0:c>
      <ns0:c r="E422" s="2" t="inlineStr">
        <ns0:is>
          <ns0:t>出版版（版式及版权文字）</ns0:t>
        </ns0:is>
      </ns0:c>
      <ns0:c r="F422" s="2" t="inlineStr">
        <ns0:is>
          <ns0:t>fulltext.pdf</ns0:t>
        </ns0:is>
      </ns0:c>
      <ns0:c r="G422" s="2" t="inlineStr">
        <ns0:is>
          <ns0:t>original_files/R13941/fulltext/fulltext__published__a120d41a77f431d7.pdf</ns0:t>
        </ns0:is>
      </ns0:c>
      <ns0:c r="H422" s="2" t="inlineStr">
        <ns0:is>
          <ns0:t>local_upload</ns0:t>
        </ns0:is>
      </ns0:c>
      <ns0:c r="I422" s="2" t="inlineStr">
        <ns0:is>
          <ns0:t>localdownload/R13941/fulltext.pdf</ns0:t>
        </ns0:is>
      </ns0:c>
      <ns0:c r="J422" s="2" t="n">
        <ns0:v>1916391</ns0:v>
      </ns0:c>
      <ns0:c r="K422" s="2" t="inlineStr">
        <ns0:is>
          <ns0:t>a120d41a77f431d724379b198d436c9bce9d3e6de85c18a8ef91ac7ac078e731</ns0:t>
        </ns0:is>
      </ns0:c>
      <ns0:c r="L422" s="2" t="inlineStr">
        <ns0:is>
          <ns0:t>identity_and_body_structure_verified</ns0:t>
        </ns0:is>
      </ns0:c>
      <ns0:c r="M422" s="2" t="inlineStr"/>
      <ns0:c r="N422" s="2" t="inlineStr">
        <ns0:is>
          <ns0:t>首页/前两页题名作者或目标DOI核对，全部页面解析及正文结构检查；不据文件名判全文。</ns0:t>
        </ns0:is>
      </ns0:c>
      <ns0:c r="O422" s="2" t="inlineStr">
        <ns0:is>
          <ns0:t>https://github.com/Colliam-Vermilion/FirstCodex/blob/results/ad-oxygen-literature-20261006/results/ad-oxygen-literature-20261006/original_files/R13941/fulltext/fulltext__published__a120d41a77f431d7.pdf</ns0:t>
        </ns0:is>
      </ns0:c>
    </ns0:row>
    <ns0:row r="423" ht="48" customHeight="1">
      <ns0:c r="A423" s="3" t="inlineStr">
        <ns0:is>
          <ns0:t>R13868</ns0:t>
        </ns0:is>
      </ns0:c>
      <ns0:c r="B423" s="3" t="inlineStr">
        <ns0:is>
          <ns0:t>Effect of microaerophilic treatment on swine wastewater (SWW) treatment: Engineering and microbiological aspects</ns0:t>
        </ns0:is>
      </ns0:c>
      <ns0:c r="C423" s="3" t="inlineStr">
        <ns0:is>
          <ns0:t>10.1016/j.jenvman.2021.113598</ns0:t>
        </ns0:is>
      </ns0:c>
      <ns0:c r="D423" s="3" t="inlineStr">
        <ns0:is>
          <ns0:t>supplementary</ns0:t>
        </ns0:is>
      </ns0:c>
      <ns0:c r="E423" s="3" t="inlineStr"/>
      <ns0:c r="F423" s="3" t="inlineStr">
        <ns0:is>
          <ns0:t>supplementary.docx</ns0:t>
        </ns0:is>
      </ns0:c>
      <ns0:c r="G423" s="3" t="inlineStr">
        <ns0:is>
          <ns0:t>original_files/R13868/supplementary/supplementary__a195d13f468251d6.docx</ns0:t>
        </ns0:is>
      </ns0:c>
      <ns0:c r="H423" s="3" t="inlineStr">
        <ns0:is>
          <ns0:t>local_upload</ns0:t>
        </ns0:is>
      </ns0:c>
      <ns0:c r="I423" s="3" t="inlineStr">
        <ns0:is>
          <ns0:t>localdownload/R13868/supplementary.docx</ns0:t>
        </ns0:is>
      </ns0:c>
      <ns0:c r="J423" s="3" t="n">
        <ns0:v>28452</ns0:v>
      </ns0:c>
      <ns0:c r="K423" s="3" t="inlineStr">
        <ns0:is>
          <ns0:t>a195d13f468251d64640b583323b84aa5b3dc437290679b37579923a2e433605</ns0:t>
        </ns0:is>
      </ns0:c>
      <ns0:c r="L423" s="3" t="inlineStr">
        <ns0:is>
          <ns0:t>container_crc_verified</ns0:t>
        </ns0:is>
      </ns0:c>
      <ns0:c r="M423" s="3" t="inlineStr">
        <ns0:is>
          <ns0:t>title_in_attachment_verified</ns0:t>
        </ns0:is>
      </ns0:c>
      <ns0:c r="N423" s="3" t="inlineStr"/>
      <ns0:c r="O423" s="3" t="inlineStr">
        <ns0:is>
          <ns0:t>https://github.com/Colliam-Vermilion/FirstCodex/blob/results/ad-oxygen-literature-20261006/results/ad-oxygen-literature-20261006/original_files/R13868/supplementary/supplementary__a195d13f468251d6.docx</ns0:t>
        </ns0:is>
      </ns0:c>
    </ns0:row>
    <ns0:row r="424" ht="48" customHeight="1">
      <ns0:c r="A424" s="2" t="inlineStr">
        <ns0:is>
          <ns0:t>R10673</ns0:t>
        </ns0:is>
      </ns0:c>
      <ns0:c r="B424" s="2" t="inlineStr">
        <ns0:is>
          <ns0:t>Performance and mechanism of various microaerobic pretreatments on anaerobic digestion of tobacco straw</ns0:t>
        </ns0:is>
      </ns0:c>
      <ns0:c r="C424" s="2" t="inlineStr">
        <ns0:is>
          <ns0:t>10.1016/j.biortech.2023.130092</ns0:t>
        </ns0:is>
      </ns0:c>
      <ns0:c r="D424" s="2" t="inlineStr">
        <ns0:is>
          <ns0:t>supplementary</ns0:t>
        </ns0:is>
      </ns0:c>
      <ns0:c r="E424" s="2" t="inlineStr"/>
      <ns0:c r="F424" s="2" t="inlineStr">
        <ns0:is>
          <ns0:t>supplementary.docx</ns0:t>
        </ns0:is>
      </ns0:c>
      <ns0:c r="G424" s="2" t="inlineStr">
        <ns0:is>
          <ns0:t>original_files/R10673/supplementary/supplementary__a19650cbbe3bc845.docx</ns0:t>
        </ns0:is>
      </ns0:c>
      <ns0:c r="H424" s="2" t="inlineStr">
        <ns0:is>
          <ns0:t>local_upload</ns0:t>
        </ns0:is>
      </ns0:c>
      <ns0:c r="I424" s="2" t="inlineStr">
        <ns0:is>
          <ns0:t>localdownload/R10673/supplementary.docx</ns0:t>
        </ns0:is>
      </ns0:c>
      <ns0:c r="J424" s="2" t="n">
        <ns0:v>305993</ns0:v>
      </ns0:c>
      <ns0:c r="K424" s="2" t="inlineStr">
        <ns0:is>
          <ns0:t>a19650cbbe3bc845c511d27e323e148140d8df58c5fea36213929b3de8736e03</ns0:t>
        </ns0:is>
      </ns0:c>
      <ns0:c r="L424" s="2" t="inlineStr">
        <ns0:is>
          <ns0:t>container_crc_verified</ns0:t>
        </ns0:is>
      </ns0:c>
      <ns0:c r="M424" s="2" t="inlineStr">
        <ns0:is>
          <ns0:t>directory_and_content_consistent_identity_pending</ns0:t>
        </ns0:is>
      </ns0:c>
      <ns0:c r="N424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24" s="2" t="inlineStr">
        <ns0:is>
          <ns0:t>https://github.com/Colliam-Vermilion/FirstCodex/blob/results/ad-oxygen-literature-20261006/results/ad-oxygen-literature-20261006/original_files/R10673/supplementary/supplementary__a19650cbbe3bc845.docx</ns0:t>
        </ns0:is>
      </ns0:c>
    </ns0:row>
    <ns0:row r="425" ht="48" customHeight="1">
      <ns0:c r="A425" s="3" t="inlineStr">
        <ns0:is>
          <ns0:t>R01350</ns0:t>
        </ns0:is>
      </ns0:c>
      <ns0:c r="B425" s="3" t="inlineStr">
        <ns0:is>
          <ns0:t>Microaerobic digestion of sewage sludge on an industrial-pilot scale: The efficiency of biogas desulphurisation under different configurations and the impact of O2 on the microbial communities</ns0:t>
        </ns0:is>
      </ns0:c>
      <ns0:c r="C425" s="3" t="inlineStr">
        <ns0:is>
          <ns0:t>10.1016/j.biortech.2014.04.109</ns0:t>
        </ns0:is>
      </ns0:c>
      <ns0:c r="D425" s="3" t="inlineStr">
        <ns0:is>
          <ns0:t>fulltext</ns0:t>
        </ns0:is>
      </ns0:c>
      <ns0:c r="E425" s="3" t="inlineStr">
        <ns0:is>
          <ns0:t>出版版（版式及版权文字）</ns0:t>
        </ns0:is>
      </ns0:c>
      <ns0:c r="F425" s="3" t="inlineStr">
        <ns0:is>
          <ns0:t>fultext.pdf</ns0:t>
        </ns0:is>
      </ns0:c>
      <ns0:c r="G425" s="3" t="inlineStr">
        <ns0:is>
          <ns0:t>original_files/R01350/fulltext/fulltext__published__a2d149d39c1e69ee.pdf</ns0:t>
        </ns0:is>
      </ns0:c>
      <ns0:c r="H425" s="3" t="inlineStr">
        <ns0:is>
          <ns0:t>local_upload</ns0:t>
        </ns0:is>
      </ns0:c>
      <ns0:c r="I425" s="3" t="inlineStr">
        <ns0:is>
          <ns0:t>localdownload/R01350/fultext.pdf</ns0:t>
        </ns0:is>
      </ns0:c>
      <ns0:c r="J425" s="3" t="n">
        <ns0:v>1144394</ns0:v>
      </ns0:c>
      <ns0:c r="K425" s="3" t="inlineStr">
        <ns0:is>
          <ns0:t>a2d149d39c1e69ee44975485bce10a90c0b95435c72a517f785c76d6a20afa86</ns0:t>
        </ns0:is>
      </ns0:c>
      <ns0:c r="L425" s="3" t="inlineStr">
        <ns0:is>
          <ns0:t>identity_and_body_structure_verified</ns0:t>
        </ns0:is>
      </ns0:c>
      <ns0:c r="M425" s="3" t="inlineStr"/>
      <ns0:c r="N425" s="3" t="inlineStr">
        <ns0:is>
          <ns0:t>首页/前两页题名作者或目标DOI核对，全部页面解析及正文结构检查；不据文件名判全文。</ns0:t>
        </ns0:is>
      </ns0:c>
      <ns0:c r="O425" s="3" t="inlineStr">
        <ns0:is>
          <ns0:t>https://github.com/Colliam-Vermilion/FirstCodex/blob/results/ad-oxygen-literature-20261006/results/ad-oxygen-literature-20261006/original_files/R01350/fulltext/fulltext__published__a2d149d39c1e69ee.pdf</ns0:t>
        </ns0:is>
      </ns0:c>
    </ns0:row>
    <ns0:row r="426" ht="48" customHeight="1">
      <ns0:c r="A426" s="2" t="inlineStr">
        <ns0:is>
          <ns0:t>R07455</ns0:t>
        </ns0:is>
      </ns0:c>
      <ns0:c r="B426" s="2" t="inlineStr">
        <ns0:is>
          <ns0:t>Analysis of Biogas Component Production during Anaerobic Digestion of Sour Cabbage in Microaeration Conditions under Different pH Conditions</ns0:t>
        </ns0:is>
      </ns0:c>
      <ns0:c r="C426" s="2" t="inlineStr">
        <ns0:is>
          <ns0:t>10.3390/biomass2010002</ns0:t>
        </ns0:is>
      </ns0:c>
      <ns0:c r="D426" s="2" t="inlineStr">
        <ns0:is>
          <ns0:t>source_evidence</ns0:t>
        </ns0:is>
      </ns0:c>
      <ns0:c r="E426" s="2" t="inlineStr"/>
      <ns0:c r="F426" s="2" t="inlineStr">
        <ns0:is>
          <ns0:t>publisher_article_page_20261017.html</ns0:t>
        </ns0:is>
      </ns0:c>
      <ns0:c r="G426" s="2" t="inlineStr">
        <ns0:is>
          <ns0:t>original_files/R07455/evidence/source_evidence__a32b25b89ddd9748.html</ns0:t>
        </ns0:is>
      </ns0:c>
      <ns0:c r="H426" s="2" t="inlineStr">
        <ns0:is>
          <ns0:t>cloud_existing</ns0:t>
        </ns0:is>
      </ns0:c>
      <ns0:c r="I426" s="2" t="inlineStr">
        <ns0:is>
          <ns0:t>original_files/source_evidence/R07455/publisher_article_page_20261017.html</ns0:t>
        </ns0:is>
      </ns0:c>
      <ns0:c r="J426" s="2" t="n">
        <ns0:v>629067</ns0:v>
      </ns0:c>
      <ns0:c r="K426" s="2" t="inlineStr">
        <ns0:is>
          <ns0:t>a32b25b89ddd9748b4f1ff446b17f7d3221968ee5a7a1231c3f8ae3cae5cd702</ns0:t>
        </ns0:is>
      </ns0:c>
      <ns0:c r="L426" s="2" t="inlineStr">
        <ns0:is>
          <ns0:t>text_readable</ns0:t>
        </ns0:is>
      </ns0:c>
      <ns0:c r="M426" s="2" t="inlineStr"/>
      <ns0:c r="N426" s="2" t="inlineStr"/>
      <ns0:c r="O426" s="2" t="inlineStr">
        <ns0:is>
          <ns0:t>https://github.com/Colliam-Vermilion/FirstCodex/blob/results/ad-oxygen-literature-20261006/results/ad-oxygen-literature-20261006/original_files/R07455/evidence/source_evidence__a32b25b89ddd9748.html</ns0:t>
        </ns0:is>
      </ns0:c>
    </ns0:row>
    <ns0:row r="427" ht="48" customHeight="1">
      <ns0:c r="A427" s="3" t="inlineStr">
        <ns0:is>
          <ns0:t>R09585</ns0:t>
        </ns0:is>
      </ns0:c>
      <ns0:c r="B427" s="3" t="inlineStr">
        <ns0:is>
          <ns0:t>Thermophilic Fungi as the Microbial Agents of Choice for the Industrial Co-Fermentation of Wood Wastes and Nitrogen-Rich Organic Wastes to Bio-Methane</ns0:t>
        </ns0:is>
      </ns0:c>
      <ns0:c r="C427" s="3" t="inlineStr">
        <ns0:is>
          <ns0:t>10.3390/microorganisms11102600</ns0:t>
        </ns0:is>
      </ns0:c>
      <ns0:c r="D427" s="3" t="inlineStr">
        <ns0:is>
          <ns0:t>source_evidence</ns0:t>
        </ns0:is>
      </ns0:c>
      <ns0:c r="E427" s="3" t="inlineStr"/>
      <ns0:c r="F427" s="3" t="inlineStr">
        <ns0:is>
          <ns0:t>PMC10609292_fullText.xml</ns0:t>
        </ns0:is>
      </ns0:c>
      <ns0:c r="G427" s="3" t="inlineStr">
        <ns0:is>
          <ns0:t>original_files/R09585/evidence/source_evidence__a3430f38fa1652de.xml</ns0:t>
        </ns0:is>
      </ns0:c>
      <ns0:c r="H427" s="3" t="inlineStr">
        <ns0:is>
          <ns0:t>cloud_existing</ns0:t>
        </ns0:is>
      </ns0:c>
      <ns0:c r="I427" s="3" t="inlineStr">
        <ns0:is>
          <ns0:t>original_files/source_evidence/R09585/PMC10609292_fullText.xml</ns0:t>
        </ns0:is>
      </ns0:c>
      <ns0:c r="J427" s="3" t="n">
        <ns0:v>100534</ns0:v>
      </ns0:c>
      <ns0:c r="K427" s="3" t="inlineStr">
        <ns0:is>
          <ns0:t>a3430f38fa1652de3145ffc47f0da514ee41e12ef8e95acc30330d6b3a01efd2</ns0:t>
        </ns0:is>
      </ns0:c>
      <ns0:c r="L427" s="3" t="inlineStr">
        <ns0:is>
          <ns0:t>text_readable</ns0:t>
        </ns0:is>
      </ns0:c>
      <ns0:c r="M427" s="3" t="inlineStr"/>
      <ns0:c r="N427" s="3" t="inlineStr"/>
      <ns0:c r="O427" s="3" t="inlineStr">
        <ns0:is>
          <ns0:t>https://github.com/Colliam-Vermilion/FirstCodex/blob/results/ad-oxygen-literature-20261006/results/ad-oxygen-literature-20261006/original_files/R09585/evidence/source_evidence__a3430f38fa1652de.xml</ns0:t>
        </ns0:is>
      </ns0:c>
    </ns0:row>
    <ns0:row r="428" ht="48" customHeight="1">
      <ns0:c r="A428" s="2" t="inlineStr">
        <ns0:is>
          <ns0:t>R02444</ns0:t>
        </ns0:is>
      </ns0:c>
      <ns0:c r="B428" s="2" t="inlineStr">
        <ns0:is>
          <ns0:t>Effect of Different Mixed Microflora on the Performance of Thermophilic Microaerobic Pretreatment</ns0:t>
        </ns0:is>
      </ns0:c>
      <ns0:c r="C428" s="2" t="inlineStr">
        <ns0:is>
          <ns0:t>10.1021/acs.energyfuels.6b00440</ns0:t>
        </ns0:is>
      </ns0:c>
      <ns0:c r="D428" s="2" t="inlineStr">
        <ns0:is>
          <ns0:t>fulltext</ns0:t>
        </ns0:is>
      </ns0:c>
      <ns0:c r="E428" s="2" t="inlineStr">
        <ns0:is>
          <ns0:t>出版版（版式及版权文字）</ns0:t>
        </ns0:is>
      </ns0:c>
      <ns0:c r="F428" s="2" t="inlineStr">
        <ns0:is>
          <ns0:t>fulltext.pdf</ns0:t>
        </ns0:is>
      </ns0:c>
      <ns0:c r="G428" s="2" t="inlineStr">
        <ns0:is>
          <ns0:t>original_files/R02444/fulltext/fulltext__published__a3cb2ae853beb60c.pdf</ns0:t>
        </ns0:is>
      </ns0:c>
      <ns0:c r="H428" t="inlineStr">
        <ns0:is>
          <ns0:t>local_upload; main@ab8353c误传副本</ns0:t>
        </ns0:is>
      </ns0:c>
      <ns0:c r="I428" t="inlineStr">
        <ns0:is>
          <ns0:t>localdownload/R02444/fulltext.pdf; main@ab8353c:R02444/fulltext.pdf</ns0:t>
        </ns0:is>
      </ns0:c>
      <ns0:c r="J428" s="2" t="n">
        <ns0:v>2587309</ns0:v>
      </ns0:c>
      <ns0:c r="K428" s="2" t="inlineStr">
        <ns0:is>
          <ns0:t>a3cb2ae853beb60cdd86458109ff70f4de83697200b6f975284de2a205e03bc0</ns0:t>
        </ns0:is>
      </ns0:c>
      <ns0:c r="L428" s="2" t="inlineStr">
        <ns0:is>
          <ns0:t>identity_and_body_structure_verified</ns0:t>
        </ns0:is>
      </ns0:c>
      <ns0:c r="M428" s="2" t="inlineStr"/>
      <ns0:c r="N428" s="2" t="inlineStr">
        <ns0:is>
          <ns0:t>首页/前两页题名作者或目标DOI核对，全部页面解析及正文结构检查；不据文件名判全文。</ns0:t>
        </ns0:is>
      </ns0:c>
      <ns0:c r="O428" s="2" t="inlineStr">
        <ns0:is>
          <ns0:t>https://github.com/Colliam-Vermilion/FirstCodex/blob/results/ad-oxygen-literature-20261006/results/ad-oxygen-literature-20261006/original_files/R02444/fulltext/fulltext__published__a3cb2ae853beb60c.pdf</ns0:t>
        </ns0:is>
      </ns0:c>
    </ns0:row>
    <ns0:row r="429" ht="48" customHeight="1">
      <ns0:c r="A429" s="3" t="inlineStr">
        <ns0:is>
          <ns0:t>R12279</ns0:t>
        </ns0:is>
      </ns0:c>
      <ns0:c r="B429" s="3" t="inlineStr">
        <ns0:is>
          <ns0:t>Sustainable management of simulated coffee processing wastewater using micro-aeration enhanced anaerobic digestion: a long-term technical evaluation</ns0:t>
        </ns0:is>
      </ns0:c>
      <ns0:c r="C429" s="3" t="inlineStr">
        <ns0:is>
          <ns0:t>10.3389/frsus.2025.1681014</ns0:t>
        </ns0:is>
      </ns0:c>
      <ns0:c r="D429" s="3" t="inlineStr">
        <ns0:is>
          <ns0:t>fulltext</ns0:t>
        </ns0:is>
      </ns0:c>
      <ns0:c r="E429" s="3" t="inlineStr">
        <ns0:is>
          <ns0:t>出版版本（原页出版信息）</ns0:t>
        </ns0:is>
      </ns0:c>
      <ns0:c r="F429" s="3" t="inlineStr">
        <ns0:is>
          <ns0:t>R12279_2025_Sustainable_management_of_simulated_coffee_processing_wastewater_using_micro-aeration.pdf</ns0:t>
        </ns0:is>
      </ns0:c>
      <ns0:c r="G429" s="3" t="inlineStr">
        <ns0:is>
          <ns0:t>original_files/R12279/fulltext/fulltext__published__a4024be5139d5819.pdf</ns0:t>
        </ns0:is>
      </ns0:c>
      <ns0:c r="H429" s="3" t="inlineStr">
        <ns0:is>
          <ns0:t>cloud_existing</ns0:t>
        </ns0:is>
      </ns0:c>
      <ns0:c r="I429" s="3" t="inlineStr">
        <ns0:is>
          <ns0:t>original_files/fulltext/R12279_2025_Sustainable_management_of_simulated_coffee_processing_wastewater_using_micro-aeration.pdf</ns0:t>
        </ns0:is>
      </ns0:c>
      <ns0:c r="J429" s="3" t="n">
        <ns0:v>1856349</ns0:v>
      </ns0:c>
      <ns0:c r="K429" s="3" t="inlineStr">
        <ns0:is>
          <ns0:t>a4024be5139d5819b2d5741864c0012abe9d7d5c7f118b832f1256473bb4b672</ns0:t>
        </ns0:is>
      </ns0:c>
      <ns0:c r="L429" s="3" t="inlineStr">
        <ns0:is>
          <ns0:t>identity_and_body_structure_verified</ns0:t>
        </ns0:is>
      </ns0:c>
      <ns0:c r="M429" s="3" t="inlineStr"/>
      <ns0:c r="N429" s="3" t="inlineStr">
        <ns0:is>
          <ns0:t>首页/前两页题名作者或目标DOI核对，全部页面解析及正文结构检查；不据文件名判全文。</ns0:t>
        </ns0:is>
      </ns0:c>
      <ns0:c r="O429" s="3" t="inlineStr">
        <ns0:is>
          <ns0:t>https://github.com/Colliam-Vermilion/FirstCodex/blob/results/ad-oxygen-literature-20261006/results/ad-oxygen-literature-20261006/original_files/R12279/fulltext/fulltext__published__a4024be5139d5819.pdf</ns0:t>
        </ns0:is>
      </ns0:c>
    </ns0:row>
    <ns0:row r="430" ht="48" customHeight="1">
      <ns0:c r="A430" s="2" t="inlineStr">
        <ns0:is>
          <ns0:t>R05550</ns0:t>
        </ns0:is>
      </ns0:c>
      <ns0:c r="B430" s="2" t="inlineStr">
        <ns0:is>
          <ns0:t>Effect of pH, substrate loading, oxygen, and methanogens inhibitors on volatile fatty acid (VFA) production from citrus waste by anaerobic digestion</ns0:t>
        </ns0:is>
      </ns0:c>
      <ns0:c r="C430" s="2" t="inlineStr">
        <ns0:is>
          <ns0:t>10.1016/j.biortech.2020.122800</ns0:t>
        </ns0:is>
      </ns0:c>
      <ns0:c r="D430" s="2" t="inlineStr">
        <ns0:is>
          <ns0:t>fulltext</ns0:t>
        </ns0:is>
      </ns0:c>
      <ns0:c r="E430" s="2" t="inlineStr">
        <ns0:is>
          <ns0:t>出版版（版式及版权文字）</ns0:t>
        </ns0:is>
      </ns0:c>
      <ns0:c r="F430" s="2" t="inlineStr">
        <ns0:is>
          <ns0:t>fulltext.pdf</ns0:t>
        </ns0:is>
      </ns0:c>
      <ns0:c r="G430" s="2" t="inlineStr">
        <ns0:is>
          <ns0:t>original_files/R05550/fulltext/fulltext__published__a43f2418ca729f61.pdf</ns0:t>
        </ns0:is>
      </ns0:c>
      <ns0:c r="H430" s="2" t="inlineStr">
        <ns0:is>
          <ns0:t>local_upload</ns0:t>
        </ns0:is>
      </ns0:c>
      <ns0:c r="I430" s="2" t="inlineStr">
        <ns0:is>
          <ns0:t>localdownload/R05550/fulltext.pdf</ns0:t>
        </ns0:is>
      </ns0:c>
      <ns0:c r="J430" s="2" t="n">
        <ns0:v>1970987</ns0:v>
      </ns0:c>
      <ns0:c r="K430" s="2" t="inlineStr">
        <ns0:is>
          <ns0:t>a43f2418ca729f6136d764e9280d9f279370ac4707b140b902df1a3e2db0636e</ns0:t>
        </ns0:is>
      </ns0:c>
      <ns0:c r="L430" s="2" t="inlineStr">
        <ns0:is>
          <ns0:t>identity_and_body_structure_verified</ns0:t>
        </ns0:is>
      </ns0:c>
      <ns0:c r="M430" s="2" t="inlineStr"/>
      <ns0:c r="N430" s="2" t="inlineStr">
        <ns0:is>
          <ns0:t>首页/前两页题名作者或目标DOI核对，全部页面解析及正文结构检查；不据文件名判全文。</ns0:t>
        </ns0:is>
      </ns0:c>
      <ns0:c r="O430" s="2" t="inlineStr">
        <ns0:is>
          <ns0:t>https://github.com/Colliam-Vermilion/FirstCodex/blob/results/ad-oxygen-literature-20261006/results/ad-oxygen-literature-20261006/original_files/R05550/fulltext/fulltext__published__a43f2418ca729f61.pdf</ns0:t>
        </ns0:is>
      </ns0:c>
    </ns0:row>
    <ns0:row r="431" ht="48" customHeight="1">
      <ns0:c r="A431" s="3" t="inlineStr">
        <ns0:is>
          <ns0:t>R13275</ns0:t>
        </ns0:is>
      </ns0:c>
      <ns0:c r="B431" s="3" t="inlineStr">
        <ns0:is>
          <ns0:t>Micro-aeration strategy for improved biogas yield and in-situ hydrogen sulfide mitigation during high-solids co-digestion of poultry litter</ns0:t>
        </ns0:is>
      </ns0:c>
      <ns0:c r="C431" s="3" t="inlineStr">
        <ns0:is>
          <ns0:t>10.1016/j.biortech.2025.133399</ns0:t>
        </ns0:is>
      </ns0:c>
      <ns0:c r="D431" s="3" t="inlineStr">
        <ns0:is>
          <ns0:t>fulltext</ns0:t>
        </ns0:is>
      </ns0:c>
      <ns0:c r="E431" s="3" t="inlineStr">
        <ns0:is>
          <ns0:t>出版版（版式及版权文字）</ns0:t>
        </ns0:is>
      </ns0:c>
      <ns0:c r="F431" s="3" t="inlineStr">
        <ns0:is>
          <ns0:t>fulltext.pdf</ns0:t>
        </ns0:is>
      </ns0:c>
      <ns0:c r="G431" s="3" t="inlineStr">
        <ns0:is>
          <ns0:t>original_files/R13275/fulltext/fulltext__published__a552c2e43763f17c.pdf</ns0:t>
        </ns0:is>
      </ns0:c>
      <ns0:c r="H431" s="3" t="inlineStr">
        <ns0:is>
          <ns0:t>local_upload</ns0:t>
        </ns0:is>
      </ns0:c>
      <ns0:c r="I431" s="3" t="inlineStr">
        <ns0:is>
          <ns0:t>localdownload/R13275/fulltext.pdf</ns0:t>
        </ns0:is>
      </ns0:c>
      <ns0:c r="J431" s="3" t="n">
        <ns0:v>5930479</ns0:v>
      </ns0:c>
      <ns0:c r="K431" s="3" t="inlineStr">
        <ns0:is>
          <ns0:t>a552c2e43763f17cf1577184960c6ccbfcf9b37e9037987edc115c471449f423</ns0:t>
        </ns0:is>
      </ns0:c>
      <ns0:c r="L431" s="3" t="inlineStr">
        <ns0:is>
          <ns0:t>identity_and_body_structure_verified</ns0:t>
        </ns0:is>
      </ns0:c>
      <ns0:c r="M431" s="3" t="inlineStr"/>
      <ns0:c r="N431" s="3" t="inlineStr">
        <ns0:is>
          <ns0:t>首页/前两页题名作者或目标DOI核对，全部页面解析及正文结构检查；不据文件名判全文。</ns0:t>
        </ns0:is>
      </ns0:c>
      <ns0:c r="O431" s="3" t="inlineStr">
        <ns0:is>
          <ns0:t>https://github.com/Colliam-Vermilion/FirstCodex/blob/results/ad-oxygen-literature-20261006/results/ad-oxygen-literature-20261006/original_files/R13275/fulltext/fulltext__published__a552c2e43763f17c.pdf</ns0:t>
        </ns0:is>
      </ns0:c>
    </ns0:row>
    <ns0:row r="432" ht="48" customHeight="1">
      <ns0:c r="A432" s="2" t="inlineStr">
        <ns0:is>
          <ns0:t>R13968</ns0:t>
        </ns0:is>
      </ns0:c>
      <ns0:c r="B432" s="2" t="inlineStr">
        <ns0:is>
          <ns0:t>Enhancement of separate hydrogen and methane production from ethanol wastewater by Microaeration</ns0:t>
        </ns0:is>
      </ns0:c>
      <ns0:c r="C432" s="2" t="inlineStr">
        <ns0:is>
          <ns0:t>10.58837/chula.the.2015.1957</ns0:t>
        </ns0:is>
      </ns0:c>
      <ns0:c r="D432" s="2" t="inlineStr">
        <ns0:is>
          <ns0:t>fulltext</ns0:t>
        </ns0:is>
      </ns0:c>
      <ns0:c r="E432" s="2" t="inlineStr">
        <ns0:is>
          <ns0:t>学位/学生报告原稿（分章节者按组）</ns0:t>
        </ns0:is>
      </ns0:c>
      <ns0:c r="F432" s="2" t="inlineStr">
        <ns0:is>
          <ns0:t>R13968_Nhatthaphon_sr_ch3_p.pdf</ns0:t>
        </ns0:is>
      </ns0:c>
      <ns0:c r="G432" s="2" t="inlineStr">
        <ns0:is>
          <ns0:t>original_files/R13968/fulltext/fulltext__thesis__a58d9c0c6dccab4f.pdf</ns0:t>
        </ns0:is>
      </ns0:c>
      <ns0:c r="H432" s="2" t="inlineStr">
        <ns0:is>
          <ns0:t>cloud_existing</ns0:t>
        </ns0:is>
      </ns0:c>
      <ns0:c r="I432" s="2" t="inlineStr">
        <ns0:is>
          <ns0:t>original_files/fulltext/R13968_Nhatthaphon_sr_ch3_p.pdf</ns0:t>
        </ns0:is>
      </ns0:c>
      <ns0:c r="J432" s="2" t="n">
        <ns0:v>1230431</ns0:v>
      </ns0:c>
      <ns0:c r="K432" s="2" t="inlineStr">
        <ns0:is>
          <ns0:t>a58d9c0c6dccab4f535d87b9f82f45309f2b33bdfec9db5f198589f650c48f00</ns0:t>
        </ns0:is>
      </ns0:c>
      <ns0:c r="L432" s="2" t="inlineStr">
        <ns0:is>
          <ns0:t>complete_multipart_thesis_group_verified</ns0:t>
        </ns0:is>
      </ns0:c>
      <ns0:c r="M432" s="2" t="inlineStr"/>
      <ns0:c r="N432" s="2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432" s="2" t="inlineStr">
        <ns0:is>
          <ns0:t>https://github.com/Colliam-Vermilion/FirstCodex/blob/results/ad-oxygen-literature-20261006/results/ad-oxygen-literature-20261006/original_files/R13968/fulltext/fulltext__thesis__a58d9c0c6dccab4f.pdf</ns0:t>
        </ns0:is>
      </ns0:c>
    </ns0:row>
    <ns0:row r="433" ht="48" customHeight="1">
      <ns0:c r="A433" s="3" t="inlineStr">
        <ns0:is>
          <ns0:t>R06588</ns0:t>
        </ns0:is>
      </ns0:c>
      <ns0:c r="B433" s="3" t="inlineStr">
        <ns0:is>
          <ns0:t>Effect of Rotten Butter Shock Load on Anaerobic Digestion of Chicken Manure</ns0:t>
        </ns0:is>
      </ns0:c>
      <ns0:c r="C433" s="3" t="inlineStr">
        <ns0:is>
          <ns0:t>10.22146/agritech.56792</ns0:t>
        </ns0:is>
      </ns0:c>
      <ns0:c r="D433" s="3" t="inlineStr">
        <ns0:is>
          <ns0:t>fulltext</ns0:t>
        </ns0:is>
      </ns0:c>
      <ns0:c r="E433" s="3" t="inlineStr">
        <ns0:is>
          <ns0:t>出版版（agriTECH 41(4),2021,362–375；自身题名作者及DOI页首核验）</ns0:t>
        </ns0:is>
      </ns0:c>
      <ns0:c r="F433" s="3" t="inlineStr">
        <ns0:is>
          <ns0:t>R06588_2021_Effect_of_Rotten_Butter_Shock_Load_on_Anaerobic_Digestion_of_Chicken_Manure_a69e903d7886.pdf</ns0:t>
        </ns0:is>
      </ns0:c>
      <ns0:c r="G433" s="3" t="inlineStr">
        <ns0:is>
          <ns0:t>original_files/R06588/fulltext/fulltext__published__a69e903d7886bcd0.pdf</ns0:t>
        </ns0:is>
      </ns0:c>
      <ns0:c r="H433" s="3" t="inlineStr">
        <ns0:is>
          <ns0:t>cloud_existing</ns0:t>
        </ns0:is>
      </ns0:c>
      <ns0:c r="I433" s="3" t="inlineStr">
        <ns0:is>
          <ns0:t>original_files/fulltext/R06588_2021_Effect_of_Rotten_Butter_Shock_Load_on_Anaerobic_Digestion_of_Chicken_Manure_a69e903d7886.pdf</ns0:t>
        </ns0:is>
      </ns0:c>
      <ns0:c r="J433" s="3" t="n">
        <ns0:v>1226404</ns0:v>
      </ns0:c>
      <ns0:c r="K433" s="3" t="inlineStr">
        <ns0:is>
          <ns0:t>a69e903d7886bcd01cf3b4d34bb10798d152945594161598f6eb01c877a7c074</ns0:t>
        </ns0:is>
      </ns0:c>
      <ns0:c r="L433" s="3" t="inlineStr">
        <ns0:is>
          <ns0:t>identity_and_body_structure_verified</ns0:t>
        </ns0:is>
      </ns0:c>
      <ns0:c r="M433" s="3" t="inlineStr"/>
      <ns0:c r="N433" s="3" t="inlineStr">
        <ns0:is>
          <ns0:t>首页/前两页题名作者或目标DOI核对，全部页面解析及正文结构检查；不据文件名判全文。</ns0:t>
        </ns0:is>
      </ns0:c>
      <ns0:c r="O433" s="3" t="inlineStr">
        <ns0:is>
          <ns0:t>https://github.com/Colliam-Vermilion/FirstCodex/blob/results/ad-oxygen-literature-20261006/results/ad-oxygen-literature-20261006/original_files/R06588/fulltext/fulltext__published__a69e903d7886bcd0.pdf</ns0:t>
        </ns0:is>
      </ns0:c>
    </ns0:row>
    <ns0:row r="434" ht="48" customHeight="1">
      <ns0:c r="A434" s="2" t="inlineStr">
        <ns0:is>
          <ns0:t>R09682</ns0:t>
        </ns0:is>
      </ns0:c>
      <ns0:c r="B434" s="2" t="inlineStr">
        <ns0:is>
          <ns0:t>A Comprehensive Review of the Strategies to Improve Anaerobic Digestion: Their Mechanism and Digestion Performance</ns0:t>
        </ns0:is>
      </ns0:c>
      <ns0:c r="C434" s="2" t="inlineStr">
        <ns0:is>
          <ns0:t>10.3390/methane3020014</ns0:t>
        </ns0:is>
      </ns0:c>
      <ns0:c r="D434" s="2" t="inlineStr">
        <ns0:is>
          <ns0:t>source_evidence</ns0:t>
        </ns0:is>
      </ns0:c>
      <ns0:c r="E434" s="2" t="inlineStr"/>
      <ns0:c r="F434" s="2" t="inlineStr">
        <ns0:is>
          <ns0:t>publisher_article_page_20261017.html</ns0:t>
        </ns0:is>
      </ns0:c>
      <ns0:c r="G434" s="2" t="inlineStr">
        <ns0:is>
          <ns0:t>original_files/R09682/evidence/source_evidence__a6c465a4fa392219.html</ns0:t>
        </ns0:is>
      </ns0:c>
      <ns0:c r="H434" s="2" t="inlineStr">
        <ns0:is>
          <ns0:t>cloud_existing</ns0:t>
        </ns0:is>
      </ns0:c>
      <ns0:c r="I434" s="2" t="inlineStr">
        <ns0:is>
          <ns0:t>original_files/source_evidence/R09682/publisher_article_page_20261017.html</ns0:t>
        </ns0:is>
      </ns0:c>
      <ns0:c r="J434" s="2" t="n">
        <ns0:v>753810</ns0:v>
      </ns0:c>
      <ns0:c r="K434" s="2" t="inlineStr">
        <ns0:is>
          <ns0:t>a6c465a4fa3922198e71a841ca62900315d68dbd489c0e92bb39151b58c7e4c5</ns0:t>
        </ns0:is>
      </ns0:c>
      <ns0:c r="L434" s="2" t="inlineStr">
        <ns0:is>
          <ns0:t>text_readable</ns0:t>
        </ns0:is>
      </ns0:c>
      <ns0:c r="M434" s="2" t="inlineStr"/>
      <ns0:c r="N434" s="2" t="inlineStr"/>
      <ns0:c r="O434" s="2" t="inlineStr">
        <ns0:is>
          <ns0:t>https://github.com/Colliam-Vermilion/FirstCodex/blob/results/ad-oxygen-literature-20261006/results/ad-oxygen-literature-20261006/original_files/R09682/evidence/source_evidence__a6c465a4fa392219.html</ns0:t>
        </ns0:is>
      </ns0:c>
    </ns0:row>
    <ns0:row r="435" ht="48" customHeight="1">
      <ns0:c r="A435" s="3" t="inlineStr">
        <ns0:is>
          <ns0:t>R06667</ns0:t>
        </ns0:is>
      </ns0:c>
      <ns0:c r="B435" s="3" t="inlineStr">
        <ns0:is>
          <ns0:t>Enhanced methane production and energy potential from rice straw by employing microaerobic pretreatment via anaerobic digestion</ns0:t>
        </ns0:is>
      </ns0:c>
      <ns0:c r="C435" s="3" t="inlineStr">
        <ns0:is>
          <ns0:t>10.1016/j.jclepro.2021.126434</ns0:t>
        </ns0:is>
      </ns0:c>
      <ns0:c r="D435" s="3" t="inlineStr">
        <ns0:is>
          <ns0:t>fulltext</ns0:t>
        </ns0:is>
      </ns0:c>
      <ns0:c r="E435" s="3" t="inlineStr">
        <ns0:is>
          <ns0:t>出版版（版式及版权文字）</ns0:t>
        </ns0:is>
      </ns0:c>
      <ns0:c r="F435" s="3" t="inlineStr">
        <ns0:is>
          <ns0:t>fulltext.pdf</ns0:t>
        </ns0:is>
      </ns0:c>
      <ns0:c r="G435" s="3" t="inlineStr">
        <ns0:is>
          <ns0:t>original_files/R06667/fulltext/fulltext__published__a6ed81714f86dd84.pdf</ns0:t>
        </ns0:is>
      </ns0:c>
      <ns0:c r="H435" s="3" t="inlineStr">
        <ns0:is>
          <ns0:t>local_upload</ns0:t>
        </ns0:is>
      </ns0:c>
      <ns0:c r="I435" s="3" t="inlineStr">
        <ns0:is>
          <ns0:t>localdownload/R06667/fulltext.pdf</ns0:t>
        </ns0:is>
      </ns0:c>
      <ns0:c r="J435" s="3" t="n">
        <ns0:v>5412945</ns0:v>
      </ns0:c>
      <ns0:c r="K435" s="3" t="inlineStr">
        <ns0:is>
          <ns0:t>a6ed81714f86dd846f87cf56bd8fcaa71a10aab31441f5ed0055b07258204900</ns0:t>
        </ns0:is>
      </ns0:c>
      <ns0:c r="L435" s="3" t="inlineStr">
        <ns0:is>
          <ns0:t>identity_and_body_structure_verified</ns0:t>
        </ns0:is>
      </ns0:c>
      <ns0:c r="M435" s="3" t="inlineStr"/>
      <ns0:c r="N435" s="3" t="inlineStr">
        <ns0:is>
          <ns0:t>首页/前两页题名作者或目标DOI核对，全部页面解析及正文结构检查；不据文件名判全文。</ns0:t>
        </ns0:is>
      </ns0:c>
      <ns0:c r="O435" s="3" t="inlineStr">
        <ns0:is>
          <ns0:t>https://github.com/Colliam-Vermilion/FirstCodex/blob/results/ad-oxygen-literature-20261006/results/ad-oxygen-literature-20261006/original_files/R06667/fulltext/fulltext__published__a6ed81714f86dd84.pdf</ns0:t>
        </ns0:is>
      </ns0:c>
    </ns0:row>
    <ns0:row r="436" ht="48" customHeight="1">
      <ns0:c r="A436" s="2" t="inlineStr">
        <ns0:is>
          <ns0:t>R12951</ns0:t>
        </ns0:is>
      </ns0:c>
      <ns0:c r="B436" s="2" t="inlineStr">
        <ns0:is>
          <ns0:t>Enhancing anaerobic co-digestion of poultry litter and wheat straw via integrated microaeration, biochar, and nanoparticle strategies: Kinetic, microbial, and economic insights</ns0:t>
        </ns0:is>
      </ns0:c>
      <ns0:c r="C436" s="2" t="inlineStr">
        <ns0:is>
          <ns0:t>10.1016/j.jece.2026.123307</ns0:t>
        </ns0:is>
      </ns0:c>
      <ns0:c r="D436" s="2" t="inlineStr">
        <ns0:is>
          <ns0:t>fulltext</ns0:t>
        </ns0:is>
      </ns0:c>
      <ns0:c r="E436" s="2" t="inlineStr">
        <ns0:is>
          <ns0:t>出版版（版式及版权文字）</ns0:t>
        </ns0:is>
      </ns0:c>
      <ns0:c r="F436" s="2" t="inlineStr">
        <ns0:is>
          <ns0:t>fulltext.pdf</ns0:t>
        </ns0:is>
      </ns0:c>
      <ns0:c r="G436" s="2" t="inlineStr">
        <ns0:is>
          <ns0:t>original_files/R12951/fulltext/fulltext__published__a7015b3a125f5c6a.pdf</ns0:t>
        </ns0:is>
      </ns0:c>
      <ns0:c r="H436" s="2" t="inlineStr">
        <ns0:is>
          <ns0:t>local_upload</ns0:t>
        </ns0:is>
      </ns0:c>
      <ns0:c r="I436" s="2" t="inlineStr">
        <ns0:is>
          <ns0:t>localdownload/R12951/fulltext.pdf</ns0:t>
        </ns0:is>
      </ns0:c>
      <ns0:c r="J436" s="2" t="n">
        <ns0:v>5324116</ns0:v>
      </ns0:c>
      <ns0:c r="K436" s="2" t="inlineStr">
        <ns0:is>
          <ns0:t>a7015b3a125f5c6ad0ef8eabb19719f9d6c6d240b6b4e20e7d1e97af37be4468</ns0:t>
        </ns0:is>
      </ns0:c>
      <ns0:c r="L436" s="2" t="inlineStr">
        <ns0:is>
          <ns0:t>identity_and_body_structure_verified</ns0:t>
        </ns0:is>
      </ns0:c>
      <ns0:c r="M436" s="2" t="inlineStr"/>
      <ns0:c r="N436" s="2" t="inlineStr">
        <ns0:is>
          <ns0:t>首页/前两页题名作者或目标DOI核对，全部页面解析及正文结构检查；不据文件名判全文。</ns0:t>
        </ns0:is>
      </ns0:c>
      <ns0:c r="O436" s="2" t="inlineStr">
        <ns0:is>
          <ns0:t>https://github.com/Colliam-Vermilion/FirstCodex/blob/results/ad-oxygen-literature-20261006/results/ad-oxygen-literature-20261006/original_files/R12951/fulltext/fulltext__published__a7015b3a125f5c6a.pdf</ns0:t>
        </ns0:is>
      </ns0:c>
    </ns0:row>
    <ns0:row r="437" ht="48" customHeight="1">
      <ns0:c r="A437" s="3" t="inlineStr">
        <ns0:is>
          <ns0:t>R08380</ns0:t>
        </ns0:is>
      </ns0:c>
      <ns0:c r="B437" s="3" t="inlineStr">
        <ns0:is>
          <ns0:t>The Measurement, Application, and Effect of Oxygen in Microbial Fermentations: Focusing on Methane and Carboxylate Production</ns0:t>
        </ns0:is>
      </ns0:c>
      <ns0:c r="C437" s="3" t="inlineStr">
        <ns0:is>
          <ns0:t>10.3390/fermentation8040138</ns0:t>
        </ns0:is>
      </ns0:c>
      <ns0:c r="D437" s="3" t="inlineStr">
        <ns0:is>
          <ns0:t>fulltext</ns0:t>
        </ns0:is>
      </ns0:c>
      <ns0:c r="E437" s="3" t="inlineStr">
        <ns0:is>
          <ns0:t>出版版本（原页出版信息）</ns0:t>
        </ns0:is>
      </ns0:c>
      <ns0:c r="F437" s="3" t="inlineStr">
        <ns0:is>
          <ns0:t>R08380_2022_The_Measurement_Application_and_Effect_of_Oxygen_in_Microbial.pdf</ns0:t>
        </ns0:is>
      </ns0:c>
      <ns0:c r="G437" s="3" t="inlineStr">
        <ns0:is>
          <ns0:t>original_files/R08380/fulltext/fulltext__published__a702e1d8d857a6ff.pdf</ns0:t>
        </ns0:is>
      </ns0:c>
      <ns0:c r="H437" s="3" t="inlineStr">
        <ns0:is>
          <ns0:t>cloud_existing</ns0:t>
        </ns0:is>
      </ns0:c>
      <ns0:c r="I437" s="3" t="inlineStr">
        <ns0:is>
          <ns0:t>original_files/fulltext/R08380_2022_The_Measurement_Application_and_Effect_of_Oxygen_in_Microbial.pdf</ns0:t>
        </ns0:is>
      </ns0:c>
      <ns0:c r="J437" s="3" t="n">
        <ns0:v>2495950</ns0:v>
      </ns0:c>
      <ns0:c r="K437" s="3" t="inlineStr">
        <ns0:is>
          <ns0:t>a702e1d8d857a6ff39b15c42b3df247f0b05da9b52c2558213255f59405ed012</ns0:t>
        </ns0:is>
      </ns0:c>
      <ns0:c r="L437" s="3" t="inlineStr">
        <ns0:is>
          <ns0:t>identity_and_body_structure_verified</ns0:t>
        </ns0:is>
      </ns0:c>
      <ns0:c r="M437" s="3" t="inlineStr"/>
      <ns0:c r="N437" s="3" t="inlineStr">
        <ns0:is>
          <ns0:t>首页/前两页题名作者或目标DOI核对，全部页面解析及正文结构检查；不据文件名判全文。</ns0:t>
        </ns0:is>
      </ns0:c>
      <ns0:c r="O437" s="3" t="inlineStr">
        <ns0:is>
          <ns0:t>https://github.com/Colliam-Vermilion/FirstCodex/blob/results/ad-oxygen-literature-20261006/results/ad-oxygen-literature-20261006/original_files/R08380/fulltext/fulltext__published__a702e1d8d857a6ff.pdf</ns0:t>
        </ns0:is>
      </ns0:c>
    </ns0:row>
    <ns0:row r="438" ht="48" customHeight="1">
      <ns0:c r="A438" s="2" t="inlineStr">
        <ns0:is>
          <ns0:t>R01410</ns0:t>
        </ns0:is>
      </ns0:c>
      <ns0:c r="B438" s="2" t="inlineStr">
        <ns0:is>
          <ns0:t>Optimization of micro-aeration intensity in acidogenic reactor of a two-phase anaerobic digester treating food waste</ns0:t>
        </ns0:is>
      </ns0:c>
      <ns0:c r="C438" s="2" t="inlineStr">
        <ns0:is>
          <ns0:t>10.1016/j.wasman.2013.10.038</ns0:t>
        </ns0:is>
      </ns0:c>
      <ns0:c r="D438" s="2" t="inlineStr">
        <ns0:is>
          <ns0:t>fulltext</ns0:t>
        </ns0:is>
      </ns0:c>
      <ns0:c r="E438" s="2" t="inlineStr">
        <ns0:is>
          <ns0:t>出版版（版式及版权文字）</ns0:t>
        </ns0:is>
      </ns0:c>
      <ns0:c r="F438" s="2" t="inlineStr">
        <ns0:is>
          <ns0:t>fulltext.pdf</ns0:t>
        </ns0:is>
      </ns0:c>
      <ns0:c r="G438" s="2" t="inlineStr">
        <ns0:is>
          <ns0:t>original_files/R01410/fulltext/fulltext__published__a750f0e05f2cd4ac.pdf</ns0:t>
        </ns0:is>
      </ns0:c>
      <ns0:c r="H438" s="2" t="inlineStr">
        <ns0:is>
          <ns0:t>local_upload</ns0:t>
        </ns0:is>
      </ns0:c>
      <ns0:c r="I438" s="2" t="inlineStr">
        <ns0:is>
          <ns0:t>localdownload/R01410/fulltext.pdf</ns0:t>
        </ns0:is>
      </ns0:c>
      <ns0:c r="J438" s="2" t="n">
        <ns0:v>966200</ns0:v>
      </ns0:c>
      <ns0:c r="K438" s="2" t="inlineStr">
        <ns0:is>
          <ns0:t>a750f0e05f2cd4ac62532b353981015de33925a7a5b20c329283eae7a1f7b14e</ns0:t>
        </ns0:is>
      </ns0:c>
      <ns0:c r="L438" s="2" t="inlineStr">
        <ns0:is>
          <ns0:t>identity_and_body_structure_verified</ns0:t>
        </ns0:is>
      </ns0:c>
      <ns0:c r="M438" s="2" t="inlineStr"/>
      <ns0:c r="N438" s="2" t="inlineStr">
        <ns0:is>
          <ns0:t>首页/前两页题名作者或目标DOI核对，全部页面解析及正文结构检查；不据文件名判全文。</ns0:t>
        </ns0:is>
      </ns0:c>
      <ns0:c r="O438" s="2" t="inlineStr">
        <ns0:is>
          <ns0:t>https://github.com/Colliam-Vermilion/FirstCodex/blob/results/ad-oxygen-literature-20261006/results/ad-oxygen-literature-20261006/original_files/R01410/fulltext/fulltext__published__a750f0e05f2cd4ac.pdf</ns0:t>
        </ns0:is>
      </ns0:c>
    </ns0:row>
    <ns0:row r="439" ht="48" customHeight="1">
      <ns0:c r="A439" s="3" t="inlineStr">
        <ns0:is>
          <ns0:t>R13557</ns0:t>
        </ns0:is>
      </ns0:c>
      <ns0:c r="B439" s="3" t="inlineStr">
        <ns0:is>
          <ns0:t>Redox mediators and microaeration boosting the linear alkylbenzene sulfonate removal</ns0:t>
        </ns0:is>
      </ns0:c>
      <ns0:c r="C439" s="3" t="inlineStr">
        <ns0:is>
          <ns0:t>10.1016/j.chemosphere.2026.144878</ns0:t>
        </ns0:is>
      </ns0:c>
      <ns0:c r="D439" s="3" t="inlineStr">
        <ns0:is>
          <ns0:t>fulltext</ns0:t>
        </ns0:is>
      </ns0:c>
      <ns0:c r="E439" s="3" t="inlineStr">
        <ns0:is>
          <ns0:t>出版版（版式及版权文字）</ns0:t>
        </ns0:is>
      </ns0:c>
      <ns0:c r="F439" s="3" t="inlineStr">
        <ns0:is>
          <ns0:t>fulltext.pdf</ns0:t>
        </ns0:is>
      </ns0:c>
      <ns0:c r="G439" s="3" t="inlineStr">
        <ns0:is>
          <ns0:t>original_files/R13557/fulltext/fulltext__published__a7b3007b90f2b38a.pdf</ns0:t>
        </ns0:is>
      </ns0:c>
      <ns0:c r="H439" s="3" t="inlineStr">
        <ns0:is>
          <ns0:t>local_upload</ns0:t>
        </ns0:is>
      </ns0:c>
      <ns0:c r="I439" s="3" t="inlineStr">
        <ns0:is>
          <ns0:t>localdownload/R13557/fulltext.pdf</ns0:t>
        </ns0:is>
      </ns0:c>
      <ns0:c r="J439" s="3" t="n">
        <ns0:v>5290869</ns0:v>
      </ns0:c>
      <ns0:c r="K439" s="3" t="inlineStr">
        <ns0:is>
          <ns0:t>a7b3007b90f2b38ad696115789c5399319b330592d2f07ae78ab379c3bfac317</ns0:t>
        </ns0:is>
      </ns0:c>
      <ns0:c r="L439" s="3" t="inlineStr">
        <ns0:is>
          <ns0:t>identity_and_body_structure_verified</ns0:t>
        </ns0:is>
      </ns0:c>
      <ns0:c r="M439" s="3" t="inlineStr"/>
      <ns0:c r="N439" s="3" t="inlineStr">
        <ns0:is>
          <ns0:t>首页/前两页题名作者或目标DOI核对，全部页面解析及正文结构检查；不据文件名判全文。</ns0:t>
        </ns0:is>
      </ns0:c>
      <ns0:c r="O439" s="3" t="inlineStr">
        <ns0:is>
          <ns0:t>https://github.com/Colliam-Vermilion/FirstCodex/blob/results/ad-oxygen-literature-20261006/results/ad-oxygen-literature-20261006/original_files/R13557/fulltext/fulltext__published__a7b3007b90f2b38a.pdf</ns0:t>
        </ns0:is>
      </ns0:c>
    </ns0:row>
    <ns0:row r="440" ht="48" customHeight="1">
      <ns0:c r="A440" s="2" t="inlineStr">
        <ns0:is>
          <ns0:t>R05472</ns0:t>
        </ns0:is>
      </ns0:c>
      <ns0:c r="B440" s="2" t="inlineStr">
        <ns0:is>
          <ns0:t>Comparing Hydrogen Sulfide Removal Efficiency in a Field-Scale Digester Using Microaeration and Iron Filters</ns0:t>
        </ns0:is>
      </ns0:c>
      <ns0:c r="C440" s="2" t="inlineStr">
        <ns0:is>
          <ns0:t>10.3390/en13184793</ns0:t>
        </ns0:is>
      </ns0:c>
      <ns0:c r="D440" s="2" t="inlineStr">
        <ns0:is>
          <ns0:t>fulltext</ns0:t>
        </ns0:is>
      </ns0:c>
      <ns0:c r="E440" s="2" t="inlineStr">
        <ns0:is>
          <ns0:t>出版版本（原页出版信息）</ns0:t>
        </ns0:is>
      </ns0:c>
      <ns0:c r="F440" s="2" t="inlineStr">
        <ns0:is>
          <ns0:t>R05472_2020_Comparing_Hydrogen_Sulfide_Removal_Efficiency_in_a_Field-Scale_Digester.pdf</ns0:t>
        </ns0:is>
      </ns0:c>
      <ns0:c r="G440" s="2" t="inlineStr">
        <ns0:is>
          <ns0:t>original_files/R05472/fulltext/fulltext__published__a81227cda8f65dc0.pdf</ns0:t>
        </ns0:is>
      </ns0:c>
      <ns0:c r="H440" s="2" t="inlineStr">
        <ns0:is>
          <ns0:t>cloud_existing</ns0:t>
        </ns0:is>
      </ns0:c>
      <ns0:c r="I440" s="2" t="inlineStr">
        <ns0:is>
          <ns0:t>original_files/fulltext/R05472_2020_Comparing_Hydrogen_Sulfide_Removal_Efficiency_in_a_Field-Scale_Digester.pdf</ns0:t>
        </ns0:is>
      </ns0:c>
      <ns0:c r="J440" s="2" t="n">
        <ns0:v>1084634</ns0:v>
      </ns0:c>
      <ns0:c r="K440" s="2" t="inlineStr">
        <ns0:is>
          <ns0:t>a81227cda8f65dc0a1784d367c05e5848d87660afd9c7b9c1cb20770f1aa37b0</ns0:t>
        </ns0:is>
      </ns0:c>
      <ns0:c r="L440" s="2" t="inlineStr">
        <ns0:is>
          <ns0:t>identity_and_body_structure_verified</ns0:t>
        </ns0:is>
      </ns0:c>
      <ns0:c r="M440" s="2" t="inlineStr"/>
      <ns0:c r="N440" s="2" t="inlineStr">
        <ns0:is>
          <ns0:t>首页/前两页题名作者或目标DOI核对，全部页面解析及正文结构检查；不据文件名判全文。</ns0:t>
        </ns0:is>
      </ns0:c>
      <ns0:c r="O440" s="2" t="inlineStr">
        <ns0:is>
          <ns0:t>https://github.com/Colliam-Vermilion/FirstCodex/blob/results/ad-oxygen-literature-20261006/results/ad-oxygen-literature-20261006/original_files/R05472/fulltext/fulltext__published__a81227cda8f65dc0.pdf</ns0:t>
        </ns0:is>
      </ns0:c>
    </ns0:row>
    <ns0:row r="441" ht="48" customHeight="1">
      <ns0:c r="A441" s="3" t="inlineStr">
        <ns0:is>
          <ns0:t>R13683</ns0:t>
        </ns0:is>
      </ns0:c>
      <ns0:c r="B441" s="3" t="inlineStr">
        <ns0:is>
          <ns0:t>Synergistic enhancement of methane yield and odor control in pig manure anaerobic digestion via micro-aeration pretreatment</ns0:t>
        </ns0:is>
      </ns0:c>
      <ns0:c r="C441" s="3" t="inlineStr">
        <ns0:is>
          <ns0:t>10.1016/j.renene.2026.126304</ns0:t>
        </ns0:is>
      </ns0:c>
      <ns0:c r="D441" s="3" t="inlineStr">
        <ns0:is>
          <ns0:t>supplementary</ns0:t>
        </ns0:is>
      </ns0:c>
      <ns0:c r="E441" s="3" t="inlineStr"/>
      <ns0:c r="F441" s="3" t="inlineStr">
        <ns0:is>
          <ns0:t>Corrected Supplementary material for Supplementary Table S2.docx</ns0:t>
        </ns0:is>
      </ns0:c>
      <ns0:c r="G441" s="3" t="inlineStr">
        <ns0:is>
          <ns0:t>original_files/R13683/supplementary/supplementary__a877e9851f8d0a82.docx</ns0:t>
        </ns0:is>
      </ns0:c>
      <ns0:c r="H441" s="3" t="inlineStr">
        <ns0:is>
          <ns0:t>local_upload</ns0:t>
        </ns0:is>
      </ns0:c>
      <ns0:c r="I441" s="3" t="inlineStr">
        <ns0:is>
          <ns0:t>localdownload/R13683/Corrected Supplementary material for Supplementary Table S2.docx</ns0:t>
        </ns0:is>
      </ns0:c>
      <ns0:c r="J441" s="3" t="n">
        <ns0:v>21209687</ns0:v>
      </ns0:c>
      <ns0:c r="K441" s="3" t="inlineStr">
        <ns0:is>
          <ns0:t>a877e9851f8d0a82d1d9e53869a25fe84a82c2f2b99b6b8584c4bb54ff92ab31</ns0:t>
        </ns0:is>
      </ns0:c>
      <ns0:c r="L441" s="3" t="inlineStr">
        <ns0:is>
          <ns0:t>container_crc_verified</ns0:t>
        </ns0:is>
      </ns0:c>
      <ns0:c r="M441" s="3" t="inlineStr">
        <ns0:is>
          <ns0:t>title_in_attachment_verified</ns0:t>
        </ns0:is>
      </ns0:c>
      <ns0:c r="N441" s="3" t="inlineStr"/>
      <ns0:c r="O441" s="3" t="inlineStr">
        <ns0:is>
          <ns0:t>https://github.com/Colliam-Vermilion/FirstCodex/blob/results/ad-oxygen-literature-20261006/results/ad-oxygen-literature-20261006/original_files/R13683/supplementary/supplementary__a877e9851f8d0a82.docx</ns0:t>
        </ns0:is>
      </ns0:c>
    </ns0:row>
    <ns0:row r="442" ht="48" customHeight="1">
      <ns0:c r="A442" s="2" t="inlineStr">
        <ns0:is>
          <ns0:t>R13937</ns0:t>
        </ns0:is>
      </ns0:c>
      <ns0:c r="B442" s="2" t="inlineStr">
        <ns0:is>
          <ns0:t>Effect of circulation and micro-aeration on sludge characteristics and microbial community in an ABR for treating traditional Chinese medicine wastewater</ns0:t>
        </ns0:is>
      </ns0:c>
      <ns0:c r="C442" s="2" t="inlineStr">
        <ns0:is>
          <ns0:t>10.1080/09593330.2019.1604818</ns0:t>
        </ns0:is>
      </ns0:c>
      <ns0:c r="D442" s="2" t="inlineStr">
        <ns0:is>
          <ns0:t>fulltext</ns0:t>
        </ns0:is>
      </ns0:c>
      <ns0:c r="E442" s="2" t="inlineStr">
        <ns0:is>
          <ns0:t>出版版（版式及版权文字）</ns0:t>
        </ns0:is>
      </ns0:c>
      <ns0:c r="F442" s="2" t="inlineStr">
        <ns0:is>
          <ns0:t>fulltext.pdf</ns0:t>
        </ns0:is>
      </ns0:c>
      <ns0:c r="G442" s="2" t="inlineStr">
        <ns0:is>
          <ns0:t>original_files/R13937/fulltext/fulltext__published__a96edacc186e2f85.pdf</ns0:t>
        </ns0:is>
      </ns0:c>
      <ns0:c r="H442" s="2" t="inlineStr">
        <ns0:is>
          <ns0:t>local_upload</ns0:t>
        </ns0:is>
      </ns0:c>
      <ns0:c r="I442" s="2" t="inlineStr">
        <ns0:is>
          <ns0:t>localdownload/R13937/fulltext.pdf</ns0:t>
        </ns0:is>
      </ns0:c>
      <ns0:c r="J442" s="2" t="n">
        <ns0:v>3802794</ns0:v>
      </ns0:c>
      <ns0:c r="K442" s="2" t="inlineStr">
        <ns0:is>
          <ns0:t>a96edacc186e2f858150ede1ebb2c31960fd4627784ebc9cbcd4aa934e9f6193</ns0:t>
        </ns0:is>
      </ns0:c>
      <ns0:c r="L442" s="2" t="inlineStr">
        <ns0:is>
          <ns0:t>identity_and_body_structure_verified</ns0:t>
        </ns0:is>
      </ns0:c>
      <ns0:c r="M442" s="2" t="inlineStr"/>
      <ns0:c r="N442" s="2" t="inlineStr">
        <ns0:is>
          <ns0:t>首页/前两页题名作者或目标DOI核对，全部页面解析及正文结构检查；不据文件名判全文。</ns0:t>
        </ns0:is>
      </ns0:c>
      <ns0:c r="O442" s="2" t="inlineStr">
        <ns0:is>
          <ns0:t>https://github.com/Colliam-Vermilion/FirstCodex/blob/results/ad-oxygen-literature-20261006/results/ad-oxygen-literature-20261006/original_files/R13937/fulltext/fulltext__published__a96edacc186e2f85.pdf</ns0:t>
        </ns0:is>
      </ns0:c>
    </ns0:row>
    <ns0:row r="443" ht="48" customHeight="1">
      <ns0:c r="A443" s="3" t="inlineStr">
        <ns0:is>
          <ns0:t>R13968</ns0:t>
        </ns0:is>
      </ns0:c>
      <ns0:c r="B443" s="3" t="inlineStr">
        <ns0:is>
          <ns0:t>Enhancement of separate hydrogen and methane production from ethanol wastewater by Microaeration</ns0:t>
        </ns0:is>
      </ns0:c>
      <ns0:c r="C443" s="3" t="inlineStr">
        <ns0:is>
          <ns0:t>10.58837/chula.the.2015.1957</ns0:t>
        </ns0:is>
      </ns0:c>
      <ns0:c r="D443" s="3" t="inlineStr">
        <ns0:is>
          <ns0:t>fulltext</ns0:t>
        </ns0:is>
      </ns0:c>
      <ns0:c r="E443" s="3" t="inlineStr">
        <ns0:is>
          <ns0:t>学位/学生报告原稿（分章节者按组）</ns0:t>
        </ns0:is>
      </ns0:c>
      <ns0:c r="F443" s="3" t="inlineStr">
        <ns0:is>
          <ns0:t>R13968_Nhatthaphon_sr_ch5_p.pdf</ns0:t>
        </ns0:is>
      </ns0:c>
      <ns0:c r="G443" s="3" t="inlineStr">
        <ns0:is>
          <ns0:t>original_files/R13968/fulltext/fulltext__thesis__a97b06850912d4a8.pdf</ns0:t>
        </ns0:is>
      </ns0:c>
      <ns0:c r="H443" s="3" t="inlineStr">
        <ns0:is>
          <ns0:t>cloud_existing</ns0:t>
        </ns0:is>
      </ns0:c>
      <ns0:c r="I443" s="3" t="inlineStr">
        <ns0:is>
          <ns0:t>original_files/fulltext/R13968_Nhatthaphon_sr_ch5_p.pdf</ns0:t>
        </ns0:is>
      </ns0:c>
      <ns0:c r="J443" s="3" t="n">
        <ns0:v>661960</ns0:v>
      </ns0:c>
      <ns0:c r="K443" s="3" t="inlineStr">
        <ns0:is>
          <ns0:t>a97b06850912d4a801036181f1999825b65250e340cdc1295395aa9670b107cf</ns0:t>
        </ns0:is>
      </ns0:c>
      <ns0:c r="L443" s="3" t="inlineStr">
        <ns0:is>
          <ns0:t>complete_multipart_thesis_group_verified</ns0:t>
        </ns0:is>
      </ns0:c>
      <ns0:c r="M443" s="3" t="inlineStr"/>
      <ns0:c r="N443" s="3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443" s="3" t="inlineStr">
        <ns0:is>
          <ns0:t>https://github.com/Colliam-Vermilion/FirstCodex/blob/results/ad-oxygen-literature-20261006/results/ad-oxygen-literature-20261006/original_files/R13968/fulltext/fulltext__thesis__a97b06850912d4a8.pdf</ns0:t>
        </ns0:is>
      </ns0:c>
    </ns0:row>
    <ns0:row r="444" ht="48" customHeight="1">
      <ns0:c r="A444" s="2" t="inlineStr">
        <ns0:is>
          <ns0:t>R13968</ns0:t>
        </ns0:is>
      </ns0:c>
      <ns0:c r="B444" s="2" t="inlineStr">
        <ns0:is>
          <ns0:t>Enhancement of separate hydrogen and methane production from ethanol wastewater by Microaeration</ns0:t>
        </ns0:is>
      </ns0:c>
      <ns0:c r="C444" s="2" t="inlineStr">
        <ns0:is>
          <ns0:t>10.58837/chula.the.2015.1957</ns0:t>
        </ns0:is>
      </ns0:c>
      <ns0:c r="D444" s="2" t="inlineStr">
        <ns0:is>
          <ns0:t>fulltext</ns0:t>
        </ns0:is>
      </ns0:c>
      <ns0:c r="E444" s="2" t="inlineStr">
        <ns0:is>
          <ns0:t>学位/学生报告原稿（分章节者按组）</ns0:t>
        </ns0:is>
      </ns0:c>
      <ns0:c r="F444" s="2" t="inlineStr">
        <ns0:is>
          <ns0:t>R13968_Nhatthaphon_sr_front_p.pdf</ns0:t>
        </ns0:is>
      </ns0:c>
      <ns0:c r="G444" s="2" t="inlineStr">
        <ns0:is>
          <ns0:t>original_files/R13968/fulltext/fulltext__thesis__a98ded9fe4a3b73c.pdf</ns0:t>
        </ns0:is>
      </ns0:c>
      <ns0:c r="H444" s="2" t="inlineStr">
        <ns0:is>
          <ns0:t>cloud_existing</ns0:t>
        </ns0:is>
      </ns0:c>
      <ns0:c r="I444" s="2" t="inlineStr">
        <ns0:is>
          <ns0:t>original_files/fulltext/R13968_Nhatthaphon_sr_front_p.pdf</ns0:t>
        </ns0:is>
      </ns0:c>
      <ns0:c r="J444" s="2" t="n">
        <ns0:v>1147423</ns0:v>
      </ns0:c>
      <ns0:c r="K444" s="2" t="inlineStr">
        <ns0:is>
          <ns0:t>a98ded9fe4a3b73cc9408cef83da94bef7ee46dac09a1a9ab5b014070070ac7a</ns0:t>
        </ns0:is>
      </ns0:c>
      <ns0:c r="L444" s="2" t="inlineStr">
        <ns0:is>
          <ns0:t>complete_multipart_thesis_group_verified</ns0:t>
        </ns0:is>
      </ns0:c>
      <ns0:c r="M444" s="2" t="inlineStr"/>
      <ns0:c r="N444" s="2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444" s="2" t="inlineStr">
        <ns0:is>
          <ns0:t>https://github.com/Colliam-Vermilion/FirstCodex/blob/results/ad-oxygen-literature-20261006/results/ad-oxygen-literature-20261006/original_files/R13968/fulltext/fulltext__thesis__a98ded9fe4a3b73c.pdf</ns0:t>
        </ns0:is>
      </ns0:c>
    </ns0:row>
    <ns0:row r="445" ht="48" customHeight="1">
      <ns0:c r="A445" s="3" t="inlineStr">
        <ns0:is>
          <ns0:t>R13831</ns0:t>
        </ns0:is>
      </ns0:c>
      <ns0:c r="B445" s="3" t="inlineStr">
        <ns0:is>
          <ns0:t>The effects of initial substrate concentration, C/N ratio, and temperature on solid-state anaerobic digestion from composting rice straw.</ns0:t>
        </ns0:is>
      </ns0:c>
      <ns0:c r="C445" s="3" t="inlineStr">
        <ns0:is>
          <ns0:t>10.1016/j.biortech.2014.11.089</ns0:t>
        </ns0:is>
      </ns0:c>
      <ns0:c r="D445" s="3" t="inlineStr">
        <ns0:is>
          <ns0:t>supplementary</ns0:t>
        </ns0:is>
      </ns0:c>
      <ns0:c r="E445" s="3" t="inlineStr"/>
      <ns0:c r="F445" s="3" t="inlineStr">
        <ns0:is>
          <ns0:t>supplementary.docx</ns0:t>
        </ns0:is>
      </ns0:c>
      <ns0:c r="G445" s="3" t="inlineStr">
        <ns0:is>
          <ns0:t>original_files/R13831/supplementary/supplementary__aa4099035ce281bf.docx</ns0:t>
        </ns0:is>
      </ns0:c>
      <ns0:c r="H445" s="3" t="inlineStr">
        <ns0:is>
          <ns0:t>local_upload</ns0:t>
        </ns0:is>
      </ns0:c>
      <ns0:c r="I445" s="3" t="inlineStr">
        <ns0:is>
          <ns0:t>localdownload/R13831/supplementary.docx</ns0:t>
        </ns0:is>
      </ns0:c>
      <ns0:c r="J445" s="3" t="n">
        <ns0:v>6564684</ns0:v>
      </ns0:c>
      <ns0:c r="K445" s="3" t="inlineStr">
        <ns0:is>
          <ns0:t>aa4099035ce281bf770923f46ff7b9f80b025a341b90d6b2e1ac90183ed833db</ns0:t>
        </ns0:is>
      </ns0:c>
      <ns0:c r="L445" s="3" t="inlineStr">
        <ns0:is>
          <ns0:t>container_crc_verified</ns0:t>
        </ns0:is>
      </ns0:c>
      <ns0:c r="M445" s="3" t="inlineStr">
        <ns0:is>
          <ns0:t>directory_and_content_consistent_identity_pending</ns0:t>
        </ns0:is>
      </ns0:c>
      <ns0:c r="N445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45" s="3" t="inlineStr">
        <ns0:is>
          <ns0:t>https://github.com/Colliam-Vermilion/FirstCodex/blob/results/ad-oxygen-literature-20261006/results/ad-oxygen-literature-20261006/original_files/R13831/supplementary/supplementary__aa4099035ce281bf.docx</ns0:t>
        </ns0:is>
      </ns0:c>
    </ns0:row>
    <ns0:row r="446" ht="48" customHeight="1">
      <ns0:c r="A446" s="2" t="inlineStr">
        <ns0:is>
          <ns0:t>R03518</ns0:t>
        </ns0:is>
      </ns0:c>
      <ns0:c r="B446" s="2" t="inlineStr">
        <ns0:is>
          <ns0:t>Short-term pre-aeration applied to the dry anaerobic digestion of MSW, with a focus on the spectroscopic characteristics of dissolved organic matter</ns0:t>
        </ns0:is>
      </ns0:c>
      <ns0:c r="C446" s="2" t="inlineStr">
        <ns0:is>
          <ns0:t>10.1016/j.cej.2016.11.020</ns0:t>
        </ns0:is>
      </ns0:c>
      <ns0:c r="D446" s="2" t="inlineStr">
        <ns0:is>
          <ns0:t>fulltext</ns0:t>
        </ns0:is>
      </ns0:c>
      <ns0:c r="E446" s="2" t="inlineStr">
        <ns0:is>
          <ns0:t>出版版（版式及版权文字）</ns0:t>
        </ns0:is>
      </ns0:c>
      <ns0:c r="F446" s="2" t="inlineStr">
        <ns0:is>
          <ns0:t>fulltext.pdf</ns0:t>
        </ns0:is>
      </ns0:c>
      <ns0:c r="G446" s="2" t="inlineStr">
        <ns0:is>
          <ns0:t>original_files/R03518/fulltext/fulltext__published__aa5fd3d1e00f1e87.pdf</ns0:t>
        </ns0:is>
      </ns0:c>
      <ns0:c r="H446" t="inlineStr">
        <ns0:is>
          <ns0:t>local_upload; main@ab8353c误传副本</ns0:t>
        </ns0:is>
      </ns0:c>
      <ns0:c r="I446" t="inlineStr">
        <ns0:is>
          <ns0:t>localdownload/R03518/fulltext.pdf; main@ab8353c:R03518/fulltext.pdf</ns0:t>
        </ns0:is>
      </ns0:c>
      <ns0:c r="J446" s="2" t="n">
        <ns0:v>640288</ns0:v>
      </ns0:c>
      <ns0:c r="K446" s="2" t="inlineStr">
        <ns0:is>
          <ns0:t>aa5fd3d1e00f1e8768d9bad2473792657a558c3343e29685e3f49a421f92e1f5</ns0:t>
        </ns0:is>
      </ns0:c>
      <ns0:c r="L446" s="2" t="inlineStr">
        <ns0:is>
          <ns0:t>identity_and_body_structure_verified</ns0:t>
        </ns0:is>
      </ns0:c>
      <ns0:c r="M446" s="2" t="inlineStr"/>
      <ns0:c r="N446" s="2" t="inlineStr">
        <ns0:is>
          <ns0:t>首页/前两页题名作者或目标DOI核对，全部页面解析及正文结构检查；不据文件名判全文。</ns0:t>
        </ns0:is>
      </ns0:c>
      <ns0:c r="O446" s="2" t="inlineStr">
        <ns0:is>
          <ns0:t>https://github.com/Colliam-Vermilion/FirstCodex/blob/results/ad-oxygen-literature-20261006/results/ad-oxygen-literature-20261006/original_files/R03518/fulltext/fulltext__published__aa5fd3d1e00f1e87.pdf</ns0:t>
        </ns0:is>
      </ns0:c>
    </ns0:row>
    <ns0:row r="447" ht="48" customHeight="1">
      <ns0:c r="A447" s="3" t="inlineStr">
        <ns0:is>
          <ns0:t>R08977</ns0:t>
        </ns0:is>
      </ns0:c>
      <ns0:c r="B447" s="3" t="inlineStr">
        <ns0:is>
          <ns0:t>Evaluation of microaeration strategies in the digestion zone of UASB reactors as an alternative for biogas desulfurization</ns0:t>
        </ns0:is>
      </ns0:c>
      <ns0:c r="C447" s="3" t="inlineStr">
        <ns0:is>
          <ns0:t>10.1080/09593330.2021.1974574</ns0:t>
        </ns0:is>
      </ns0:c>
      <ns0:c r="D447" s="3" t="inlineStr">
        <ns0:is>
          <ns0:t>fulltext</ns0:t>
        </ns0:is>
      </ns0:c>
      <ns0:c r="E447" s="3" t="inlineStr">
        <ns0:is>
          <ns0:t>出版版（版式及版权文字）</ns0:t>
        </ns0:is>
      </ns0:c>
      <ns0:c r="F447" s="3" t="inlineStr">
        <ns0:is>
          <ns0:t>fulltext.pdf</ns0:t>
        </ns0:is>
      </ns0:c>
      <ns0:c r="G447" s="3" t="inlineStr">
        <ns0:is>
          <ns0:t>original_files/R08977/fulltext/fulltext__published__ab74434fdc5f7457.pdf</ns0:t>
        </ns0:is>
      </ns0:c>
      <ns0:c r="H447" s="3" t="inlineStr">
        <ns0:is>
          <ns0:t>local_upload</ns0:t>
        </ns0:is>
      </ns0:c>
      <ns0:c r="I447" s="3" t="inlineStr">
        <ns0:is>
          <ns0:t>localdownload/R08977/fulltext.pdf</ns0:t>
        </ns0:is>
      </ns0:c>
      <ns0:c r="J447" s="3" t="n">
        <ns0:v>3556200</ns0:v>
      </ns0:c>
      <ns0:c r="K447" s="3" t="inlineStr">
        <ns0:is>
          <ns0:t>ab74434fdc5f745757a7587552699471a9fde12c790c249d009ae1e88a80df1b</ns0:t>
        </ns0:is>
      </ns0:c>
      <ns0:c r="L447" s="3" t="inlineStr">
        <ns0:is>
          <ns0:t>identity_and_body_structure_verified</ns0:t>
        </ns0:is>
      </ns0:c>
      <ns0:c r="M447" s="3" t="inlineStr"/>
      <ns0:c r="N447" s="3" t="inlineStr">
        <ns0:is>
          <ns0:t>首页/前两页题名作者或目标DOI核对，全部页面解析及正文结构检查；不据文件名判全文。</ns0:t>
        </ns0:is>
      </ns0:c>
      <ns0:c r="O447" s="3" t="inlineStr">
        <ns0:is>
          <ns0:t>https://github.com/Colliam-Vermilion/FirstCodex/blob/results/ad-oxygen-literature-20261006/results/ad-oxygen-literature-20261006/original_files/R08977/fulltext/fulltext__published__ab74434fdc5f7457.pdf</ns0:t>
        </ns0:is>
      </ns0:c>
    </ns0:row>
    <ns0:row r="448" ht="48" customHeight="1">
      <ns0:c r="A448" s="2" t="inlineStr">
        <ns0:is>
          <ns0:t>R12964</ns0:t>
        </ns0:is>
      </ns0:c>
      <ns0:c r="B448" s="2" t="inlineStr">
        <ns0:is>
          <ns0:t>Enhancing semi-continuous anaerobic digestion efficiency with nanobubble water: thermophysical properties optimization and microbial regulation</ns0:t>
        </ns0:is>
      </ns0:c>
      <ns0:c r="C448" s="2" t="inlineStr">
        <ns0:is>
          <ns0:t>10.1016/j.renene.2025.124921</ns0:t>
        </ns0:is>
      </ns0:c>
      <ns0:c r="D448" s="2" t="inlineStr">
        <ns0:is>
          <ns0:t>supplementary</ns0:t>
        </ns0:is>
      </ns0:c>
      <ns0:c r="E448" s="2" t="inlineStr"/>
      <ns0:c r="F448" s="2" t="inlineStr">
        <ns0:is>
          <ns0:t>supplementary.docx</ns0:t>
        </ns0:is>
      </ns0:c>
      <ns0:c r="G448" s="2" t="inlineStr">
        <ns0:is>
          <ns0:t>original_files/R12964/supplementary/supplementary__aba50833aba891e5.docx</ns0:t>
        </ns0:is>
      </ns0:c>
      <ns0:c r="H448" s="2" t="inlineStr">
        <ns0:is>
          <ns0:t>local_upload</ns0:t>
        </ns0:is>
      </ns0:c>
      <ns0:c r="I448" s="2" t="inlineStr">
        <ns0:is>
          <ns0:t>localdownload/R12964/supplementary.docx</ns0:t>
        </ns0:is>
      </ns0:c>
      <ns0:c r="J448" s="2" t="n">
        <ns0:v>2709613</ns0:v>
      </ns0:c>
      <ns0:c r="K448" s="2" t="inlineStr">
        <ns0:is>
          <ns0:t>aba50833aba891e5d3da99dd611525260e4aa2b5db6e069c6ab0156f76951f2e</ns0:t>
        </ns0:is>
      </ns0:c>
      <ns0:c r="L448" s="2" t="inlineStr">
        <ns0:is>
          <ns0:t>container_crc_verified</ns0:t>
        </ns0:is>
      </ns0:c>
      <ns0:c r="M448" s="2" t="inlineStr">
        <ns0:is>
          <ns0:t>title_in_attachment_verified</ns0:t>
        </ns0:is>
      </ns0:c>
      <ns0:c r="N448" s="2" t="inlineStr"/>
      <ns0:c r="O448" s="2" t="inlineStr">
        <ns0:is>
          <ns0:t>https://github.com/Colliam-Vermilion/FirstCodex/blob/results/ad-oxygen-literature-20261006/results/ad-oxygen-literature-20261006/original_files/R12964/supplementary/supplementary__aba50833aba891e5.docx</ns0:t>
        </ns0:is>
      </ns0:c>
    </ns0:row>
    <ns0:row r="449" ht="48" customHeight="1">
      <ns0:c r="A449" s="3" t="inlineStr">
        <ns0:is>
          <ns0:t>R13920</ns0:t>
        </ns0:is>
      </ns0:c>
      <ns0:c r="B449" s="3" t="inlineStr">
        <ns0:is>
          <ns0:t>Nanobubbles drive advanced anaerobic treatment of swine wastewater for efficient methane recovery: Performance gains and multi-pathway enhancement</ns0:t>
        </ns0:is>
      </ns0:c>
      <ns0:c r="C449" s="3" t="inlineStr">
        <ns0:is>
          <ns0:t>10.1016/j.biortech.2026.134692</ns0:t>
        </ns0:is>
      </ns0:c>
      <ns0:c r="D449" s="3" t="inlineStr">
        <ns0:is>
          <ns0:t>fulltext</ns0:t>
        </ns0:is>
      </ns0:c>
      <ns0:c r="E449" s="3" t="inlineStr">
        <ns0:is>
          <ns0:t>出版版（版式及版权文字）</ns0:t>
        </ns0:is>
      </ns0:c>
      <ns0:c r="F449" s="3" t="inlineStr">
        <ns0:is>
          <ns0:t>fulltext.pdf</ns0:t>
        </ns0:is>
      </ns0:c>
      <ns0:c r="G449" s="3" t="inlineStr">
        <ns0:is>
          <ns0:t>original_files/R13920/fulltext/fulltext__published__abb9ffa0801dc63e.pdf</ns0:t>
        </ns0:is>
      </ns0:c>
      <ns0:c r="H449" s="3" t="inlineStr">
        <ns0:is>
          <ns0:t>local_upload</ns0:t>
        </ns0:is>
      </ns0:c>
      <ns0:c r="I449" s="3" t="inlineStr">
        <ns0:is>
          <ns0:t>localdownload/R13920/fulltext.pdf</ns0:t>
        </ns0:is>
      </ns0:c>
      <ns0:c r="J449" s="3" t="n">
        <ns0:v>4295455</ns0:v>
      </ns0:c>
      <ns0:c r="K449" s="3" t="inlineStr">
        <ns0:is>
          <ns0:t>abb9ffa0801dc63e95c1ea5fbec27f5cc17c01d2e5a9ea6844fa7da047a0ca26</ns0:t>
        </ns0:is>
      </ns0:c>
      <ns0:c r="L449" s="3" t="inlineStr">
        <ns0:is>
          <ns0:t>identity_and_body_structure_verified</ns0:t>
        </ns0:is>
      </ns0:c>
      <ns0:c r="M449" s="3" t="inlineStr"/>
      <ns0:c r="N449" s="3" t="inlineStr">
        <ns0:is>
          <ns0:t>首页/前两页题名作者或目标DOI核对，全部页面解析及正文结构检查；不据文件名判全文。</ns0:t>
        </ns0:is>
      </ns0:c>
      <ns0:c r="O449" s="3" t="inlineStr">
        <ns0:is>
          <ns0:t>https://github.com/Colliam-Vermilion/FirstCodex/blob/results/ad-oxygen-literature-20261006/results/ad-oxygen-literature-20261006/original_files/R13920/fulltext/fulltext__published__abb9ffa0801dc63e.pdf</ns0:t>
        </ns0:is>
      </ns0:c>
    </ns0:row>
    <ns0:row r="450" ht="48" customHeight="1">
      <ns0:c r="A450" s="2" t="inlineStr">
        <ns0:is>
          <ns0:t>R13930</ns0:t>
        </ns0:is>
      </ns0:c>
      <ns0:c r="B450" s="2" t="inlineStr">
        <ns0:is>
          <ns0:t>Effect of incubation conditions on the aerobic pretreatment of the organic solid wastes and the volatile fatty acids production</ns0:t>
        </ns0:is>
      </ns0:c>
      <ns0:c r="C450" s="2" t="inlineStr">
        <ns0:is>
          <ns0:t>10.24275/rmiq/bio849</ns0:t>
        </ns0:is>
      </ns0:c>
      <ns0:c r="D450" s="2" t="inlineStr">
        <ns0:is>
          <ns0:t>fulltext</ns0:t>
        </ns0:is>
      </ns0:c>
      <ns0:c r="E450" s="2" t="inlineStr">
        <ns0:is>
          <ns0:t>版本待核实</ns0:t>
        </ns0:is>
      </ns0:c>
      <ns0:c r="F450" s="2" t="inlineStr">
        <ns0:is>
          <ns0:t>fulltext.pdf</ns0:t>
        </ns0:is>
      </ns0:c>
      <ns0:c r="G450" s="2" t="inlineStr">
        <ns0:is>
          <ns0:t>original_files/R13930/fulltext/fulltext__version_unverified__abff0bd62cce53e5.pdf</ns0:t>
        </ns0:is>
      </ns0:c>
      <ns0:c r="H450" s="2" t="inlineStr">
        <ns0:is>
          <ns0:t>local_upload</ns0:t>
        </ns0:is>
      </ns0:c>
      <ns0:c r="I450" s="2" t="inlineStr">
        <ns0:is>
          <ns0:t>localdownload/R13930/fulltext.pdf</ns0:t>
        </ns0:is>
      </ns0:c>
      <ns0:c r="J450" s="2" t="n">
        <ns0:v>773357</ns0:v>
      </ns0:c>
      <ns0:c r="K450" s="2" t="inlineStr">
        <ns0:is>
          <ns0:t>abff0bd62cce53e5a4fdb2126907d79a3555e25f8ec825842c707ac2420925c8</ns0:t>
        </ns0:is>
      </ns0:c>
      <ns0:c r="L450" s="2" t="inlineStr">
        <ns0:is>
          <ns0:t>identity_and_body_structure_verified</ns0:t>
        </ns0:is>
      </ns0:c>
      <ns0:c r="M450" s="2" t="inlineStr"/>
      <ns0:c r="N450" s="2" t="inlineStr">
        <ns0:is>
          <ns0:t>首页/前两页题名作者或目标DOI核对，全部页面解析及正文结构检查；不据文件名判全文。</ns0:t>
        </ns0:is>
      </ns0:c>
      <ns0:c r="O450" s="2" t="inlineStr">
        <ns0:is>
          <ns0:t>https://github.com/Colliam-Vermilion/FirstCodex/blob/results/ad-oxygen-literature-20261006/results/ad-oxygen-literature-20261006/original_files/R13930/fulltext/fulltext__version_unverified__abff0bd62cce53e5.pdf</ns0:t>
        </ns0:is>
      </ns0:c>
    </ns0:row>
    <ns0:row r="451" ht="48" customHeight="1">
      <ns0:c r="A451" s="3" t="inlineStr">
        <ns0:is>
          <ns0:t>R13902</ns0:t>
        </ns0:is>
      </ns0:c>
      <ns0:c r="B451" s="3" t="inlineStr">
        <ns0:is>
          <ns0:t>Investigating the Effects of Aerobic Hydrolysis on Scum Layer Formation during the Anaerobic Digestion of Corn Stalk Particles</ns0:t>
        </ns0:is>
      </ns0:c>
      <ns0:c r="C451" s="3" t="inlineStr">
        <ns0:is>
          <ns0:t>10.3390/su14116497</ns0:t>
        </ns0:is>
      </ns0:c>
      <ns0:c r="D451" s="3" t="inlineStr">
        <ns0:is>
          <ns0:t>source_evidence</ns0:t>
        </ns0:is>
      </ns0:c>
      <ns0:c r="E451" s="3" t="inlineStr"/>
      <ns0:c r="F451" s="3" t="inlineStr">
        <ns0:is>
          <ns0:t>publisher_article_page_20261017.html</ns0:t>
        </ns0:is>
      </ns0:c>
      <ns0:c r="G451" s="3" t="inlineStr">
        <ns0:is>
          <ns0:t>original_files/R13902/evidence/source_evidence__acd43326765e45dc.html</ns0:t>
        </ns0:is>
      </ns0:c>
      <ns0:c r="H451" s="3" t="inlineStr">
        <ns0:is>
          <ns0:t>cloud_existing</ns0:t>
        </ns0:is>
      </ns0:c>
      <ns0:c r="I451" s="3" t="inlineStr">
        <ns0:is>
          <ns0:t>original_files/source_evidence/R13902/publisher_article_page_20261017.html</ns0:t>
        </ns0:is>
      </ns0:c>
      <ns0:c r="J451" s="3" t="n">
        <ns0:v>495531</ns0:v>
      </ns0:c>
      <ns0:c r="K451" s="3" t="inlineStr">
        <ns0:is>
          <ns0:t>acd43326765e45dc3060dc5e0314f50164b8b5a577660ce1da0bc7535b579078</ns0:t>
        </ns0:is>
      </ns0:c>
      <ns0:c r="L451" s="3" t="inlineStr">
        <ns0:is>
          <ns0:t>text_readable</ns0:t>
        </ns0:is>
      </ns0:c>
      <ns0:c r="M451" s="3" t="inlineStr"/>
      <ns0:c r="N451" s="3" t="inlineStr"/>
      <ns0:c r="O451" s="3" t="inlineStr">
        <ns0:is>
          <ns0:t>https://github.com/Colliam-Vermilion/FirstCodex/blob/results/ad-oxygen-literature-20261006/results/ad-oxygen-literature-20261006/original_files/R13902/evidence/source_evidence__acd43326765e45dc.html</ns0:t>
        </ns0:is>
      </ns0:c>
    </ns0:row>
    <ns0:row r="452" ht="48" customHeight="1">
      <ns0:c r="A452" s="2" t="inlineStr">
        <ns0:is>
          <ns0:t>R04721</ns0:t>
        </ns0:is>
      </ns0:c>
      <ns0:c r="B452" s="2" t="inlineStr">
        <ns0:is>
          <ns0:t>Effects of Gas Supplying Patterns on Aerobic Anaerobic Biogas Production of Rice Straw</ns0:t>
        </ns0:is>
      </ns0:c>
      <ns0:c r="C452" s="2" t="inlineStr">
        <ns0:is>
          <ns0:t>10.2174/1574893613666180502112425</ns0:t>
        </ns0:is>
      </ns0:c>
      <ns0:c r="D452" s="2" t="inlineStr">
        <ns0:is>
          <ns0:t>source_evidence</ns0:t>
        </ns0:is>
      </ns0:c>
      <ns0:c r="E452" s="2" t="inlineStr"/>
      <ns0:c r="F452" s="2" t="inlineStr">
        <ns0:is>
          <ns0:t>publisher_article_page_20261017.html</ns0:t>
        </ns0:is>
      </ns0:c>
      <ns0:c r="G452" s="2" t="inlineStr">
        <ns0:is>
          <ns0:t>original_files/R04721/evidence/source_evidence__ad5a5e16d868f4a1.html</ns0:t>
        </ns0:is>
      </ns0:c>
      <ns0:c r="H452" s="2" t="inlineStr">
        <ns0:is>
          <ns0:t>cloud_existing</ns0:t>
        </ns0:is>
      </ns0:c>
      <ns0:c r="I452" s="2" t="inlineStr">
        <ns0:is>
          <ns0:t>original_files/source_evidence/R04721/publisher_article_page_20261017.html</ns0:t>
        </ns0:is>
      </ns0:c>
      <ns0:c r="J452" s="2" t="n">
        <ns0:v>151466</ns0:v>
      </ns0:c>
      <ns0:c r="K452" s="2" t="inlineStr">
        <ns0:is>
          <ns0:t>ad5a5e16d868f4a130b24236b200d81aa5bd3040a36201c23ce57e09723da99a</ns0:t>
        </ns0:is>
      </ns0:c>
      <ns0:c r="L452" s="2" t="inlineStr">
        <ns0:is>
          <ns0:t>text_readable</ns0:t>
        </ns0:is>
      </ns0:c>
      <ns0:c r="M452" s="2" t="inlineStr"/>
      <ns0:c r="N452" s="2" t="inlineStr"/>
      <ns0:c r="O452" s="2" t="inlineStr">
        <ns0:is>
          <ns0:t>https://github.com/Colliam-Vermilion/FirstCodex/blob/results/ad-oxygen-literature-20261006/results/ad-oxygen-literature-20261006/original_files/R04721/evidence/source_evidence__ad5a5e16d868f4a1.html</ns0:t>
        </ns0:is>
      </ns0:c>
    </ns0:row>
    <ns0:row r="453" ht="48" customHeight="1">
      <ns0:c r="A453" s="3" t="inlineStr">
        <ns0:is>
          <ns0:t>R13884</ns0:t>
        </ns0:is>
      </ns0:c>
      <ns0:c r="B453" s="3" t="inlineStr">
        <ns0:is>
          <ns0:t>Performance evaluation of methanogenic digester using kitchen waste for validation of optimized hydrolysis conditions for reduction in ammonia accumulation</ns0:t>
        </ns0:is>
      </ns0:c>
      <ns0:c r="C453" s="3" t="inlineStr">
        <ns0:is>
          <ns0:t>10.1016/j.renene.2019.02.023</ns0:t>
        </ns0:is>
      </ns0:c>
      <ns0:c r="D453" s="3" t="inlineStr">
        <ns0:is>
          <ns0:t>fulltext</ns0:t>
        </ns0:is>
      </ns0:c>
      <ns0:c r="E453" s="3" t="inlineStr">
        <ns0:is>
          <ns0:t>出版版（版式及版权文字）</ns0:t>
        </ns0:is>
      </ns0:c>
      <ns0:c r="F453" s="3" t="inlineStr">
        <ns0:is>
          <ns0:t>fulltext.pdf</ns0:t>
        </ns0:is>
      </ns0:c>
      <ns0:c r="G453" s="3" t="inlineStr">
        <ns0:is>
          <ns0:t>original_files/R13884/fulltext/fulltext__published__ad63f5dc897000a1.pdf</ns0:t>
        </ns0:is>
      </ns0:c>
      <ns0:c r="H453" s="3" t="inlineStr">
        <ns0:is>
          <ns0:t>local_upload</ns0:t>
        </ns0:is>
      </ns0:c>
      <ns0:c r="I453" s="3" t="inlineStr">
        <ns0:is>
          <ns0:t>localdownload/R13884/fulltext.pdf</ns0:t>
        </ns0:is>
      </ns0:c>
      <ns0:c r="J453" s="3" t="n">
        <ns0:v>2050671</ns0:v>
      </ns0:c>
      <ns0:c r="K453" s="3" t="inlineStr">
        <ns0:is>
          <ns0:t>ad63f5dc897000a18f065c5bc61ecf2b257303020c39c9d4e5c850cb2acb7302</ns0:t>
        </ns0:is>
      </ns0:c>
      <ns0:c r="L453" s="3" t="inlineStr">
        <ns0:is>
          <ns0:t>identity_and_body_structure_verified</ns0:t>
        </ns0:is>
      </ns0:c>
      <ns0:c r="M453" s="3" t="inlineStr"/>
      <ns0:c r="N453" s="3" t="inlineStr">
        <ns0:is>
          <ns0:t>首页/前两页题名作者或目标DOI核对，全部页面解析及正文结构检查；不据文件名判全文。</ns0:t>
        </ns0:is>
      </ns0:c>
      <ns0:c r="O453" s="3" t="inlineStr">
        <ns0:is>
          <ns0:t>https://github.com/Colliam-Vermilion/FirstCodex/blob/results/ad-oxygen-literature-20261006/results/ad-oxygen-literature-20261006/original_files/R13884/fulltext/fulltext__published__ad63f5dc897000a1.pdf</ns0:t>
        </ns0:is>
      </ns0:c>
    </ns0:row>
    <ns0:row r="454" ht="48" customHeight="1">
      <ns0:c r="A454" s="2" t="inlineStr">
        <ns0:is>
          <ns0:t>R12509</ns0:t>
        </ns0:is>
      </ns0:c>
      <ns0:c r="B454" s="2" t="inlineStr">
        <ns0:is>
          <ns0:t>A mechanism-guided, low-input Lactiplantibacillus plantarum strategy for attenuating antibiotic resistomes under oxygen re-entry during anaerobic fermentation</ns0:t>
        </ns0:is>
      </ns0:c>
      <ns0:c r="C454" s="2" t="inlineStr">
        <ns0:is>
          <ns0:t>10.1016/j.cej.2026.178822</ns0:t>
        </ns0:is>
      </ns0:c>
      <ns0:c r="D454" s="2" t="inlineStr">
        <ns0:is>
          <ns0:t>supplementary</ns0:t>
        </ns0:is>
      </ns0:c>
      <ns0:c r="E454" s="2" t="inlineStr"/>
      <ns0:c r="F454" s="2" t="inlineStr">
        <ns0:is>
          <ns0:t>supplementary.docx</ns0:t>
        </ns0:is>
      </ns0:c>
      <ns0:c r="G454" s="2" t="inlineStr">
        <ns0:is>
          <ns0:t>original_files/R12509/supplementary/supplementary__adb008ded6f96dd4.docx</ns0:t>
        </ns0:is>
      </ns0:c>
      <ns0:c r="H454" s="2" t="inlineStr">
        <ns0:is>
          <ns0:t>local_upload</ns0:t>
        </ns0:is>
      </ns0:c>
      <ns0:c r="I454" s="2" t="inlineStr">
        <ns0:is>
          <ns0:t>localdownload/R12509/supplementary.docx</ns0:t>
        </ns0:is>
      </ns0:c>
      <ns0:c r="J454" s="2" t="n">
        <ns0:v>20322</ns0:v>
      </ns0:c>
      <ns0:c r="K454" s="2" t="inlineStr">
        <ns0:is>
          <ns0:t>adb008ded6f96dd4f818c3d3bc9e99575afe65fefb3528bd8998706f37442ffa</ns0:t>
        </ns0:is>
      </ns0:c>
      <ns0:c r="L454" s="2" t="inlineStr">
        <ns0:is>
          <ns0:t>container_crc_verified</ns0:t>
        </ns0:is>
      </ns0:c>
      <ns0:c r="M454" s="2" t="inlineStr">
        <ns0:is>
          <ns0:t>directory_and_content_consistent_identity_pending</ns0:t>
        </ns0:is>
      </ns0:c>
      <ns0:c r="N454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54" s="2" t="inlineStr">
        <ns0:is>
          <ns0:t>https://github.com/Colliam-Vermilion/FirstCodex/blob/results/ad-oxygen-literature-20261006/results/ad-oxygen-literature-20261006/original_files/R12509/supplementary/supplementary__adb008ded6f96dd4.docx</ns0:t>
        </ns0:is>
      </ns0:c>
    </ns0:row>
    <ns0:row r="455" ht="48" customHeight="1">
      <ns0:c r="A455" s="3" t="inlineStr">
        <ns0:is>
          <ns0:t>R13871</ns0:t>
        </ns0:is>
      </ns0:c>
      <ns0:c r="B455" s="3" t="inlineStr">
        <ns0:is>
          <ns0:t>Application of Microbubbles Generated by Fluidic Oscillation in the Anaerobic Digestion Process</ns0:t>
        </ns0:is>
      </ns0:c>
      <ns0:c r="C455" s="3" t="inlineStr"/>
      <ns0:c r="D455" s="3" t="inlineStr">
        <ns0:is>
          <ns0:t>fulltext</ns0:t>
        </ns0:is>
      </ns0:c>
      <ns0:c r="E455" s="3" t="inlineStr">
        <ns0:is>
          <ns0:t>学位/机构存档原稿</ns0:t>
        </ns0:is>
      </ns0:c>
      <ns0:c r="F455" s="3" t="inlineStr">
        <ns0:is>
          <ns0:t>R13871_2013_Application_of_Microbubbles_Generated_by_Fluidic_Oscillation_in_the.pdf</ns0:t>
        </ns0:is>
      </ns0:c>
      <ns0:c r="G455" s="3" t="inlineStr">
        <ns0:is>
          <ns0:t>original_files/R13871/fulltext/fulltext__thesis__aeab3126b6e68775.pdf</ns0:t>
        </ns0:is>
      </ns0:c>
      <ns0:c r="H455" s="3" t="inlineStr">
        <ns0:is>
          <ns0:t>cloud_existing</ns0:t>
        </ns0:is>
      </ns0:c>
      <ns0:c r="I455" s="3" t="inlineStr">
        <ns0:is>
          <ns0:t>original_files/fulltext/R13871_2013_Application_of_Microbubbles_Generated_by_Fluidic_Oscillation_in_the.pdf</ns0:t>
        </ns0:is>
      </ns0:c>
      <ns0:c r="J455" s="3" t="n">
        <ns0:v>7983514</ns0:v>
      </ns0:c>
      <ns0:c r="K455" s="3" t="inlineStr">
        <ns0:is>
          <ns0:t>aeab3126b6e68775b9b316714633bd97c1f184cf9e308d75b404bca6b33be19f</ns0:t>
        </ns0:is>
      </ns0:c>
      <ns0:c r="L455" s="3" t="inlineStr">
        <ns0:is>
          <ns0:t>identity_and_body_structure_verified</ns0:t>
        </ns0:is>
      </ns0:c>
      <ns0:c r="M455" s="3" t="inlineStr"/>
      <ns0:c r="N455" s="3" t="inlineStr">
        <ns0:is>
          <ns0:t>首页/前两页题名作者或目标DOI核对，全部页面解析及正文结构检查；不据文件名判全文。</ns0:t>
        </ns0:is>
      </ns0:c>
      <ns0:c r="O455" s="3" t="inlineStr">
        <ns0:is>
          <ns0:t>https://github.com/Colliam-Vermilion/FirstCodex/blob/results/ad-oxygen-literature-20261006/results/ad-oxygen-literature-20261006/original_files/R13871/fulltext/fulltext__thesis__aeab3126b6e68775.pdf</ns0:t>
        </ns0:is>
      </ns0:c>
    </ns0:row>
    <ns0:row r="456" ht="48" customHeight="1">
      <ns0:c r="A456" s="2" t="inlineStr">
        <ns0:is>
          <ns0:t>R11773</ns0:t>
        </ns0:is>
      </ns0:c>
      <ns0:c r="B456" s="2" t="inlineStr">
        <ns0:is>
          <ns0:t>Lab to large-scale applications of microaeration in anaerobic digestion: Biowaste digestibility, microbiome nexus, and reactor stability</ns0:t>
        </ns0:is>
      </ns0:c>
      <ns0:c r="C456" s="2" t="inlineStr">
        <ns0:is>
          <ns0:t>10.1016/j.jece.2025.117766</ns0:t>
        </ns0:is>
      </ns0:c>
      <ns0:c r="D456" s="2" t="inlineStr">
        <ns0:is>
          <ns0:t>fulltext</ns0:t>
        </ns0:is>
      </ns0:c>
      <ns0:c r="E456" s="2" t="inlineStr">
        <ns0:is>
          <ns0:t>出版版（版式及版权文字）</ns0:t>
        </ns0:is>
      </ns0:c>
      <ns0:c r="F456" s="2" t="inlineStr">
        <ns0:is>
          <ns0:t>fulltext.pdf</ns0:t>
        </ns0:is>
      </ns0:c>
      <ns0:c r="G456" s="2" t="inlineStr">
        <ns0:is>
          <ns0:t>original_files/R11773/fulltext/fulltext__published__af2a9bfa3b5aca1a.pdf</ns0:t>
        </ns0:is>
      </ns0:c>
      <ns0:c r="H456" s="2" t="inlineStr">
        <ns0:is>
          <ns0:t>local_upload</ns0:t>
        </ns0:is>
      </ns0:c>
      <ns0:c r="I456" s="2" t="inlineStr">
        <ns0:is>
          <ns0:t>localdownload/R11773/fulltext.pdf</ns0:t>
        </ns0:is>
      </ns0:c>
      <ns0:c r="J456" s="2" t="n">
        <ns0:v>6950626</ns0:v>
      </ns0:c>
      <ns0:c r="K456" s="2" t="inlineStr">
        <ns0:is>
          <ns0:t>af2a9bfa3b5aca1adbde428a2d7d280e8952918531bd201a3d3db38f4465591e</ns0:t>
        </ns0:is>
      </ns0:c>
      <ns0:c r="L456" s="2" t="inlineStr">
        <ns0:is>
          <ns0:t>identity_and_body_structure_verified</ns0:t>
        </ns0:is>
      </ns0:c>
      <ns0:c r="M456" s="2" t="inlineStr"/>
      <ns0:c r="N456" s="2" t="inlineStr">
        <ns0:is>
          <ns0:t>首页/前两页题名作者或目标DOI核对，全部页面解析及正文结构检查；不据文件名判全文。</ns0:t>
        </ns0:is>
      </ns0:c>
      <ns0:c r="O456" s="2" t="inlineStr">
        <ns0:is>
          <ns0:t>https://github.com/Colliam-Vermilion/FirstCodex/blob/results/ad-oxygen-literature-20261006/results/ad-oxygen-literature-20261006/original_files/R11773/fulltext/fulltext__published__af2a9bfa3b5aca1a.pdf</ns0:t>
        </ns0:is>
      </ns0:c>
    </ns0:row>
    <ns0:row r="457" ht="48" customHeight="1">
      <ns0:c r="A457" s="3" t="inlineStr">
        <ns0:is>
          <ns0:t>R13890</ns0:t>
        </ns0:is>
      </ns0:c>
      <ns0:c r="B457" s="3" t="inlineStr">
        <ns0:is>
          <ns0:t>Biogas Production and Microbial Communities in the Anaerobic Digestion of Sewage Sludge Under Hydrothermal Pretreatment with Air and a Catalyst</ns0:t>
        </ns0:is>
      </ns0:c>
      <ns0:c r="C457" s="3" t="inlineStr">
        <ns0:is>
          <ns0:t>10.1007/s12155-020-10199-4</ns0:t>
        </ns0:is>
      </ns0:c>
      <ns0:c r="D457" s="3" t="inlineStr">
        <ns0:is>
          <ns0:t>fulltext</ns0:t>
        </ns0:is>
      </ns0:c>
      <ns0:c r="E457" s="3" t="inlineStr">
        <ns0:is>
          <ns0:t>出版版（版式及版权文字）</ns0:t>
        </ns0:is>
      </ns0:c>
      <ns0:c r="F457" s="3" t="inlineStr">
        <ns0:is>
          <ns0:t>fulltext.pdf</ns0:t>
        </ns0:is>
      </ns0:c>
      <ns0:c r="G457" s="3" t="inlineStr">
        <ns0:is>
          <ns0:t>original_files/R13890/fulltext/fulltext__published__af6ee11377a5113d.pdf</ns0:t>
        </ns0:is>
      </ns0:c>
      <ns0:c r="H457" s="3" t="inlineStr">
        <ns0:is>
          <ns0:t>local_upload</ns0:t>
        </ns0:is>
      </ns0:c>
      <ns0:c r="I457" s="3" t="inlineStr">
        <ns0:is>
          <ns0:t>localdownload/R13890/fulltext.pdf</ns0:t>
        </ns0:is>
      </ns0:c>
      <ns0:c r="J457" s="3" t="n">
        <ns0:v>2388536</ns0:v>
      </ns0:c>
      <ns0:c r="K457" s="3" t="inlineStr">
        <ns0:is>
          <ns0:t>af6ee11377a5113d9707f65f10ab62a17b2483189949ab1654abbe4de76b4c53</ns0:t>
        </ns0:is>
      </ns0:c>
      <ns0:c r="L457" s="3" t="inlineStr">
        <ns0:is>
          <ns0:t>identity_and_body_structure_verified</ns0:t>
        </ns0:is>
      </ns0:c>
      <ns0:c r="M457" s="3" t="inlineStr"/>
      <ns0:c r="N457" s="3" t="inlineStr">
        <ns0:is>
          <ns0:t>首页/前两页题名作者或目标DOI核对，全部页面解析及正文结构检查；不据文件名判全文。</ns0:t>
        </ns0:is>
      </ns0:c>
      <ns0:c r="O457" s="3" t="inlineStr">
        <ns0:is>
          <ns0:t>https://github.com/Colliam-Vermilion/FirstCodex/blob/results/ad-oxygen-literature-20261006/results/ad-oxygen-literature-20261006/original_files/R13890/fulltext/fulltext__published__af6ee11377a5113d.pdf</ns0:t>
        </ns0:is>
      </ns0:c>
    </ns0:row>
    <ns0:row r="458" ht="48" customHeight="1">
      <ns0:c r="A458" s="2" t="inlineStr">
        <ns0:is>
          <ns0:t>R13906</ns0:t>
        </ns0:is>
      </ns0:c>
      <ns0:c r="B458" s="2" t="inlineStr">
        <ns0:is>
          <ns0:t>Production of Biogas by Using Different Pretreatments of Rice Straw Under Aerobic and Semi Aerobic Conditions.</ns0:t>
        </ns0:is>
      </ns0:c>
      <ns0:c r="C458" s="2" t="inlineStr">
        <ns0:is>
          <ns0:t>10.21608/assjm.2021.194823</ns0:t>
        </ns0:is>
      </ns0:c>
      <ns0:c r="D458" s="2" t="inlineStr">
        <ns0:is>
          <ns0:t>fulltext</ns0:t>
        </ns0:is>
      </ns0:c>
      <ns0:c r="E458" s="2" t="inlineStr">
        <ns0:is>
          <ns0:t>版本待核实</ns0:t>
        </ns0:is>
      </ns0:c>
      <ns0:c r="F458" s="2" t="inlineStr">
        <ns0:is>
          <ns0:t>fulltext.pdf</ns0:t>
        </ns0:is>
      </ns0:c>
      <ns0:c r="G458" s="2" t="inlineStr">
        <ns0:is>
          <ns0:t>original_files/R13906/fulltext/fulltext__version_unverified__afe47132ea57e2c3.pdf</ns0:t>
        </ns0:is>
      </ns0:c>
      <ns0:c r="H458" s="2" t="inlineStr">
        <ns0:is>
          <ns0:t>local_upload</ns0:t>
        </ns0:is>
      </ns0:c>
      <ns0:c r="I458" s="2" t="inlineStr">
        <ns0:is>
          <ns0:t>localdownload/R13906/fulltext.pdf</ns0:t>
        </ns0:is>
      </ns0:c>
      <ns0:c r="J458" s="2" t="n">
        <ns0:v>409491</ns0:v>
      </ns0:c>
      <ns0:c r="K458" s="2" t="inlineStr">
        <ns0:is>
          <ns0:t>afe47132ea57e2c3259ec39863eabe706d9eb2f008f5a2587e599b03ea746547</ns0:t>
        </ns0:is>
      </ns0:c>
      <ns0:c r="L458" s="2" t="inlineStr">
        <ns0:is>
          <ns0:t>identity_and_body_structure_verified</ns0:t>
        </ns0:is>
      </ns0:c>
      <ns0:c r="M458" s="2" t="inlineStr"/>
      <ns0:c r="N458" s="2" t="inlineStr">
        <ns0:is>
          <ns0:t>首页/前两页题名作者或目标DOI核对，全部页面解析及正文结构检查；不据文件名判全文。</ns0:t>
        </ns0:is>
      </ns0:c>
      <ns0:c r="O458" s="2" t="inlineStr">
        <ns0:is>
          <ns0:t>https://github.com/Colliam-Vermilion/FirstCodex/blob/results/ad-oxygen-literature-20261006/results/ad-oxygen-literature-20261006/original_files/R13906/fulltext/fulltext__version_unverified__afe47132ea57e2c3.pdf</ns0:t>
        </ns0:is>
      </ns0:c>
    </ns0:row>
    <ns0:row r="459" ht="48" customHeight="1">
      <ns0:c r="A459" s="3" t="inlineStr">
        <ns0:is>
          <ns0:t>R13836</ns0:t>
        </ns0:is>
      </ns0:c>
      <ns0:c r="B459" s="3" t="inlineStr">
        <ns0:is>
          <ns0:t>Enhancement of surfactant biodegradation with an anaerobic membrane bioreactor by introducing microaeration.</ns0:t>
        </ns0:is>
      </ns0:c>
      <ns0:c r="C459" s="3" t="inlineStr">
        <ns0:is>
          <ns0:t>10.1016/j.chemosphere.2018.06.001</ns0:t>
        </ns0:is>
      </ns0:c>
      <ns0:c r="D459" s="3" t="inlineStr">
        <ns0:is>
          <ns0:t>supplementary</ns0:t>
        </ns0:is>
      </ns0:c>
      <ns0:c r="E459" s="3" t="inlineStr"/>
      <ns0:c r="F459" s="3" t="inlineStr">
        <ns0:is>
          <ns0:t>supplementary.docx</ns0:t>
        </ns0:is>
      </ns0:c>
      <ns0:c r="G459" s="3" t="inlineStr">
        <ns0:is>
          <ns0:t>original_files/R13836/supplementary/supplementary__b031085267d119a3.docx</ns0:t>
        </ns0:is>
      </ns0:c>
      <ns0:c r="H459" s="3" t="inlineStr">
        <ns0:is>
          <ns0:t>local_upload</ns0:t>
        </ns0:is>
      </ns0:c>
      <ns0:c r="I459" s="3" t="inlineStr">
        <ns0:is>
          <ns0:t>localdownload/R13836/supplementary.docx</ns0:t>
        </ns0:is>
      </ns0:c>
      <ns0:c r="J459" s="3" t="n">
        <ns0:v>23727</ns0:v>
      </ns0:c>
      <ns0:c r="K459" s="3" t="inlineStr">
        <ns0:is>
          <ns0:t>b031085267d119a394d4f83b7dba4dfe4a19aaa77ec7dbb3f016dc20ba409f98</ns0:t>
        </ns0:is>
      </ns0:c>
      <ns0:c r="L459" s="3" t="inlineStr">
        <ns0:is>
          <ns0:t>container_crc_verified</ns0:t>
        </ns0:is>
      </ns0:c>
      <ns0:c r="M459" s="3" t="inlineStr">
        <ns0:is>
          <ns0:t>title_in_attachment_verified</ns0:t>
        </ns0:is>
      </ns0:c>
      <ns0:c r="N459" s="3" t="inlineStr"/>
      <ns0:c r="O459" s="3" t="inlineStr">
        <ns0:is>
          <ns0:t>https://github.com/Colliam-Vermilion/FirstCodex/blob/results/ad-oxygen-literature-20261006/results/ad-oxygen-literature-20261006/original_files/R13836/supplementary/supplementary__b031085267d119a3.docx</ns0:t>
        </ns0:is>
      </ns0:c>
    </ns0:row>
    <ns0:row r="460" ht="48" customHeight="1">
      <ns0:c r="A460" s="2" t="inlineStr">
        <ns0:is>
          <ns0:t>R13737</ns0:t>
        </ns0:is>
      </ns0:c>
      <ns0:c r="B460" s="2" t="inlineStr">
        <ns0:is>
          <ns0:t>Three-stage integrated co-digestion of pig manure and rice straw combined with biogas slurry reflux: Performance and application evaluation</ns0:t>
        </ns0:is>
      </ns0:c>
      <ns0:c r="C460" s="2" t="inlineStr">
        <ns0:is>
          <ns0:t>10.1016/j.biortech.2026.135455</ns0:t>
        </ns0:is>
      </ns0:c>
      <ns0:c r="D460" s="2" t="inlineStr">
        <ns0:is>
          <ns0:t>fulltext</ns0:t>
        </ns0:is>
      </ns0:c>
      <ns0:c r="E460" s="2" t="inlineStr">
        <ns0:is>
          <ns0:t>出版版（版式及版权文字）</ns0:t>
        </ns0:is>
      </ns0:c>
      <ns0:c r="F460" s="2" t="inlineStr">
        <ns0:is>
          <ns0:t>fulltext.pdf</ns0:t>
        </ns0:is>
      </ns0:c>
      <ns0:c r="G460" s="2" t="inlineStr">
        <ns0:is>
          <ns0:t>original_files/R13737/fulltext/fulltext__published__b0edda1229f5ee5a.pdf</ns0:t>
        </ns0:is>
      </ns0:c>
      <ns0:c r="H460" s="2" t="inlineStr">
        <ns0:is>
          <ns0:t>local_upload</ns0:t>
        </ns0:is>
      </ns0:c>
      <ns0:c r="I460" s="2" t="inlineStr">
        <ns0:is>
          <ns0:t>localdownload/R13737/fulltext.pdf</ns0:t>
        </ns0:is>
      </ns0:c>
      <ns0:c r="J460" s="2" t="n">
        <ns0:v>11183670</ns0:v>
      </ns0:c>
      <ns0:c r="K460" s="2" t="inlineStr">
        <ns0:is>
          <ns0:t>b0edda1229f5ee5a15b17f5170121d88790fcedbc987f3e41a80fb2188f3bb53</ns0:t>
        </ns0:is>
      </ns0:c>
      <ns0:c r="L460" s="2" t="inlineStr">
        <ns0:is>
          <ns0:t>identity_and_body_structure_verified</ns0:t>
        </ns0:is>
      </ns0:c>
      <ns0:c r="M460" s="2" t="inlineStr"/>
      <ns0:c r="N460" s="2" t="inlineStr">
        <ns0:is>
          <ns0:t>首页/前两页题名作者或目标DOI核对，全部页面解析及正文结构检查；不据文件名判全文。</ns0:t>
        </ns0:is>
      </ns0:c>
      <ns0:c r="O460" s="2" t="inlineStr">
        <ns0:is>
          <ns0:t>https://github.com/Colliam-Vermilion/FirstCodex/blob/results/ad-oxygen-literature-20261006/results/ad-oxygen-literature-20261006/original_files/R13737/fulltext/fulltext__published__b0edda1229f5ee5a.pdf</ns0:t>
        </ns0:is>
      </ns0:c>
    </ns0:row>
    <ns0:row r="461" ht="48" customHeight="1">
      <ns0:c r="A461" s="3" t="inlineStr">
        <ns0:is>
          <ns0:t>R13683</ns0:t>
        </ns0:is>
      </ns0:c>
      <ns0:c r="B461" s="3" t="inlineStr">
        <ns0:is>
          <ns0:t>Synergistic enhancement of methane yield and odor control in pig manure anaerobic digestion via micro-aeration pretreatment</ns0:t>
        </ns0:is>
      </ns0:c>
      <ns0:c r="C461" s="3" t="inlineStr">
        <ns0:is>
          <ns0:t>10.1016/j.renene.2026.126304</ns0:t>
        </ns0:is>
      </ns0:c>
      <ns0:c r="D461" s="3" t="inlineStr">
        <ns0:is>
          <ns0:t>fulltext</ns0:t>
        </ns0:is>
      </ns0:c>
      <ns0:c r="E461" s="3" t="inlineStr">
        <ns0:is>
          <ns0:t>出版版（版式及版权文字）</ns0:t>
        </ns0:is>
      </ns0:c>
      <ns0:c r="F461" s="3" t="inlineStr">
        <ns0:is>
          <ns0:t>fulltext.pdf</ns0:t>
        </ns0:is>
      </ns0:c>
      <ns0:c r="G461" s="3" t="inlineStr">
        <ns0:is>
          <ns0:t>original_files/R13683/fulltext/fulltext__published__b1108047de626436.pdf</ns0:t>
        </ns0:is>
      </ns0:c>
      <ns0:c r="H461" s="3" t="inlineStr">
        <ns0:is>
          <ns0:t>local_upload</ns0:t>
        </ns0:is>
      </ns0:c>
      <ns0:c r="I461" s="3" t="inlineStr">
        <ns0:is>
          <ns0:t>localdownload/R13683/fulltext.pdf</ns0:t>
        </ns0:is>
      </ns0:c>
      <ns0:c r="J461" s="3" t="n">
        <ns0:v>4188238</ns0:v>
      </ns0:c>
      <ns0:c r="K461" s="3" t="inlineStr">
        <ns0:is>
          <ns0:t>b1108047de626436fbd997f4dfc07ec92cfde607595c9d599f7a4a5677659a20</ns0:t>
        </ns0:is>
      </ns0:c>
      <ns0:c r="L461" s="3" t="inlineStr">
        <ns0:is>
          <ns0:t>identity_and_body_structure_verified</ns0:t>
        </ns0:is>
      </ns0:c>
      <ns0:c r="M461" s="3" t="inlineStr"/>
      <ns0:c r="N461" s="3" t="inlineStr">
        <ns0:is>
          <ns0:t>首页/前两页题名作者或目标DOI核对，全部页面解析及正文结构检查；不据文件名判全文。</ns0:t>
        </ns0:is>
      </ns0:c>
      <ns0:c r="O461" s="3" t="inlineStr">
        <ns0:is>
          <ns0:t>https://github.com/Colliam-Vermilion/FirstCodex/blob/results/ad-oxygen-literature-20261006/results/ad-oxygen-literature-20261006/original_files/R13683/fulltext/fulltext__published__b1108047de626436.pdf</ns0:t>
        </ns0:is>
      </ns0:c>
    </ns0:row>
    <ns0:row r="462" ht="48" customHeight="1">
      <ns0:c r="A462" s="2" t="inlineStr">
        <ns0:is>
          <ns0:t>R09585</ns0:t>
        </ns0:is>
      </ns0:c>
      <ns0:c r="B462" s="2" t="inlineStr">
        <ns0:is>
          <ns0:t>Thermophilic Fungi as the Microbial Agents of Choice for the Industrial Co-Fermentation of Wood Wastes and Nitrogen-Rich Organic Wastes to Bio-Methane</ns0:t>
        </ns0:is>
      </ns0:c>
      <ns0:c r="C462" s="2" t="inlineStr">
        <ns0:is>
          <ns0:t>10.3390/microorganisms11102600</ns0:t>
        </ns0:is>
      </ns0:c>
      <ns0:c r="D462" s="2" t="inlineStr">
        <ns0:is>
          <ns0:t>fulltext</ns0:t>
        </ns0:is>
      </ns0:c>
      <ns0:c r="E462" s="2" t="inlineStr">
        <ns0:is>
          <ns0:t>出版版本（原页出版信息）</ns0:t>
        </ns0:is>
      </ns0:c>
      <ns0:c r="F462" s="2" t="inlineStr">
        <ns0:is>
          <ns0:t>R09585_2023_Thermophilic_Fungi_as_the_Microbial_Agents_of_Choice_for.pdf</ns0:t>
        </ns0:is>
      </ns0:c>
      <ns0:c r="G462" s="2" t="inlineStr">
        <ns0:is>
          <ns0:t>original_files/R09585/fulltext/fulltext__published__b16e44cb7a1232c0.pdf</ns0:t>
        </ns0:is>
      </ns0:c>
      <ns0:c r="H462" s="2" t="inlineStr">
        <ns0:is>
          <ns0:t>cloud_existing</ns0:t>
        </ns0:is>
      </ns0:c>
      <ns0:c r="I462" s="2" t="inlineStr">
        <ns0:is>
          <ns0:t>original_files/fulltext/R09585_2023_Thermophilic_Fungi_as_the_Microbial_Agents_of_Choice_for.pdf</ns0:t>
        </ns0:is>
      </ns0:c>
      <ns0:c r="J462" s="2" t="n">
        <ns0:v>630302</ns0:v>
      </ns0:c>
      <ns0:c r="K462" s="2" t="inlineStr">
        <ns0:is>
          <ns0:t>b16e44cb7a1232c0d5c4e649c9957432f6e0c3a0474be6459e74f83d4c1945d3</ns0:t>
        </ns0:is>
      </ns0:c>
      <ns0:c r="L462" s="2" t="inlineStr">
        <ns0:is>
          <ns0:t>identity_and_body_structure_verified</ns0:t>
        </ns0:is>
      </ns0:c>
      <ns0:c r="M462" s="2" t="inlineStr"/>
      <ns0:c r="N462" s="2" t="inlineStr">
        <ns0:is>
          <ns0:t>首页/前两页题名作者或目标DOI核对，全部页面解析及正文结构检查；不据文件名判全文。</ns0:t>
        </ns0:is>
      </ns0:c>
      <ns0:c r="O462" s="2" t="inlineStr">
        <ns0:is>
          <ns0:t>https://github.com/Colliam-Vermilion/FirstCodex/blob/results/ad-oxygen-literature-20261006/results/ad-oxygen-literature-20261006/original_files/R09585/fulltext/fulltext__published__b16e44cb7a1232c0.pdf</ns0:t>
        </ns0:is>
      </ns0:c>
    </ns0:row>
    <ns0:row r="463" ht="48" customHeight="1">
      <ns0:c r="A463" s="3" t="inlineStr">
        <ns0:is>
          <ns0:t>R09240</ns0:t>
        </ns0:is>
      </ns0:c>
      <ns0:c r="B463" s="3" t="inlineStr">
        <ns0:is>
          <ns0:t>Microbubble Intensification of Bioprocessing</ns0:t>
        </ns0:is>
      </ns0:c>
      <ns0:c r="C463" s="3" t="inlineStr">
        <ns0:is>
          <ns0:t>10.1595/205651323x16778518231554</ns0:t>
        </ns0:is>
      </ns0:c>
      <ns0:c r="D463" s="3" t="inlineStr">
        <ns0:is>
          <ns0:t>source_evidence</ns0:t>
        </ns0:is>
      </ns0:c>
      <ns0:c r="E463" s="3" t="inlineStr"/>
      <ns0:c r="F463" s="3" t="inlineStr">
        <ns0:is>
          <ns0:t>publisher_article_page_20261017.html</ns0:t>
        </ns0:is>
      </ns0:c>
      <ns0:c r="G463" s="3" t="inlineStr">
        <ns0:is>
          <ns0:t>original_files/R09240/evidence/source_evidence__b1ca5efc1c1695ce.html</ns0:t>
        </ns0:is>
      </ns0:c>
      <ns0:c r="H463" s="3" t="inlineStr">
        <ns0:is>
          <ns0:t>cloud_existing</ns0:t>
        </ns0:is>
      </ns0:c>
      <ns0:c r="I463" s="3" t="inlineStr">
        <ns0:is>
          <ns0:t>original_files/source_evidence/R09240/publisher_article_page_20261017.html</ns0:t>
        </ns0:is>
      </ns0:c>
      <ns0:c r="J463" s="3" t="n">
        <ns0:v>200277</ns0:v>
      </ns0:c>
      <ns0:c r="K463" s="3" t="inlineStr">
        <ns0:is>
          <ns0:t>b1ca5efc1c1695ce36d2d9692a79fc7a262dc24e15767e22e0ba5219b0f87f84</ns0:t>
        </ns0:is>
      </ns0:c>
      <ns0:c r="L463" s="3" t="inlineStr">
        <ns0:is>
          <ns0:t>text_readable</ns0:t>
        </ns0:is>
      </ns0:c>
      <ns0:c r="M463" s="3" t="inlineStr"/>
      <ns0:c r="N463" s="3" t="inlineStr"/>
      <ns0:c r="O463" s="3" t="inlineStr">
        <ns0:is>
          <ns0:t>https://github.com/Colliam-Vermilion/FirstCodex/blob/results/ad-oxygen-literature-20261006/results/ad-oxygen-literature-20261006/original_files/R09240/evidence/source_evidence__b1ca5efc1c1695ce.html</ns0:t>
        </ns0:is>
      </ns0:c>
    </ns0:row>
    <ns0:row r="464" ht="48" customHeight="1">
      <ns0:c r="A464" s="2" t="inlineStr">
        <ns0:is>
          <ns0:t>R13900</ns0:t>
        </ns0:is>
      </ns0:c>
      <ns0:c r="B464" s="2" t="inlineStr">
        <ns0:is>
          <ns0:t>Effectiveness of aerobic pretreatment of municipal solid waste for accelerating biogas generation during simulated landfilling</ns0:t>
        </ns0:is>
      </ns0:c>
      <ns0:c r="C464" s="2" t="inlineStr">
        <ns0:is>
          <ns0:t>10.1007/s11783-018-1031-1</ns0:t>
        </ns0:is>
      </ns0:c>
      <ns0:c r="D464" s="2" t="inlineStr">
        <ns0:is>
          <ns0:t>fulltext</ns0:t>
        </ns0:is>
      </ns0:c>
      <ns0:c r="E464" s="2" t="inlineStr">
        <ns0:is>
          <ns0:t>出版版本（原页出版信息）</ns0:t>
        </ns0:is>
      </ns0:c>
      <ns0:c r="F464" s="2" t="inlineStr">
        <ns0:is>
          <ns0:t>R13900_2018_Effectiveness_of_aerobic_pretreatment_of_municipal_solid_waste_for.pdf</ns0:t>
        </ns0:is>
      </ns0:c>
      <ns0:c r="G464" s="2" t="inlineStr">
        <ns0:is>
          <ns0:t>original_files/R13900/fulltext/fulltext__published__b2ba7df8c04ab66c.pdf</ns0:t>
        </ns0:is>
      </ns0:c>
      <ns0:c r="H464" s="2" t="inlineStr">
        <ns0:is>
          <ns0:t>cloud_existing</ns0:t>
        </ns0:is>
      </ns0:c>
      <ns0:c r="I464" s="2" t="inlineStr">
        <ns0:is>
          <ns0:t>original_files/fulltext/R13900_2018_Effectiveness_of_aerobic_pretreatment_of_municipal_solid_waste_for.pdf</ns0:t>
        </ns0:is>
      </ns0:c>
      <ns0:c r="J464" s="2" t="n">
        <ns0:v>299244</ns0:v>
      </ns0:c>
      <ns0:c r="K464" s="2" t="inlineStr">
        <ns0:is>
          <ns0:t>b2ba7df8c04ab66c0e548f778e19c5764802c0da8408a3b8499547b3f6ef51b3</ns0:t>
        </ns0:is>
      </ns0:c>
      <ns0:c r="L464" s="2" t="inlineStr">
        <ns0:is>
          <ns0:t>identity_and_body_structure_verified</ns0:t>
        </ns0:is>
      </ns0:c>
      <ns0:c r="M464" s="2" t="inlineStr"/>
      <ns0:c r="N464" s="2" t="inlineStr">
        <ns0:is>
          <ns0:t>首页/前两页题名作者或目标DOI核对，全部页面解析及正文结构检查；不据文件名判全文。</ns0:t>
        </ns0:is>
      </ns0:c>
      <ns0:c r="O464" s="2" t="inlineStr">
        <ns0:is>
          <ns0:t>https://github.com/Colliam-Vermilion/FirstCodex/blob/results/ad-oxygen-literature-20261006/results/ad-oxygen-literature-20261006/original_files/R13900/fulltext/fulltext__published__b2ba7df8c04ab66c.pdf</ns0:t>
        </ns0:is>
      </ns0:c>
    </ns0:row>
    <ns0:row r="465" ht="48" customHeight="1">
      <ns0:c r="A465" s="3" t="inlineStr">
        <ns0:is>
          <ns0:t>R12569</ns0:t>
        </ns0:is>
      </ns0:c>
      <ns0:c r="B465" s="3" t="inlineStr">
        <ns0:is>
          <ns0:t>Ammonia inhibition in anaerobic digestion: A critical review of inhibition mechanisms and mitigation strategies</ns0:t>
        </ns0:is>
      </ns0:c>
      <ns0:c r="C465" s="3" t="inlineStr">
        <ns0:is>
          <ns0:t>10.1016/j.jenvman.2026.129236</ns0:t>
        </ns0:is>
      </ns0:c>
      <ns0:c r="D465" s="3" t="inlineStr">
        <ns0:is>
          <ns0:t>supplementary</ns0:t>
        </ns0:is>
      </ns0:c>
      <ns0:c r="E465" s="3" t="inlineStr"/>
      <ns0:c r="F465" s="3" t="inlineStr">
        <ns0:is>
          <ns0:t>supplementary.docx</ns0:t>
        </ns0:is>
      </ns0:c>
      <ns0:c r="G465" s="3" t="inlineStr">
        <ns0:is>
          <ns0:t>original_files/R12569/supplementary/supplementary__b3004f1c2a3847d1.docx</ns0:t>
        </ns0:is>
      </ns0:c>
      <ns0:c r="H465" s="3" t="inlineStr">
        <ns0:is>
          <ns0:t>local_upload</ns0:t>
        </ns0:is>
      </ns0:c>
      <ns0:c r="I465" s="3" t="inlineStr">
        <ns0:is>
          <ns0:t>localdownload/R12569/supplementary.docx</ns0:t>
        </ns0:is>
      </ns0:c>
      <ns0:c r="J465" s="3" t="n">
        <ns0:v>3032232</ns0:v>
      </ns0:c>
      <ns0:c r="K465" s="3" t="inlineStr">
        <ns0:is>
          <ns0:t>b3004f1c2a3847d108f07884c61a1180d901b4bee605f63ea954c68a4832814b</ns0:t>
        </ns0:is>
      </ns0:c>
      <ns0:c r="L465" s="3" t="inlineStr">
        <ns0:is>
          <ns0:t>container_crc_verified</ns0:t>
        </ns0:is>
      </ns0:c>
      <ns0:c r="M465" s="3" t="inlineStr">
        <ns0:is>
          <ns0:t>title_in_attachment_verified</ns0:t>
        </ns0:is>
      </ns0:c>
      <ns0:c r="N465" s="3" t="inlineStr"/>
      <ns0:c r="O465" s="3" t="inlineStr">
        <ns0:is>
          <ns0:t>https://github.com/Colliam-Vermilion/FirstCodex/blob/results/ad-oxygen-literature-20261006/results/ad-oxygen-literature-20261006/original_files/R12569/supplementary/supplementary__b3004f1c2a3847d1.docx</ns0:t>
        </ns0:is>
      </ns0:c>
    </ns0:row>
    <ns0:row r="466" ht="48" customHeight="1">
      <ns0:c r="A466" s="2" t="inlineStr">
        <ns0:is>
          <ns0:t>R02094</ns0:t>
        </ns0:is>
      </ns0:c>
      <ns0:c r="B466" s="2" t="inlineStr">
        <ns0:is>
          <ns0:t>Quick-start of full-scale anaerobic digestion (AD) using aeration</ns0:t>
        </ns0:is>
      </ns0:c>
      <ns0:c r="C466" s="2" t="inlineStr">
        <ns0:is>
          <ns0:t>10.1016/j.wasman.2014.12.016</ns0:t>
        </ns0:is>
      </ns0:c>
      <ns0:c r="D466" s="2" t="inlineStr">
        <ns0:is>
          <ns0:t>fulltext</ns0:t>
        </ns0:is>
      </ns0:c>
      <ns0:c r="E466" s="2" t="inlineStr">
        <ns0:is>
          <ns0:t>出版版（版式及版权文字）</ns0:t>
        </ns0:is>
      </ns0:c>
      <ns0:c r="F466" s="2" t="inlineStr">
        <ns0:is>
          <ns0:t>fulltext.pdf</ns0:t>
        </ns0:is>
      </ns0:c>
      <ns0:c r="G466" s="2" t="inlineStr">
        <ns0:is>
          <ns0:t>original_files/R02094/fulltext/fulltext__published__b306bbf706889c58.pdf</ns0:t>
        </ns0:is>
      </ns0:c>
      <ns0:c r="H466" s="2" t="inlineStr">
        <ns0:is>
          <ns0:t>local_upload</ns0:t>
        </ns0:is>
      </ns0:c>
      <ns0:c r="I466" s="2" t="inlineStr">
        <ns0:is>
          <ns0:t>localdownload/R02094/fulltext.pdf</ns0:t>
        </ns0:is>
      </ns0:c>
      <ns0:c r="J466" s="2" t="n">
        <ns0:v>594943</ns0:v>
      </ns0:c>
      <ns0:c r="K466" s="2" t="inlineStr">
        <ns0:is>
          <ns0:t>b306bbf706889c58e62cc0c5119561f4b8b30305dca51e530eee5e5d61a090db</ns0:t>
        </ns0:is>
      </ns0:c>
      <ns0:c r="L466" s="2" t="inlineStr">
        <ns0:is>
          <ns0:t>identity_and_body_structure_verified</ns0:t>
        </ns0:is>
      </ns0:c>
      <ns0:c r="M466" s="2" t="inlineStr"/>
      <ns0:c r="N466" s="2" t="inlineStr">
        <ns0:is>
          <ns0:t>首页/前两页题名作者或目标DOI核对，全部页面解析及正文结构检查；不据文件名判全文。</ns0:t>
        </ns0:is>
      </ns0:c>
      <ns0:c r="O466" s="2" t="inlineStr">
        <ns0:is>
          <ns0:t>https://github.com/Colliam-Vermilion/FirstCodex/blob/results/ad-oxygen-literature-20261006/results/ad-oxygen-literature-20261006/original_files/R02094/fulltext/fulltext__published__b306bbf706889c58.pdf</ns0:t>
        </ns0:is>
      </ns0:c>
    </ns0:row>
    <ns0:row r="467" ht="48" customHeight="1">
      <ns0:c r="A467" s="3" t="inlineStr">
        <ns0:is>
          <ns0:t>R13843</ns0:t>
        </ns0:is>
      </ns0:c>
      <ns0:c r="B467" s="3" t="inlineStr">
        <ns0:is>
          <ns0:t>Performance of Coupling an Aerobic Pre-treatment Prior to a Solid-State Anaerobic Digestion of Food Waste</ns0:t>
        </ns0:is>
      </ns0:c>
      <ns0:c r="C467" s="3" t="inlineStr">
        <ns0:is>
          <ns0:t>10.1007/s12649-019-00630-z</ns0:t>
        </ns0:is>
      </ns0:c>
      <ns0:c r="D467" s="3" t="inlineStr">
        <ns0:is>
          <ns0:t>fulltext</ns0:t>
        </ns0:is>
      </ns0:c>
      <ns0:c r="E467" s="3" t="inlineStr">
        <ns0:is>
          <ns0:t>出版版（版式及版权文字）</ns0:t>
        </ns0:is>
      </ns0:c>
      <ns0:c r="F467" s="3" t="inlineStr">
        <ns0:is>
          <ns0:t>fulltext.pdf</ns0:t>
        </ns0:is>
      </ns0:c>
      <ns0:c r="G467" s="3" t="inlineStr">
        <ns0:is>
          <ns0:t>original_files/R13843/fulltext/fulltext__published__b3a3e29cac8ef660.pdf</ns0:t>
        </ns0:is>
      </ns0:c>
      <ns0:c r="H467" s="3" t="inlineStr">
        <ns0:is>
          <ns0:t>local_upload</ns0:t>
        </ns0:is>
      </ns0:c>
      <ns0:c r="I467" s="3" t="inlineStr">
        <ns0:is>
          <ns0:t>localdownload/R13843/fulltext.pdf</ns0:t>
        </ns0:is>
      </ns0:c>
      <ns0:c r="J467" s="3" t="n">
        <ns0:v>1867874</ns0:v>
      </ns0:c>
      <ns0:c r="K467" s="3" t="inlineStr">
        <ns0:is>
          <ns0:t>b3a3e29cac8ef6607433dd3a12625eef8b4f5b592f4d3bf7e77a814e8319bebe</ns0:t>
        </ns0:is>
      </ns0:c>
      <ns0:c r="L467" s="3" t="inlineStr">
        <ns0:is>
          <ns0:t>identity_and_body_structure_verified</ns0:t>
        </ns0:is>
      </ns0:c>
      <ns0:c r="M467" s="3" t="inlineStr"/>
      <ns0:c r="N467" s="3" t="inlineStr">
        <ns0:is>
          <ns0:t>首页/前两页题名作者或目标DOI核对，全部页面解析及正文结构检查；不据文件名判全文。</ns0:t>
        </ns0:is>
      </ns0:c>
      <ns0:c r="O467" s="3" t="inlineStr">
        <ns0:is>
          <ns0:t>https://github.com/Colliam-Vermilion/FirstCodex/blob/results/ad-oxygen-literature-20261006/results/ad-oxygen-literature-20261006/original_files/R13843/fulltext/fulltext__published__b3a3e29cac8ef660.pdf</ns0:t>
        </ns0:is>
      </ns0:c>
    </ns0:row>
    <ns0:row r="468" ht="48" customHeight="1">
      <ns0:c r="A468" s="2" t="inlineStr">
        <ns0:is>
          <ns0:t>R09804</ns0:t>
        </ns0:is>
      </ns0:c>
      <ns0:c r="B468" s="2" t="inlineStr">
        <ns0:is>
          <ns0:t>Anaerobic digestion of process water from hydrothermal treatment processes: a review of inhibitors and detoxification approaches</ns0:t>
        </ns0:is>
      </ns0:c>
      <ns0:c r="C468" s="2" t="inlineStr">
        <ns0:is>
          <ns0:t>10.1186/s40643-024-00756-6</ns0:t>
        </ns0:is>
      </ns0:c>
      <ns0:c r="D468" s="2" t="inlineStr">
        <ns0:is>
          <ns0:t>fulltext</ns0:t>
        </ns0:is>
      </ns0:c>
      <ns0:c r="E468" s="2" t="inlineStr">
        <ns0:is>
          <ns0:t>出版版本（原页出版信息）</ns0:t>
        </ns0:is>
      </ns0:c>
      <ns0:c r="F468" s="2" t="inlineStr">
        <ns0:is>
          <ns0:t>R09804_2024_Anaerobic_digestion_of_process_water_from_hydrothermal_treatment_processes.pdf</ns0:t>
        </ns0:is>
      </ns0:c>
      <ns0:c r="G468" s="2" t="inlineStr">
        <ns0:is>
          <ns0:t>original_files/R09804/fulltext/fulltext__published__b3cc83d613ad3c36.pdf</ns0:t>
        </ns0:is>
      </ns0:c>
      <ns0:c r="H468" s="2" t="inlineStr">
        <ns0:is>
          <ns0:t>cloud_existing</ns0:t>
        </ns0:is>
      </ns0:c>
      <ns0:c r="I468" s="2" t="inlineStr">
        <ns0:is>
          <ns0:t>original_files/fulltext/R09804_2024_Anaerobic_digestion_of_process_water_from_hydrothermal_treatment_processes.pdf</ns0:t>
        </ns0:is>
      </ns0:c>
      <ns0:c r="J468" s="2" t="n">
        <ns0:v>5135812</ns0:v>
      </ns0:c>
      <ns0:c r="K468" s="2" t="inlineStr">
        <ns0:is>
          <ns0:t>b3cc83d613ad3c36f93b78eace000ebc5a603966523ee71c2e6a0bd85a8ede3e</ns0:t>
        </ns0:is>
      </ns0:c>
      <ns0:c r="L468" s="2" t="inlineStr">
        <ns0:is>
          <ns0:t>identity_and_body_structure_verified</ns0:t>
        </ns0:is>
      </ns0:c>
      <ns0:c r="M468" s="2" t="inlineStr"/>
      <ns0:c r="N468" s="2" t="inlineStr">
        <ns0:is>
          <ns0:t>首页/前两页题名作者或目标DOI核对，全部页面解析及正文结构检查；不据文件名判全文。</ns0:t>
        </ns0:is>
      </ns0:c>
      <ns0:c r="O468" s="2" t="inlineStr">
        <ns0:is>
          <ns0:t>https://github.com/Colliam-Vermilion/FirstCodex/blob/results/ad-oxygen-literature-20261006/results/ad-oxygen-literature-20261006/original_files/R09804/fulltext/fulltext__published__b3cc83d613ad3c36.pdf</ns0:t>
        </ns0:is>
      </ns0:c>
    </ns0:row>
    <ns0:row r="469" ht="48" customHeight="1">
      <ns0:c r="A469" s="3" t="inlineStr">
        <ns0:is>
          <ns0:t>R05511</ns0:t>
        </ns0:is>
      </ns0:c>
      <ns0:c r="B469" s="3" t="inlineStr">
        <ns0:is>
          <ns0:t>Different micro-aeration rates facilitate production of different end-products from source-diverted blackwater</ns0:t>
        </ns0:is>
      </ns0:c>
      <ns0:c r="C469" s="3" t="inlineStr">
        <ns0:is>
          <ns0:t>10.1016/j.watres.2020.115783</ns0:t>
        </ns0:is>
      </ns0:c>
      <ns0:c r="D469" s="3" t="inlineStr">
        <ns0:is>
          <ns0:t>supplementary</ns0:t>
        </ns0:is>
      </ns0:c>
      <ns0:c r="E469" s="3" t="inlineStr"/>
      <ns0:c r="F469" s="3" t="inlineStr">
        <ns0:is>
          <ns0:t>supplementary.docx</ns0:t>
        </ns0:is>
      </ns0:c>
      <ns0:c r="G469" s="3" t="inlineStr">
        <ns0:is>
          <ns0:t>original_files/R05511/supplementary/supplementary__b434b7fc5acd7ee0.docx</ns0:t>
        </ns0:is>
      </ns0:c>
      <ns0:c r="H469" s="3" t="inlineStr">
        <ns0:is>
          <ns0:t>local_upload</ns0:t>
        </ns0:is>
      </ns0:c>
      <ns0:c r="I469" s="3" t="inlineStr">
        <ns0:is>
          <ns0:t>localdownload/R05511/supplementary.docx</ns0:t>
        </ns0:is>
      </ns0:c>
      <ns0:c r="J469" s="3" t="n">
        <ns0:v>302929</ns0:v>
      </ns0:c>
      <ns0:c r="K469" s="3" t="inlineStr">
        <ns0:is>
          <ns0:t>b434b7fc5acd7ee0b4792e0ca5a2017a4ed1991e88eee3baf94c1bfcde86721b</ns0:t>
        </ns0:is>
      </ns0:c>
      <ns0:c r="L469" s="3" t="inlineStr">
        <ns0:is>
          <ns0:t>container_crc_verified</ns0:t>
        </ns0:is>
      </ns0:c>
      <ns0:c r="M469" s="3" t="inlineStr">
        <ns0:is>
          <ns0:t>title_in_attachment_verified</ns0:t>
        </ns0:is>
      </ns0:c>
      <ns0:c r="N469" s="3" t="inlineStr"/>
      <ns0:c r="O469" s="3" t="inlineStr">
        <ns0:is>
          <ns0:t>https://github.com/Colliam-Vermilion/FirstCodex/blob/results/ad-oxygen-literature-20261006/results/ad-oxygen-literature-20261006/original_files/R05511/supplementary/supplementary__b434b7fc5acd7ee0.docx</ns0:t>
        </ns0:is>
      </ns0:c>
    </ns0:row>
    <ns0:row r="470" ht="48" customHeight="1">
      <ns0:c r="A470" s="2" t="inlineStr">
        <ns0:is>
          <ns0:t>R11099</ns0:t>
        </ns0:is>
      </ns0:c>
      <ns0:c r="B470" s="2" t="inlineStr">
        <ns0:is>
          <ns0:t>Air nanobubble simultaneously enhances hydrolysis and methane yield of sludge temperature phased-anaerobic digestion</ns0:t>
        </ns0:is>
      </ns0:c>
      <ns0:c r="C470" s="2" t="inlineStr">
        <ns0:is>
          <ns0:t>10.1016/j.biortech.2025.132084</ns0:t>
        </ns0:is>
      </ns0:c>
      <ns0:c r="D470" s="2" t="inlineStr">
        <ns0:is>
          <ns0:t>supplementary</ns0:t>
        </ns0:is>
      </ns0:c>
      <ns0:c r="E470" s="2" t="inlineStr"/>
      <ns0:c r="F470" s="2" t="inlineStr">
        <ns0:is>
          <ns0:t>supplementary.docx</ns0:t>
        </ns0:is>
      </ns0:c>
      <ns0:c r="G470" s="2" t="inlineStr">
        <ns0:is>
          <ns0:t>original_files/R11099/supplementary/supplementary__b4d980f032cccfd2.docx</ns0:t>
        </ns0:is>
      </ns0:c>
      <ns0:c r="H470" s="2" t="inlineStr">
        <ns0:is>
          <ns0:t>local_upload</ns0:t>
        </ns0:is>
      </ns0:c>
      <ns0:c r="I470" s="2" t="inlineStr">
        <ns0:is>
          <ns0:t>localdownload/R11099/supplementary.docx</ns0:t>
        </ns0:is>
      </ns0:c>
      <ns0:c r="J470" s="2" t="n">
        <ns0:v>461576</ns0:v>
      </ns0:c>
      <ns0:c r="K470" s="2" t="inlineStr">
        <ns0:is>
          <ns0:t>b4d980f032cccfd278142555b133363f7b9b06ce693fb61100aa17d3f81ecb38</ns0:t>
        </ns0:is>
      </ns0:c>
      <ns0:c r="L470" s="2" t="inlineStr">
        <ns0:is>
          <ns0:t>container_crc_verified</ns0:t>
        </ns0:is>
      </ns0:c>
      <ns0:c r="M470" s="2" t="inlineStr">
        <ns0:is>
          <ns0:t>title_in_attachment_verified</ns0:t>
        </ns0:is>
      </ns0:c>
      <ns0:c r="N470" s="2" t="inlineStr"/>
      <ns0:c r="O470" s="2" t="inlineStr">
        <ns0:is>
          <ns0:t>https://github.com/Colliam-Vermilion/FirstCodex/blob/results/ad-oxygen-literature-20261006/results/ad-oxygen-literature-20261006/original_files/R11099/supplementary/supplementary__b4d980f032cccfd2.docx</ns0:t>
        </ns0:is>
      </ns0:c>
    </ns0:row>
    <ns0:row r="471" ht="48" customHeight="1">
      <ns0:c r="A471" s="3" t="inlineStr">
        <ns0:is>
          <ns0:t>R12483</ns0:t>
        </ns0:is>
      </ns0:c>
      <ns0:c r="B471" s="3" t="inlineStr">
        <ns0:is>
          <ns0:t>การปรับสภาพชีวมวลลิกโนเซลลูโลสด้วยวัสดุเพาะเห็ดเหลือทิ้ง: แนวทางการเพิ่มมูลค่าวัสดุเหลือทิ้งทางการเกษตรเพื่อการผลิตแก๊สชีวภาพอย่างยั่งยืน</ns0:t>
        </ns0:is>
      </ns0:c>
      <ns0:c r="C471" s="3" t="inlineStr"/>
      <ns0:c r="D471" s="3" t="inlineStr">
        <ns0:is>
          <ns0:t>fulltext</ns0:t>
        </ns0:is>
      </ns0:c>
      <ns0:c r="E471" s="3" t="inlineStr">
        <ns0:is>
          <ns0:t>出版版本（原页出版信息）</ns0:t>
        </ns0:is>
      </ns0:c>
      <ns0:c r="F471" s="3" t="inlineStr">
        <ns0:is>
          <ns0:t>R12483_2025_การปรบสภาพชวมวลลกโนเซลลโลสดวยวสดเพาะเหดเหลอทง_แนวทางการเพมมล.pdf</ns0:t>
        </ns0:is>
      </ns0:c>
      <ns0:c r="G471" s="3" t="inlineStr">
        <ns0:is>
          <ns0:t>original_files/R12483/fulltext/fulltext__published__b51428ca89e5bf95.pdf</ns0:t>
        </ns0:is>
      </ns0:c>
      <ns0:c r="H471" s="3" t="inlineStr">
        <ns0:is>
          <ns0:t>cloud_existing</ns0:t>
        </ns0:is>
      </ns0:c>
      <ns0:c r="I471" s="3" t="inlineStr">
        <ns0:is>
          <ns0:t>original_files/fulltext/R12483_2025_การปรบสภาพชวมวลลกโนเซลลโลสดวยวสดเพาะเหดเหลอทง_แนวทางการเพมมล.pdf</ns0:t>
        </ns0:is>
      </ns0:c>
      <ns0:c r="J471" s="3" t="n">
        <ns0:v>1807518</ns0:v>
      </ns0:c>
      <ns0:c r="K471" s="3" t="inlineStr">
        <ns0:is>
          <ns0:t>b51428ca89e5bf95c17225fe2e0a08a920379629281ab76f33337561553f3b0f</ns0:t>
        </ns0:is>
      </ns0:c>
      <ns0:c r="L471" s="3" t="inlineStr">
        <ns0:is>
          <ns0:t>manual_identity_and_completeness_verified</ns0:t>
        </ns0:is>
      </ns0:c>
      <ns0:c r="M471" s="3" t="inlineStr"/>
      <ns0:c r="N471" s="3" t="inlineStr">
        <ns0:is>
          <ns0:t>泰文全文20页，首页泰文/英文双语题名及作者、Thai Society of Agricultural Engineering Journal 31(2),40–59 (2025)、ISSN1685-408X；中文/英文关键词规则不适用，完整正文、结论及参考文献存在。</ns0:t>
        </ns0:is>
      </ns0:c>
      <ns0:c r="O471" s="3" t="inlineStr">
        <ns0:is>
          <ns0:t>https://github.com/Colliam-Vermilion/FirstCodex/blob/results/ad-oxygen-literature-20261006/results/ad-oxygen-literature-20261006/original_files/R12483/fulltext/fulltext__published__b51428ca89e5bf95.pdf</ns0:t>
        </ns0:is>
      </ns0:c>
    </ns0:row>
    <ns0:row r="472" ht="48" customHeight="1">
      <ns0:c r="A472" s="2" t="inlineStr">
        <ns0:is>
          <ns0:t>R13832</ns0:t>
        </ns0:is>
      </ns0:c>
      <ns0:c r="B472" s="2" t="inlineStr">
        <ns0:is>
          <ns0:t>A membrane aerated biofilm reactor for sulfide control from anaerobically treated wastewater.</ns0:t>
        </ns0:is>
      </ns0:c>
      <ns0:c r="C472" s="2" t="inlineStr">
        <ns0:is>
          <ns0:t>10.1080/09593330.2018.1441329</ns0:t>
        </ns0:is>
      </ns0:c>
      <ns0:c r="D472" s="2" t="inlineStr">
        <ns0:is>
          <ns0:t>supplementary</ns0:t>
        </ns0:is>
      </ns0:c>
      <ns0:c r="E472" s="2" t="inlineStr"/>
      <ns0:c r="F472" s="2" t="inlineStr">
        <ns0:is>
          <ns0:t>S2 Figure.docx</ns0:t>
        </ns0:is>
      </ns0:c>
      <ns0:c r="G472" s="2" t="inlineStr">
        <ns0:is>
          <ns0:t>original_files/R13832/supplementary/supplementary__b73db4648f4fe908.docx</ns0:t>
        </ns0:is>
      </ns0:c>
      <ns0:c r="H472" s="2" t="inlineStr">
        <ns0:is>
          <ns0:t>local_upload</ns0:t>
        </ns0:is>
      </ns0:c>
      <ns0:c r="I472" s="2" t="inlineStr">
        <ns0:is>
          <ns0:t>localdownload/R13832/S2 Figure.docx</ns0:t>
        </ns0:is>
      </ns0:c>
      <ns0:c r="J472" s="2" t="n">
        <ns0:v>218208</ns0:v>
      </ns0:c>
      <ns0:c r="K472" s="2" t="inlineStr">
        <ns0:is>
          <ns0:t>b73db4648f4fe9086cc1a4ce3a871584da96408fbb8e88f60c0ea1a66db0c06a</ns0:t>
        </ns0:is>
      </ns0:c>
      <ns0:c r="L472" s="2" t="inlineStr">
        <ns0:is>
          <ns0:t>container_crc_verified</ns0:t>
        </ns0:is>
      </ns0:c>
      <ns0:c r="M472" s="2" t="inlineStr">
        <ns0:is>
          <ns0:t>directory_and_content_consistent_identity_pending</ns0:t>
        </ns0:is>
      </ns0:c>
      <ns0:c r="N472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72" s="2" t="inlineStr">
        <ns0:is>
          <ns0:t>https://github.com/Colliam-Vermilion/FirstCodex/blob/results/ad-oxygen-literature-20261006/results/ad-oxygen-literature-20261006/original_files/R13832/supplementary/supplementary__b73db4648f4fe908.docx</ns0:t>
        </ns0:is>
      </ns0:c>
    </ns0:row>
    <ns0:row r="473" ht="48" customHeight="1">
      <ns0:c r="A473" s="3" t="inlineStr">
        <ns0:is>
          <ns0:t>R08387</ns0:t>
        </ns0:is>
      </ns0:c>
      <ns0:c r="B473" s="3" t="inlineStr">
        <ns0:is>
          <ns0:t>The combination of aerobic and microaerobic promote hydrolysis and acidification of rice straw and pig manure: Balance of insoluble and soluble substrate</ns0:t>
        </ns0:is>
      </ns0:c>
      <ns0:c r="C473" s="3" t="inlineStr">
        <ns0:is>
          <ns0:t>10.1016/j.biortech.2022.126880</ns0:t>
        </ns0:is>
      </ns0:c>
      <ns0:c r="D473" s="3" t="inlineStr">
        <ns0:is>
          <ns0:t>fulltext</ns0:t>
        </ns0:is>
      </ns0:c>
      <ns0:c r="E473" s="3" t="inlineStr">
        <ns0:is>
          <ns0:t>出版版（版式及版权文字）</ns0:t>
        </ns0:is>
      </ns0:c>
      <ns0:c r="F473" s="3" t="inlineStr">
        <ns0:is>
          <ns0:t>fulltext.pdf</ns0:t>
        </ns0:is>
      </ns0:c>
      <ns0:c r="G473" s="3" t="inlineStr">
        <ns0:is>
          <ns0:t>original_files/R08387/fulltext/fulltext__published__b7a8776d6654a870.pdf</ns0:t>
        </ns0:is>
      </ns0:c>
      <ns0:c r="H473" s="3" t="inlineStr">
        <ns0:is>
          <ns0:t>local_upload</ns0:t>
        </ns0:is>
      </ns0:c>
      <ns0:c r="I473" s="3" t="inlineStr">
        <ns0:is>
          <ns0:t>localdownload/R08387/fulltext.pdf</ns0:t>
        </ns0:is>
      </ns0:c>
      <ns0:c r="J473" s="3" t="n">
        <ns0:v>8054700</ns0:v>
      </ns0:c>
      <ns0:c r="K473" s="3" t="inlineStr">
        <ns0:is>
          <ns0:t>b7a8776d6654a8704d5a796535689116767503d82a6169a81e7a2deea2a5730e</ns0:t>
        </ns0:is>
      </ns0:c>
      <ns0:c r="L473" s="3" t="inlineStr">
        <ns0:is>
          <ns0:t>identity_and_body_structure_verified</ns0:t>
        </ns0:is>
      </ns0:c>
      <ns0:c r="M473" s="3" t="inlineStr"/>
      <ns0:c r="N473" s="3" t="inlineStr">
        <ns0:is>
          <ns0:t>首页/前两页题名作者或目标DOI核对，全部页面解析及正文结构检查；不据文件名判全文。</ns0:t>
        </ns0:is>
      </ns0:c>
      <ns0:c r="O473" s="3" t="inlineStr">
        <ns0:is>
          <ns0:t>https://github.com/Colliam-Vermilion/FirstCodex/blob/results/ad-oxygen-literature-20261006/results/ad-oxygen-literature-20261006/original_files/R08387/fulltext/fulltext__published__b7a8776d6654a870.pdf</ns0:t>
        </ns0:is>
      </ns0:c>
    </ns0:row>
    <ns0:row r="474" ht="48" customHeight="1">
      <ns0:c r="A474" s="2" t="inlineStr">
        <ns0:is>
          <ns0:t>R09150</ns0:t>
        </ns0:is>
      </ns0:c>
      <ns0:c r="B474" s="2" t="inlineStr">
        <ns0:is>
          <ns0:t>Large-scale micro-aerobic digestion studies at municipal water resource recovery facilities for process-integrated biogas desulfurization</ns0:t>
        </ns0:is>
      </ns0:c>
      <ns0:c r="C474" s="2" t="inlineStr">
        <ns0:is>
          <ns0:t>10.1016/j.jwpe.2023.103643</ns0:t>
        </ns0:is>
      </ns0:c>
      <ns0:c r="D474" s="2" t="inlineStr">
        <ns0:is>
          <ns0:t>fulltext</ns0:t>
        </ns0:is>
      </ns0:c>
      <ns0:c r="E474" s="2" t="inlineStr">
        <ns0:is>
          <ns0:t>出版版（版式及版权文字）</ns0:t>
        </ns0:is>
      </ns0:c>
      <ns0:c r="F474" s="2" t="inlineStr">
        <ns0:is>
          <ns0:t>fulltext.pdf</ns0:t>
        </ns0:is>
      </ns0:c>
      <ns0:c r="G474" s="2" t="inlineStr">
        <ns0:is>
          <ns0:t>original_files/R09150/fulltext/fulltext__published__b7eeb59d669ea4ce.pdf</ns0:t>
        </ns0:is>
      </ns0:c>
      <ns0:c r="H474" s="2" t="inlineStr">
        <ns0:is>
          <ns0:t>local_upload</ns0:t>
        </ns0:is>
      </ns0:c>
      <ns0:c r="I474" s="2" t="inlineStr">
        <ns0:is>
          <ns0:t>localdownload/R09150/fulltext.pdf</ns0:t>
        </ns0:is>
      </ns0:c>
      <ns0:c r="J474" s="2" t="n">
        <ns0:v>3547427</ns0:v>
      </ns0:c>
      <ns0:c r="K474" s="2" t="inlineStr">
        <ns0:is>
          <ns0:t>b7eeb59d669ea4cebcb74979721e223d0a449c69b77de6e66e39e35f33c6dd1e</ns0:t>
        </ns0:is>
      </ns0:c>
      <ns0:c r="L474" s="2" t="inlineStr">
        <ns0:is>
          <ns0:t>identity_and_body_structure_verified</ns0:t>
        </ns0:is>
      </ns0:c>
      <ns0:c r="M474" s="2" t="inlineStr"/>
      <ns0:c r="N474" s="2" t="inlineStr">
        <ns0:is>
          <ns0:t>首页/前两页题名作者或目标DOI核对，全部页面解析及正文结构检查；不据文件名判全文。</ns0:t>
        </ns0:is>
      </ns0:c>
      <ns0:c r="O474" s="2" t="inlineStr">
        <ns0:is>
          <ns0:t>https://github.com/Colliam-Vermilion/FirstCodex/blob/results/ad-oxygen-literature-20261006/results/ad-oxygen-literature-20261006/original_files/R09150/fulltext/fulltext__published__b7eeb59d669ea4ce.pdf</ns0:t>
        </ns0:is>
      </ns0:c>
    </ns0:row>
    <ns0:row r="475" ht="48" customHeight="1">
      <ns0:c r="A475" s="3" t="inlineStr"/>
      <ns0:c r="B475" s="3" t="inlineStr"/>
      <ns0:c r="C475" s="3" t="inlineStr"/>
      <ns0:c r="D475" s="3" t="inlineStr">
        <ns0:is>
          <ns0:t>source_evidence</ns0:t>
        </ns0:is>
      </ns0:c>
      <ns0:c r="E475" s="3" t="inlineStr"/>
      <ns0:c r="F475" s="3" t="inlineStr">
        <ns0:is>
          <ns0:t>external_dataset_metadata_access.jsonl</ns0:t>
        </ns0:is>
      </ns0:c>
      <ns0:c r="G475" s="3" t="inlineStr">
        <ns0:is>
          <ns0:t>original_files/_project_evidence/evidence/source_evidence__b82f97eeb24db637.jsonl</ns0:t>
        </ns0:is>
      </ns0:c>
      <ns0:c r="H475" s="3" t="inlineStr">
        <ns0:is>
          <ns0:t>cloud_existing</ns0:t>
        </ns0:is>
      </ns0:c>
      <ns0:c r="I475" s="3" t="inlineStr">
        <ns0:is>
          <ns0:t>original_files/repository_followups_20261017/external_dataset_metadata_access.jsonl</ns0:t>
        </ns0:is>
      </ns0:c>
      <ns0:c r="J475" s="3" t="n">
        <ns0:v>1110</ns0:v>
      </ns0:c>
      <ns0:c r="K475" s="3" t="inlineStr">
        <ns0:is>
          <ns0:t>b82f97eeb24db637d6d86dc38c18b676cc39deb7e53b762134aacb173c61e96e</ns0:t>
        </ns0:is>
      </ns0:c>
      <ns0:c r="L475" s="3" t="inlineStr">
        <ns0:is>
          <ns0:t>text_readable</ns0:t>
        </ns0:is>
      </ns0:c>
      <ns0:c r="M475" s="3" t="inlineStr"/>
      <ns0:c r="N475" s="3" t="inlineStr"/>
      <ns0:c r="O475" s="3" t="inlineStr">
        <ns0:is>
          <ns0:t>https://github.com/Colliam-Vermilion/FirstCodex/blob/results/ad-oxygen-literature-20261006/results/ad-oxygen-literature-20261006/original_files/_project_evidence/evidence/source_evidence__b82f97eeb24db637.jsonl</ns0:t>
        </ns0:is>
      </ns0:c>
    </ns0:row>
    <ns0:row r="476" ht="48" customHeight="1">
      <ns0:c r="A476" s="2" t="inlineStr">
        <ns0:is>
          <ns0:t>R06623</ns0:t>
        </ns0:is>
      </ns0:c>
      <ns0:c r="B476" s="2" t="inlineStr">
        <ns0:is>
          <ns0:t>Effects of different microbial pretreatments on the anaerobic digestion of giant grass under anaerobic and microaerobic conditions</ns0:t>
        </ns0:is>
      </ns0:c>
      <ns0:c r="C476" s="2" t="inlineStr">
        <ns0:is>
          <ns0:t>10.1016/j.biortech.2021.125456</ns0:t>
        </ns0:is>
      </ns0:c>
      <ns0:c r="D476" s="2" t="inlineStr">
        <ns0:is>
          <ns0:t>fulltext</ns0:t>
        </ns0:is>
      </ns0:c>
      <ns0:c r="E476" s="2" t="inlineStr">
        <ns0:is>
          <ns0:t>出版版（版式及版权文字）</ns0:t>
        </ns0:is>
      </ns0:c>
      <ns0:c r="F476" s="2" t="inlineStr">
        <ns0:is>
          <ns0:t>fulltext.pdf</ns0:t>
        </ns0:is>
      </ns0:c>
      <ns0:c r="G476" s="2" t="inlineStr">
        <ns0:is>
          <ns0:t>original_files/R06623/fulltext/fulltext__published__b851282fe77da6cc.pdf</ns0:t>
        </ns0:is>
      </ns0:c>
      <ns0:c r="H476" s="2" t="inlineStr">
        <ns0:is>
          <ns0:t>local_upload</ns0:t>
        </ns0:is>
      </ns0:c>
      <ns0:c r="I476" s="2" t="inlineStr">
        <ns0:is>
          <ns0:t>localdownload/R06623/fulltext.pdf</ns0:t>
        </ns0:is>
      </ns0:c>
      <ns0:c r="J476" s="2" t="n">
        <ns0:v>6622462</ns0:v>
      </ns0:c>
      <ns0:c r="K476" s="2" t="inlineStr">
        <ns0:is>
          <ns0:t>b851282fe77da6ccf39c5318e71a79ee64fc907fb5d2fa9c1ea6be22263de409</ns0:t>
        </ns0:is>
      </ns0:c>
      <ns0:c r="L476" s="2" t="inlineStr">
        <ns0:is>
          <ns0:t>identity_and_body_structure_verified</ns0:t>
        </ns0:is>
      </ns0:c>
      <ns0:c r="M476" s="2" t="inlineStr"/>
      <ns0:c r="N476" s="2" t="inlineStr">
        <ns0:is>
          <ns0:t>首页/前两页题名作者或目标DOI核对，全部页面解析及正文结构检查；不据文件名判全文。</ns0:t>
        </ns0:is>
      </ns0:c>
      <ns0:c r="O476" s="2" t="inlineStr">
        <ns0:is>
          <ns0:t>https://github.com/Colliam-Vermilion/FirstCodex/blob/results/ad-oxygen-literature-20261006/results/ad-oxygen-literature-20261006/original_files/R06623/fulltext/fulltext__published__b851282fe77da6cc.pdf</ns0:t>
        </ns0:is>
      </ns0:c>
    </ns0:row>
    <ns0:row r="477" ht="48" customHeight="1">
      <ns0:c r="A477" s="3" t="inlineStr">
        <ns0:is>
          <ns0:t>R06611</ns0:t>
        </ns0:is>
      </ns0:c>
      <ns0:c r="B477" s="3" t="inlineStr">
        <ns0:is>
          <ns0:t>Effective pretreatment of lignocellulosic co-substrates using barley straw-adapted microbial consortia to enhanced biomethanation by anaerobic digestion</ns0:t>
        </ns0:is>
      </ns0:c>
      <ns0:c r="C477" s="3" t="inlineStr">
        <ns0:is>
          <ns0:t>10.1016/j.biortech.2020.124437</ns0:t>
        </ns0:is>
      </ns0:c>
      <ns0:c r="D477" s="3" t="inlineStr">
        <ns0:is>
          <ns0:t>fulltext</ns0:t>
        </ns0:is>
      </ns0:c>
      <ns0:c r="E477" s="3" t="inlineStr">
        <ns0:is>
          <ns0:t>作者接受稿（White Rose明确Accepted Version）</ns0:t>
        </ns0:is>
      </ns0:c>
      <ns0:c r="F477" s="3" t="inlineStr">
        <ns0:is>
          <ns0:t>R06611_2021_Effective_pretreatment_of_lignocellulosic_co-substrates_using_barley_straw-adapted_microbial.pdf</ns0:t>
        </ns0:is>
      </ns0:c>
      <ns0:c r="G477" s="3" t="inlineStr">
        <ns0:is>
          <ns0:t>original_files/R06611/fulltext/fulltext__accepted__b8eb8afdada2a2d0.pdf</ns0:t>
        </ns0:is>
      </ns0:c>
      <ns0:c r="H477" s="3" t="inlineStr">
        <ns0:is>
          <ns0:t>cloud_existing</ns0:t>
        </ns0:is>
      </ns0:c>
      <ns0:c r="I477" s="3" t="inlineStr">
        <ns0:is>
          <ns0:t>original_files/fulltext/R06611_2021_Effective_pretreatment_of_lignocellulosic_co-substrates_using_barley_straw-adapted_microbial.pdf</ns0:t>
        </ns0:is>
      </ns0:c>
      <ns0:c r="J477" s="3" t="n">
        <ns0:v>3320239</ns0:v>
      </ns0:c>
      <ns0:c r="K477" s="3" t="inlineStr">
        <ns0:is>
          <ns0:t>b8eb8afdada2a2d0d5151fd81489263cbfd0ccc3bbde8c5ca36a02af52cfa12f</ns0:t>
        </ns0:is>
      </ns0:c>
      <ns0:c r="L477" s="3" t="inlineStr">
        <ns0:is>
          <ns0:t>manual_identity_and_completeness_verified</ns0:t>
        </ns0:is>
      </ns0:c>
      <ns0:c r="M477" s="3" t="inlineStr"/>
      <ns0:c r="N477" s="3" t="inlineStr">
        <ns0:is>
          <ns0:t>White Rose封面明确Accepted Version，题名、作者、DOI一致。PDF 48页的论文部分为图像文字；OCR抽查pp.2,4,11,21,31,41,47,48，覆盖题名、Introduction、Methods、Results、References、图表与电子附件入口，确认正文完整。</ns0:t>
        </ns0:is>
      </ns0:c>
      <ns0:c r="O477" s="3" t="inlineStr">
        <ns0:is>
          <ns0:t>https://github.com/Colliam-Vermilion/FirstCodex/blob/results/ad-oxygen-literature-20261006/results/ad-oxygen-literature-20261006/original_files/R06611/fulltext/fulltext__accepted__b8eb8afdada2a2d0.pdf</ns0:t>
        </ns0:is>
      </ns0:c>
    </ns0:row>
    <ns0:row r="478" ht="48" customHeight="1">
      <ns0:c r="A478" s="2" t="inlineStr">
        <ns0:is>
          <ns0:t>R09682</ns0:t>
        </ns0:is>
      </ns0:c>
      <ns0:c r="B478" s="2" t="inlineStr">
        <ns0:is>
          <ns0:t>A Comprehensive Review of the Strategies to Improve Anaerobic Digestion: Their Mechanism and Digestion Performance</ns0:t>
        </ns0:is>
      </ns0:c>
      <ns0:c r="C478" s="2" t="inlineStr">
        <ns0:is>
          <ns0:t>10.3390/methane3020014</ns0:t>
        </ns0:is>
      </ns0:c>
      <ns0:c r="D478" s="2" t="inlineStr">
        <ns0:is>
          <ns0:t>fulltext</ns0:t>
        </ns0:is>
      </ns0:c>
      <ns0:c r="E478" s="2" t="inlineStr">
        <ns0:is>
          <ns0:t>出版版本（原页出版信息）</ns0:t>
        </ns0:is>
      </ns0:c>
      <ns0:c r="F478" s="2" t="inlineStr">
        <ns0:is>
          <ns0:t>R09682_2024_A_Comprehensive_Review_of_the_Strategies_to_Improve_Anaerobic.pdf</ns0:t>
        </ns0:is>
      </ns0:c>
      <ns0:c r="G478" s="2" t="inlineStr">
        <ns0:is>
          <ns0:t>original_files/R09682/fulltext/fulltext__published__b986126ef47edf9a.pdf</ns0:t>
        </ns0:is>
      </ns0:c>
      <ns0:c r="H478" s="2" t="inlineStr">
        <ns0:is>
          <ns0:t>cloud_existing</ns0:t>
        </ns0:is>
      </ns0:c>
      <ns0:c r="I478" s="2" t="inlineStr">
        <ns0:is>
          <ns0:t>original_files/fulltext/R09682_2024_A_Comprehensive_Review_of_the_Strategies_to_Improve_Anaerobic.pdf</ns0:t>
        </ns0:is>
      </ns0:c>
      <ns0:c r="J478" s="2" t="n">
        <ns0:v>4516270</ns0:v>
      </ns0:c>
      <ns0:c r="K478" s="2" t="inlineStr">
        <ns0:is>
          <ns0:t>b986126ef47edf9a964cf985ed174746641036ea2ca15614105d60aa13db7728</ns0:t>
        </ns0:is>
      </ns0:c>
      <ns0:c r="L478" s="2" t="inlineStr">
        <ns0:is>
          <ns0:t>identity_and_body_structure_verified</ns0:t>
        </ns0:is>
      </ns0:c>
      <ns0:c r="M478" s="2" t="inlineStr"/>
      <ns0:c r="N478" s="2" t="inlineStr">
        <ns0:is>
          <ns0:t>首页/前两页题名作者或目标DOI核对，全部页面解析及正文结构检查；不据文件名判全文。</ns0:t>
        </ns0:is>
      </ns0:c>
      <ns0:c r="O478" s="2" t="inlineStr">
        <ns0:is>
          <ns0:t>https://github.com/Colliam-Vermilion/FirstCodex/blob/results/ad-oxygen-literature-20261006/results/ad-oxygen-literature-20261006/original_files/R09682/fulltext/fulltext__published__b986126ef47edf9a.pdf</ns0:t>
        </ns0:is>
      </ns0:c>
    </ns0:row>
    <ns0:row r="479" ht="48" customHeight="1">
      <ns0:c r="A479" s="3" t="inlineStr">
        <ns0:is>
          <ns0:t>R05543</ns0:t>
        </ns0:is>
      </ns0:c>
      <ns0:c r="B479" s="3" t="inlineStr">
        <ns0:is>
          <ns0:t>Effect of micro-oxygen pretreatment on gas production characteristics of anaerobic digestion of kitchen waste</ns0:t>
        </ns0:is>
      </ns0:c>
      <ns0:c r="C479" s="3" t="inlineStr">
        <ns0:is>
          <ns0:t>10.1007/s10163-020-01072-9</ns0:t>
        </ns0:is>
      </ns0:c>
      <ns0:c r="D479" s="3" t="inlineStr">
        <ns0:is>
          <ns0:t>fulltext</ns0:t>
        </ns0:is>
      </ns0:c>
      <ns0:c r="E479" s="3" t="inlineStr">
        <ns0:is>
          <ns0:t>出版版（版式及版权文字）</ns0:t>
        </ns0:is>
      </ns0:c>
      <ns0:c r="F479" s="3" t="inlineStr">
        <ns0:is>
          <ns0:t>fulltext.pdf</ns0:t>
        </ns0:is>
      </ns0:c>
      <ns0:c r="G479" s="3" t="inlineStr">
        <ns0:is>
          <ns0:t>original_files/R05543/fulltext/fulltext__published__b9b6c6f484001832.pdf</ns0:t>
        </ns0:is>
      </ns0:c>
      <ns0:c r="H479" s="3" t="inlineStr">
        <ns0:is>
          <ns0:t>local_upload</ns0:t>
        </ns0:is>
      </ns0:c>
      <ns0:c r="I479" s="3" t="inlineStr">
        <ns0:is>
          <ns0:t>localdownload/R05543/fulltext.pdf</ns0:t>
        </ns0:is>
      </ns0:c>
      <ns0:c r="J479" s="3" t="n">
        <ns0:v>699651</ns0:v>
      </ns0:c>
      <ns0:c r="K479" s="3" t="inlineStr">
        <ns0:is>
          <ns0:t>b9b6c6f4840018324ed13892f9b0e35390e8ddbad76f3aab938611304261daed</ns0:t>
        </ns0:is>
      </ns0:c>
      <ns0:c r="L479" s="3" t="inlineStr">
        <ns0:is>
          <ns0:t>identity_and_body_structure_verified</ns0:t>
        </ns0:is>
      </ns0:c>
      <ns0:c r="M479" s="3" t="inlineStr"/>
      <ns0:c r="N479" s="3" t="inlineStr">
        <ns0:is>
          <ns0:t>首页/前两页题名作者或目标DOI核对，全部页面解析及正文结构检查；不据文件名判全文。</ns0:t>
        </ns0:is>
      </ns0:c>
      <ns0:c r="O479" s="3" t="inlineStr">
        <ns0:is>
          <ns0:t>https://github.com/Colliam-Vermilion/FirstCodex/blob/results/ad-oxygen-literature-20261006/results/ad-oxygen-literature-20261006/original_files/R05543/fulltext/fulltext__published__b9b6c6f484001832.pdf</ns0:t>
        </ns0:is>
      </ns0:c>
    </ns0:row>
    <ns0:row r="480" ht="48" customHeight="1">
      <ns0:c r="A480" s="2" t="inlineStr">
        <ns0:is>
          <ns0:t>R07105</ns0:t>
        </ns0:is>
      </ns0:c>
      <ns0:c r="B480" s="2" t="inlineStr">
        <ns0:is>
          <ns0:t>Recent advancements in nanobubble water technology and its application in energy recovery from organic solid wastes towards a greater environmental friendliness of anaerobic digestion system</ns0:t>
        </ns0:is>
      </ns0:c>
      <ns0:c r="C480" s="2" t="inlineStr">
        <ns0:is>
          <ns0:t>10.1016/j.rser.2021.111074</ns0:t>
        </ns0:is>
      </ns0:c>
      <ns0:c r="D480" s="2" t="inlineStr">
        <ns0:is>
          <ns0:t>fulltext</ns0:t>
        </ns0:is>
      </ns0:c>
      <ns0:c r="E480" s="2" t="inlineStr">
        <ns0:is>
          <ns0:t>出版版（版式及版权文字）</ns0:t>
        </ns0:is>
      </ns0:c>
      <ns0:c r="F480" s="2" t="inlineStr">
        <ns0:is>
          <ns0:t>fulltext.pdf</ns0:t>
        </ns0:is>
      </ns0:c>
      <ns0:c r="G480" s="2" t="inlineStr">
        <ns0:is>
          <ns0:t>original_files/R07105/fulltext/fulltext__published__b9b8bcdeb6fe7b82.pdf</ns0:t>
        </ns0:is>
      </ns0:c>
      <ns0:c r="H480" s="2" t="inlineStr">
        <ns0:is>
          <ns0:t>local_upload</ns0:t>
        </ns0:is>
      </ns0:c>
      <ns0:c r="I480" s="2" t="inlineStr">
        <ns0:is>
          <ns0:t>localdownload/R07105/fulltext.pdf</ns0:t>
        </ns0:is>
      </ns0:c>
      <ns0:c r="J480" s="2" t="n">
        <ns0:v>3234554</ns0:v>
      </ns0:c>
      <ns0:c r="K480" s="2" t="inlineStr">
        <ns0:is>
          <ns0:t>b9b8bcdeb6fe7b82d506818566112ed7bcb61810d156b9a3b39f97d3a97b94d3</ns0:t>
        </ns0:is>
      </ns0:c>
      <ns0:c r="L480" s="2" t="inlineStr">
        <ns0:is>
          <ns0:t>identity_and_body_structure_verified</ns0:t>
        </ns0:is>
      </ns0:c>
      <ns0:c r="M480" s="2" t="inlineStr"/>
      <ns0:c r="N480" s="2" t="inlineStr">
        <ns0:is>
          <ns0:t>首页/前两页题名作者或目标DOI核对，全部页面解析及正文结构检查；不据文件名判全文。</ns0:t>
        </ns0:is>
      </ns0:c>
      <ns0:c r="O480" s="2" t="inlineStr">
        <ns0:is>
          <ns0:t>https://github.com/Colliam-Vermilion/FirstCodex/blob/results/ad-oxygen-literature-20261006/results/ad-oxygen-literature-20261006/original_files/R07105/fulltext/fulltext__published__b9b8bcdeb6fe7b82.pdf</ns0:t>
        </ns0:is>
      </ns0:c>
    </ns0:row>
    <ns0:row r="481" ht="48" customHeight="1">
      <ns0:c r="A481" s="3" t="inlineStr">
        <ns0:is>
          <ns0:t>R04912</ns0:t>
        </ns0:is>
      </ns0:c>
      <ns0:c r="B481" s="3" t="inlineStr">
        <ns0:is>
          <ns0:t>KINETIC MODELLING OF GAS GENERATED FROM ANAEROBIC FERMENTATION OF KITCHEN WASTE WITH MICROAEROBIC PRETREATMENT</ns0:t>
        </ns0:is>
      </ns0:c>
      <ns0:c r="C481" s="3" t="inlineStr">
        <ns0:is>
          <ns0:t>10.15666/aeer/1705_1067110683</ns0:t>
        </ns0:is>
      </ns0:c>
      <ns0:c r="D481" s="3" t="inlineStr">
        <ns0:is>
          <ns0:t>fulltext</ns0:t>
        </ns0:is>
      </ns0:c>
      <ns0:c r="E481" s="3" t="inlineStr">
        <ns0:is>
          <ns0:t>出版版（版式及版权文字）</ns0:t>
        </ns0:is>
      </ns0:c>
      <ns0:c r="F481" s="3" t="inlineStr">
        <ns0:is>
          <ns0:t>fulltext.pdf</ns0:t>
        </ns0:is>
      </ns0:c>
      <ns0:c r="G481" s="3" t="inlineStr">
        <ns0:is>
          <ns0:t>original_files/R04912/fulltext/fulltext__published__ba09ba8854601318.pdf</ns0:t>
        </ns0:is>
      </ns0:c>
      <ns0:c r="H481" s="3" t="inlineStr">
        <ns0:is>
          <ns0:t>local_upload</ns0:t>
        </ns0:is>
      </ns0:c>
      <ns0:c r="I481" s="3" t="inlineStr">
        <ns0:is>
          <ns0:t>localdownload/R04912/fulltext.pdf</ns0:t>
        </ns0:is>
      </ns0:c>
      <ns0:c r="J481" s="3" t="n">
        <ns0:v>358486</ns0:v>
      </ns0:c>
      <ns0:c r="K481" s="3" t="inlineStr">
        <ns0:is>
          <ns0:t>ba09ba8854601318e3af61c59c8980e8022ec2a668e0c1f925cc16502a53081b</ns0:t>
        </ns0:is>
      </ns0:c>
      <ns0:c r="L481" s="3" t="inlineStr">
        <ns0:is>
          <ns0:t>identity_and_body_structure_verified</ns0:t>
        </ns0:is>
      </ns0:c>
      <ns0:c r="M481" s="3" t="inlineStr"/>
      <ns0:c r="N481" s="3" t="inlineStr">
        <ns0:is>
          <ns0:t>首页/前两页题名作者或目标DOI核对，全部页面解析及正文结构检查；不据文件名判全文。</ns0:t>
        </ns0:is>
      </ns0:c>
      <ns0:c r="O481" s="3" t="inlineStr">
        <ns0:is>
          <ns0:t>https://github.com/Colliam-Vermilion/FirstCodex/blob/results/ad-oxygen-literature-20261006/results/ad-oxygen-literature-20261006/original_files/R04912/fulltext/fulltext__published__ba09ba8854601318.pdf</ns0:t>
        </ns0:is>
      </ns0:c>
    </ns0:row>
    <ns0:row r="482" ht="48" customHeight="1">
      <ns0:c r="A482" s="2" t="inlineStr">
        <ns0:is>
          <ns0:t>R12129</ns0:t>
        </ns0:is>
      </ns0:c>
      <ns0:c r="B482" s="2" t="inlineStr">
        <ns0:is>
          <ns0:t>Recent Advances in Applying Nanobubbles for Enhanced Anaerobic Digestion: Fundamentals, Challenges, and Future Prospects</ns0:t>
        </ns0:is>
      </ns0:c>
      <ns0:c r="C482" s="2" t="inlineStr">
        <ns0:is>
          <ns0:t>10.1007/s12155-025-10889-x</ns0:t>
        </ns0:is>
      </ns0:c>
      <ns0:c r="D482" s="2" t="inlineStr">
        <ns0:is>
          <ns0:t>fulltext</ns0:t>
        </ns0:is>
      </ns0:c>
      <ns0:c r="E482" s="2" t="inlineStr">
        <ns0:is>
          <ns0:t>出版版（版式及版权文字）</ns0:t>
        </ns0:is>
      </ns0:c>
      <ns0:c r="F482" s="2" t="inlineStr">
        <ns0:is>
          <ns0:t>fulltext.pdf</ns0:t>
        </ns0:is>
      </ns0:c>
      <ns0:c r="G482" s="2" t="inlineStr">
        <ns0:is>
          <ns0:t>original_files/R12129/fulltext/fulltext__published__ba2e2116fbbed586.pdf</ns0:t>
        </ns0:is>
      </ns0:c>
      <ns0:c r="H482" s="2" t="inlineStr">
        <ns0:is>
          <ns0:t>local_upload</ns0:t>
        </ns0:is>
      </ns0:c>
      <ns0:c r="I482" s="2" t="inlineStr">
        <ns0:is>
          <ns0:t>localdownload/R12129/fulltext.pdf</ns0:t>
        </ns0:is>
      </ns0:c>
      <ns0:c r="J482" s="2" t="n">
        <ns0:v>2263021</ns0:v>
      </ns0:c>
      <ns0:c r="K482" s="2" t="inlineStr">
        <ns0:is>
          <ns0:t>ba2e2116fbbed5866dc428a159b2474afc16a7c5bf72753447e6a084e1dec84d</ns0:t>
        </ns0:is>
      </ns0:c>
      <ns0:c r="L482" s="2" t="inlineStr">
        <ns0:is>
          <ns0:t>identity_and_body_structure_verified</ns0:t>
        </ns0:is>
      </ns0:c>
      <ns0:c r="M482" s="2" t="inlineStr"/>
      <ns0:c r="N482" s="2" t="inlineStr">
        <ns0:is>
          <ns0:t>首页/前两页题名作者或目标DOI核对，全部页面解析及正文结构检查；不据文件名判全文。</ns0:t>
        </ns0:is>
      </ns0:c>
      <ns0:c r="O482" s="2" t="inlineStr">
        <ns0:is>
          <ns0:t>https://github.com/Colliam-Vermilion/FirstCodex/blob/results/ad-oxygen-literature-20261006/results/ad-oxygen-literature-20261006/original_files/R12129/fulltext/fulltext__published__ba2e2116fbbed586.pdf</ns0:t>
        </ns0:is>
      </ns0:c>
    </ns0:row>
    <ns0:row r="483" ht="48" customHeight="1">
      <ns0:c r="A483" s="3" t="inlineStr">
        <ns0:is>
          <ns0:t>R13861</ns0:t>
        </ns0:is>
      </ns0:c>
      <ns0:c r="B483" s="3" t="inlineStr">
        <ns0:is>
          <ns0:t>Enhanced removal of emerging micropollutants by applying microaeration to an anaerobic reactor</ns0:t>
        </ns0:is>
      </ns0:c>
      <ns0:c r="C483" s="3" t="inlineStr">
        <ns0:is>
          <ns0:t>10.1590/s1413-4152201920190030</ns0:t>
        </ns0:is>
      </ns0:c>
      <ns0:c r="D483" s="3" t="inlineStr">
        <ns0:is>
          <ns0:t>fulltext</ns0:t>
        </ns0:is>
      </ns0:c>
      <ns0:c r="E483" s="3" t="inlineStr">
        <ns0:is>
          <ns0:t>出版版本（原页出版信息）</ns0:t>
        </ns0:is>
      </ns0:c>
      <ns0:c r="F483" s="3" t="inlineStr">
        <ns0:is>
          <ns0:t>R13861_2019_Enhanced_removal_of_emerging_micropollutants_by_applying_microaeration_to.pdf</ns0:t>
        </ns0:is>
      </ns0:c>
      <ns0:c r="G483" s="3" t="inlineStr">
        <ns0:is>
          <ns0:t>original_files/R13861/fulltext/fulltext__published__ba6f44b77d79c4a0.pdf</ns0:t>
        </ns0:is>
      </ns0:c>
      <ns0:c r="H483" s="3" t="inlineStr">
        <ns0:is>
          <ns0:t>cloud_existing</ns0:t>
        </ns0:is>
      </ns0:c>
      <ns0:c r="I483" s="3" t="inlineStr">
        <ns0:is>
          <ns0:t>original_files/fulltext/R13861_2019_Enhanced_removal_of_emerging_micropollutants_by_applying_microaeration_to.pdf</ns0:t>
        </ns0:is>
      </ns0:c>
      <ns0:c r="J483" s="3" t="n">
        <ns0:v>433474</ns0:v>
      </ns0:c>
      <ns0:c r="K483" s="3" t="inlineStr">
        <ns0:is>
          <ns0:t>ba6f44b77d79c4a07ba08602860bcf1bdbb36cb47b4527fa9d1f087825e394d8</ns0:t>
        </ns0:is>
      </ns0:c>
      <ns0:c r="L483" s="3" t="inlineStr">
        <ns0:is>
          <ns0:t>identity_and_body_structure_verified</ns0:t>
        </ns0:is>
      </ns0:c>
      <ns0:c r="M483" s="3" t="inlineStr"/>
      <ns0:c r="N483" s="3" t="inlineStr">
        <ns0:is>
          <ns0:t>首页/前两页题名作者或目标DOI核对，全部页面解析及正文结构检查；不据文件名判全文。</ns0:t>
        </ns0:is>
      </ns0:c>
      <ns0:c r="O483" s="3" t="inlineStr">
        <ns0:is>
          <ns0:t>https://github.com/Colliam-Vermilion/FirstCodex/blob/results/ad-oxygen-literature-20261006/results/ad-oxygen-literature-20261006/original_files/R13861/fulltext/fulltext__published__ba6f44b77d79c4a0.pdf</ns0:t>
        </ns0:is>
      </ns0:c>
    </ns0:row>
    <ns0:row r="484" ht="48" customHeight="1">
      <ns0:c r="A484" s="2" t="inlineStr">
        <ns0:is>
          <ns0:t>R00430</ns0:t>
        </ns0:is>
      </ns0:c>
      <ns0:c r="B484" s="2" t="inlineStr">
        <ns0:is>
          <ns0:t>The role of the headspace in hydrogen sulfide removal during microaerobic digestion of sludge</ns0:t>
        </ns0:is>
      </ns0:c>
      <ns0:c r="C484" s="2" t="inlineStr">
        <ns0:is>
          <ns0:t>10.2166/wst.2012.457</ns0:t>
        </ns0:is>
      </ns0:c>
      <ns0:c r="D484" s="2" t="inlineStr">
        <ns0:is>
          <ns0:t>fulltext</ns0:t>
        </ns0:is>
      </ns0:c>
      <ns0:c r="E484" s="2" t="inlineStr">
        <ns0:is>
          <ns0:t>出版版（版式及版权文字）</ns0:t>
        </ns0:is>
      </ns0:c>
      <ns0:c r="F484" s="2" t="inlineStr">
        <ns0:is>
          <ns0:t>fulltext.pdf</ns0:t>
        </ns0:is>
      </ns0:c>
      <ns0:c r="G484" s="2" t="inlineStr">
        <ns0:is>
          <ns0:t>original_files/R00430/fulltext/fulltext__published__bac7ef01cee02f8e.pdf</ns0:t>
        </ns0:is>
      </ns0:c>
      <ns0:c r="H484" s="2" t="inlineStr">
        <ns0:is>
          <ns0:t>local_upload</ns0:t>
        </ns0:is>
      </ns0:c>
      <ns0:c r="I484" s="2" t="inlineStr">
        <ns0:is>
          <ns0:t>localdownload/R00430/fulltext.pdf</ns0:t>
        </ns0:is>
      </ns0:c>
      <ns0:c r="J484" s="2" t="n">
        <ns0:v>289984</ns0:v>
      </ns0:c>
      <ns0:c r="K484" s="2" t="inlineStr">
        <ns0:is>
          <ns0:t>bac7ef01cee02f8e8e3803711388379a942fba9ca7baee777a84e0ba50710e12</ns0:t>
        </ns0:is>
      </ns0:c>
      <ns0:c r="L484" s="2" t="inlineStr">
        <ns0:is>
          <ns0:t>identity_and_body_structure_verified</ns0:t>
        </ns0:is>
      </ns0:c>
      <ns0:c r="M484" s="2" t="inlineStr"/>
      <ns0:c r="N484" s="2" t="inlineStr">
        <ns0:is>
          <ns0:t>首页/前两页题名作者或目标DOI核对，全部页面解析及正文结构检查；不据文件名判全文。</ns0:t>
        </ns0:is>
      </ns0:c>
      <ns0:c r="O484" s="2" t="inlineStr">
        <ns0:is>
          <ns0:t>https://github.com/Colliam-Vermilion/FirstCodex/blob/results/ad-oxygen-literature-20261006/results/ad-oxygen-literature-20261006/original_files/R00430/fulltext/fulltext__published__bac7ef01cee02f8e.pdf</ns0:t>
        </ns0:is>
      </ns0:c>
    </ns0:row>
    <ns0:row r="485" ht="48" customHeight="1">
      <ns0:c r="A485" s="3" t="inlineStr">
        <ns0:is>
          <ns0:t>R04721</ns0:t>
        </ns0:is>
      </ns0:c>
      <ns0:c r="B485" s="3" t="inlineStr">
        <ns0:is>
          <ns0:t>Effects of Gas Supplying Patterns on Aerobic Anaerobic Biogas Production of Rice Straw</ns0:t>
        </ns0:is>
      </ns0:c>
      <ns0:c r="C485" s="3" t="inlineStr">
        <ns0:is>
          <ns0:t>10.2174/1574893613666180502112425</ns0:t>
        </ns0:is>
      </ns0:c>
      <ns0:c r="D485" s="3" t="inlineStr">
        <ns0:is>
          <ns0:t>uncertain</ns0:t>
        </ns0:is>
      </ns0:c>
      <ns0:c r="E485" s="3" t="inlineStr"/>
      <ns0:c r="F485" s="3" t="inlineStr">
        <ns0:is>
          <ns0:t>R04721_2019_Effects_of_Gas_Supplying_Patterns_on_Aerobic_Anaerobic_Biogas_Production_of_Rice_Straw_baf22465d3f7.pdf; R02863_2016_Transformations_Inhibition_and_Inhibition_Control_Methods_of_Sulfur_in_Sludge_Anaerobic_Digestion_A__baf22465d3f7.pdf; R13966_2015_Recent_Progress_on_Dry_Anaerobic_Digestion_of_Organic_Solid_Wastes_Achievements_and_Challenges_baf22465d3f7.pdf</ns0:t>
        </ns0:is>
      </ns0:c>
      <ns0:c r="G485" s="3" t="inlineStr">
        <ns0:is>
          <ns0:t>original_files/R04721/uncertain/uncertain__baf22465d3f7d634.pdf</ns0:t>
        </ns0:is>
      </ns0:c>
      <ns0:c r="H485" s="3" t="inlineStr">
        <ns0:is>
          <ns0:t>cloud_existing</ns0:t>
        </ns0:is>
      </ns0:c>
      <ns0:c r="I485" s="3" t="inlineStr">
        <ns0:is>
          <ns0:t>original_files/continuation_20261017/candidates/R04721_2019_Effects_of_Gas_Supplying_Patterns_on_Aerobic_Anaerobic_Biogas_Production_of_Rice_Straw_baf22465d3f7.pdf; original_files/continuation_20261017/candidates/R02863_2016_Transformations_Inhibition_and_Inhibition_Control_Methods_of_Sulfur_in_Sludge_Anaerobic_Digestion_A__baf22465d3f7.pdf; original_files/continuation_20261017/candidates/R13966_2015_Recent_Progress_on_Dry_Anaerobic_Digestion_of_Organic_Solid_Wastes_Achievements_and_Challenges_baf22465d3f7.pdf</ns0:t>
        </ns0:is>
      </ns0:c>
      <ns0:c r="J485" s="3" t="n">
        <ns0:v>2326413</ns0:v>
      </ns0:c>
      <ns0:c r="K485" s="3" t="inlineStr">
        <ns0:is>
          <ns0:t>baf22465d3f7d6346646fa15736585a628f057750c1b1e323207480c7efbb7c1</ns0:t>
        </ns0:is>
      </ns0:c>
      <ns0:c r="L485" s="3" t="inlineStr">
        <ns0:is>
          <ns0:t>historical_candidate_not_target_fulltext</ns0:t>
        </ns0:is>
      </ns0:c>
      <ns0:c r="M485" s="3" t="inlineStr"/>
      <ns0:c r="N485" s="3" t="inlineStr">
        <ns0:is>
          <ns0:t>历史候选抓取物：出版商目录/广告、期刊索引或检索页等，目标身份及正文不成立；原件保留，不计全文或科研补充材料。</ns0:t>
        </ns0:is>
      </ns0:c>
      <ns0:c r="O485" s="3" t="inlineStr">
        <ns0:is>
          <ns0:t>https://github.com/Colliam-Vermilion/FirstCodex/blob/results/ad-oxygen-literature-20261006/results/ad-oxygen-literature-20261006/original_files/R04721/uncertain/uncertain__baf22465d3f7d634.pdf</ns0:t>
        </ns0:is>
      </ns0:c>
    </ns0:row>
    <ns0:row r="486" ht="48" customHeight="1">
      <ns0:c r="A486" s="2" t="inlineStr">
        <ns0:is>
          <ns0:t>R11773</ns0:t>
        </ns0:is>
      </ns0:c>
      <ns0:c r="B486" s="2" t="inlineStr">
        <ns0:is>
          <ns0:t>Lab to large-scale applications of microaeration in anaerobic digestion: Biowaste digestibility, microbiome nexus, and reactor stability</ns0:t>
        </ns0:is>
      </ns0:c>
      <ns0:c r="C486" s="2" t="inlineStr">
        <ns0:is>
          <ns0:t>10.1016/j.jece.2025.117766</ns0:t>
        </ns0:is>
      </ns0:c>
      <ns0:c r="D486" s="2" t="inlineStr">
        <ns0:is>
          <ns0:t>supplementary</ns0:t>
        </ns0:is>
      </ns0:c>
      <ns0:c r="E486" s="2" t="inlineStr"/>
      <ns0:c r="F486" s="2" t="inlineStr">
        <ns0:is>
          <ns0:t>supplementary.docx</ns0:t>
        </ns0:is>
      </ns0:c>
      <ns0:c r="G486" s="2" t="inlineStr">
        <ns0:is>
          <ns0:t>original_files/R11773/supplementary/supplementary__baf8ea362538cfce.docx</ns0:t>
        </ns0:is>
      </ns0:c>
      <ns0:c r="H486" s="2" t="inlineStr">
        <ns0:is>
          <ns0:t>local_upload</ns0:t>
        </ns0:is>
      </ns0:c>
      <ns0:c r="I486" s="2" t="inlineStr">
        <ns0:is>
          <ns0:t>localdownload/R11773/supplementary.docx</ns0:t>
        </ns0:is>
      </ns0:c>
      <ns0:c r="J486" s="2" t="n">
        <ns0:v>270516</ns0:v>
      </ns0:c>
      <ns0:c r="K486" s="2" t="inlineStr">
        <ns0:is>
          <ns0:t>baf8ea362538cfceb40297763142ce605817ac418e34cc6b80a82109b087ae5f</ns0:t>
        </ns0:is>
      </ns0:c>
      <ns0:c r="L486" s="2" t="inlineStr">
        <ns0:is>
          <ns0:t>container_crc_verified</ns0:t>
        </ns0:is>
      </ns0:c>
      <ns0:c r="M486" s="2" t="inlineStr">
        <ns0:is>
          <ns0:t>title_in_attachment_verified</ns0:t>
        </ns0:is>
      </ns0:c>
      <ns0:c r="N486" s="2" t="inlineStr"/>
      <ns0:c r="O486" s="2" t="inlineStr">
        <ns0:is>
          <ns0:t>https://github.com/Colliam-Vermilion/FirstCodex/blob/results/ad-oxygen-literature-20261006/results/ad-oxygen-literature-20261006/original_files/R11773/supplementary/supplementary__baf8ea362538cfce.docx</ns0:t>
        </ns0:is>
      </ns0:c>
    </ns0:row>
    <ns0:row r="487" ht="48" customHeight="1">
      <ns0:c r="A487" s="3" t="inlineStr">
        <ns0:is>
          <ns0:t>R13903</ns0:t>
        </ns0:is>
      </ns0:c>
      <ns0:c r="B487" s="3" t="inlineStr">
        <ns0:is>
          <ns0:t>Effect of vacuum negative pressure aerobic hydrolysis pretreatment on corn stover anaerobic fermentation</ns0:t>
        </ns0:is>
      </ns0:c>
      <ns0:c r="C487" s="3" t="inlineStr">
        <ns0:is>
          <ns0:t>10.25165/j.ijabe.20231602.7975</ns0:t>
        </ns0:is>
      </ns0:c>
      <ns0:c r="D487" s="3" t="inlineStr">
        <ns0:is>
          <ns0:t>source_evidence</ns0:t>
        </ns0:is>
      </ns0:c>
      <ns0:c r="E487" s="3" t="inlineStr"/>
      <ns0:c r="F487" s="3" t="inlineStr">
        <ns0:is>
          <ns0:t>publisher_article_page_20261017.html</ns0:t>
        </ns0:is>
      </ns0:c>
      <ns0:c r="G487" s="3" t="inlineStr">
        <ns0:is>
          <ns0:t>original_files/R13903/evidence/source_evidence__bb1f29b7e4332099.html</ns0:t>
        </ns0:is>
      </ns0:c>
      <ns0:c r="H487" s="3" t="inlineStr">
        <ns0:is>
          <ns0:t>cloud_existing</ns0:t>
        </ns0:is>
      </ns0:c>
      <ns0:c r="I487" s="3" t="inlineStr">
        <ns0:is>
          <ns0:t>original_files/source_evidence/R13903/publisher_article_page_20261017.html</ns0:t>
        </ns0:is>
      </ns0:c>
      <ns0:c r="J487" s="3" t="n">
        <ns0:v>49041</ns0:v>
      </ns0:c>
      <ns0:c r="K487" s="3" t="inlineStr">
        <ns0:is>
          <ns0:t>bb1f29b7e43320999fe771015f0bb59c1118a6340ef9f75da5007587f5e4a471</ns0:t>
        </ns0:is>
      </ns0:c>
      <ns0:c r="L487" s="3" t="inlineStr">
        <ns0:is>
          <ns0:t>text_readable</ns0:t>
        </ns0:is>
      </ns0:c>
      <ns0:c r="M487" s="3" t="inlineStr"/>
      <ns0:c r="N487" s="3" t="inlineStr"/>
      <ns0:c r="O487" s="3" t="inlineStr">
        <ns0:is>
          <ns0:t>https://github.com/Colliam-Vermilion/FirstCodex/blob/results/ad-oxygen-literature-20261006/results/ad-oxygen-literature-20261006/original_files/R13903/evidence/source_evidence__bb1f29b7e4332099.html</ns0:t>
        </ns0:is>
      </ns0:c>
    </ns0:row>
    <ns0:row r="488" ht="48" customHeight="1">
      <ns0:c r="A488" s="2" t="inlineStr">
        <ns0:is>
          <ns0:t>R12874</ns0:t>
        </ns0:is>
      </ns0:c>
      <ns0:c r="B488" s="2" t="inlineStr">
        <ns0:is>
          <ns0:t>Effect of process-based strategies on anaerobic digestion of 3D-printing-derived polylactic acid: biogas production and mechanistic interpretation</ns0:t>
        </ns0:is>
      </ns0:c>
      <ns0:c r="C488" s="2" t="inlineStr">
        <ns0:is>
          <ns0:t>10.1016/j.biombioe.2026.109636</ns0:t>
        </ns0:is>
      </ns0:c>
      <ns0:c r="D488" s="2" t="inlineStr">
        <ns0:is>
          <ns0:t>fulltext</ns0:t>
        </ns0:is>
      </ns0:c>
      <ns0:c r="E488" s="2" t="inlineStr">
        <ns0:is>
          <ns0:t>出版版（版式及版权文字）</ns0:t>
        </ns0:is>
      </ns0:c>
      <ns0:c r="F488" s="2" t="inlineStr">
        <ns0:is>
          <ns0:t>fulltext.pdf</ns0:t>
        </ns0:is>
      </ns0:c>
      <ns0:c r="G488" s="2" t="inlineStr">
        <ns0:is>
          <ns0:t>original_files/R12874/fulltext/fulltext__published__bb8bdf93034b5c2c.pdf</ns0:t>
        </ns0:is>
      </ns0:c>
      <ns0:c r="H488" s="2" t="inlineStr">
        <ns0:is>
          <ns0:t>local_upload</ns0:t>
        </ns0:is>
      </ns0:c>
      <ns0:c r="I488" s="2" t="inlineStr">
        <ns0:is>
          <ns0:t>localdownload/R12874/fulltext.pdf</ns0:t>
        </ns0:is>
      </ns0:c>
      <ns0:c r="J488" s="2" t="n">
        <ns0:v>4745659</ns0:v>
      </ns0:c>
      <ns0:c r="K488" s="2" t="inlineStr">
        <ns0:is>
          <ns0:t>bb8bdf93034b5c2c6f2535f87e985bac71db76d430987aff0438fe9509668da3</ns0:t>
        </ns0:is>
      </ns0:c>
      <ns0:c r="L488" s="2" t="inlineStr">
        <ns0:is>
          <ns0:t>identity_and_body_structure_verified</ns0:t>
        </ns0:is>
      </ns0:c>
      <ns0:c r="M488" s="2" t="inlineStr"/>
      <ns0:c r="N488" s="2" t="inlineStr">
        <ns0:is>
          <ns0:t>首页/前两页题名作者或目标DOI核对，全部页面解析及正文结构检查；不据文件名判全文。</ns0:t>
        </ns0:is>
      </ns0:c>
      <ns0:c r="O488" s="2" t="inlineStr">
        <ns0:is>
          <ns0:t>https://github.com/Colliam-Vermilion/FirstCodex/blob/results/ad-oxygen-literature-20261006/results/ad-oxygen-literature-20261006/original_files/R12874/fulltext/fulltext__published__bb8bdf93034b5c2c.pdf</ns0:t>
        </ns0:is>
      </ns0:c>
    </ns0:row>
    <ns0:row r="489" ht="48" customHeight="1">
      <ns0:c r="A489" s="3" t="inlineStr">
        <ns0:is>
          <ns0:t>R13893</ns0:t>
        </ns0:is>
      </ns0:c>
      <ns0:c r="B489" s="3" t="inlineStr">
        <ns0:is>
          <ns0:t>Alleviation of volatile fatty acids inhibition in anaerobic digestion of swine manure with nano-bubble water supplementation</ns0:t>
        </ns0:is>
      </ns0:c>
      <ns0:c r="C489" s="3" t="inlineStr">
        <ns0:is>
          <ns0:t>10.1016/j.biortech.2024.131304</ns0:t>
        </ns0:is>
      </ns0:c>
      <ns0:c r="D489" s="3" t="inlineStr">
        <ns0:is>
          <ns0:t>fulltext</ns0:t>
        </ns0:is>
      </ns0:c>
      <ns0:c r="E489" s="3" t="inlineStr">
        <ns0:is>
          <ns0:t>出版版（版式及版权文字）</ns0:t>
        </ns0:is>
      </ns0:c>
      <ns0:c r="F489" s="3" t="inlineStr">
        <ns0:is>
          <ns0:t>fulltext.pdf</ns0:t>
        </ns0:is>
      </ns0:c>
      <ns0:c r="G489" s="3" t="inlineStr">
        <ns0:is>
          <ns0:t>original_files/R13893/fulltext/fulltext__published__bbd65f61b2c8443e.pdf</ns0:t>
        </ns0:is>
      </ns0:c>
      <ns0:c r="H489" s="3" t="inlineStr">
        <ns0:is>
          <ns0:t>local_upload</ns0:t>
        </ns0:is>
      </ns0:c>
      <ns0:c r="I489" s="3" t="inlineStr">
        <ns0:is>
          <ns0:t>localdownload/R13893/fulltext.pdf</ns0:t>
        </ns0:is>
      </ns0:c>
      <ns0:c r="J489" s="3" t="n">
        <ns0:v>2031169</ns0:v>
      </ns0:c>
      <ns0:c r="K489" s="3" t="inlineStr">
        <ns0:is>
          <ns0:t>bbd65f61b2c8443ec80cbb014b901c0cbfdb5faaaf5daf16cbd6b9ad2fad2e19</ns0:t>
        </ns0:is>
      </ns0:c>
      <ns0:c r="L489" s="3" t="inlineStr">
        <ns0:is>
          <ns0:t>identity_and_body_structure_verified</ns0:t>
        </ns0:is>
      </ns0:c>
      <ns0:c r="M489" s="3" t="inlineStr"/>
      <ns0:c r="N489" s="3" t="inlineStr">
        <ns0:is>
          <ns0:t>首页/前两页题名作者或目标DOI核对，全部页面解析及正文结构检查；不据文件名判全文。</ns0:t>
        </ns0:is>
      </ns0:c>
      <ns0:c r="O489" s="3" t="inlineStr">
        <ns0:is>
          <ns0:t>https://github.com/Colliam-Vermilion/FirstCodex/blob/results/ad-oxygen-literature-20261006/results/ad-oxygen-literature-20261006/original_files/R13893/fulltext/fulltext__published__bbd65f61b2c8443e.pdf</ns0:t>
        </ns0:is>
      </ns0:c>
    </ns0:row>
    <ns0:row r="490" ht="48" customHeight="1">
      <ns0:c r="A490" s="2" t="inlineStr">
        <ns0:is>
          <ns0:t>R08387</ns0:t>
        </ns0:is>
      </ns0:c>
      <ns0:c r="B490" s="2" t="inlineStr">
        <ns0:is>
          <ns0:t>The combination of aerobic and microaerobic promote hydrolysis and acidification of rice straw and pig manure: Balance of insoluble and soluble substrate</ns0:t>
        </ns0:is>
      </ns0:c>
      <ns0:c r="C490" s="2" t="inlineStr">
        <ns0:is>
          <ns0:t>10.1016/j.biortech.2022.126880</ns0:t>
        </ns0:is>
      </ns0:c>
      <ns0:c r="D490" s="2" t="inlineStr">
        <ns0:is>
          <ns0:t>supplementary</ns0:t>
        </ns0:is>
      </ns0:c>
      <ns0:c r="E490" s="2" t="inlineStr"/>
      <ns0:c r="F490" s="2" t="inlineStr">
        <ns0:is>
          <ns0:t>supplementary.docx</ns0:t>
        </ns0:is>
      </ns0:c>
      <ns0:c r="G490" s="2" t="inlineStr">
        <ns0:is>
          <ns0:t>original_files/R08387/supplementary/supplementary__bc3ec873784fd554.docx</ns0:t>
        </ns0:is>
      </ns0:c>
      <ns0:c r="H490" s="2" t="inlineStr">
        <ns0:is>
          <ns0:t>local_upload</ns0:t>
        </ns0:is>
      </ns0:c>
      <ns0:c r="I490" s="2" t="inlineStr">
        <ns0:is>
          <ns0:t>localdownload/R08387/supplementary.docx</ns0:t>
        </ns0:is>
      </ns0:c>
      <ns0:c r="J490" s="2" t="n">
        <ns0:v>10751905</ns0:v>
      </ns0:c>
      <ns0:c r="K490" s="2" t="inlineStr">
        <ns0:is>
          <ns0:t>bc3ec873784fd5548ba486031e4de8d8c4f83ae0ae567a55986d47af4025e0a9</ns0:t>
        </ns0:is>
      </ns0:c>
      <ns0:c r="L490" s="2" t="inlineStr">
        <ns0:is>
          <ns0:t>container_crc_verified</ns0:t>
        </ns0:is>
      </ns0:c>
      <ns0:c r="M490" s="2" t="inlineStr">
        <ns0:is>
          <ns0:t>title_in_attachment_verified</ns0:t>
        </ns0:is>
      </ns0:c>
      <ns0:c r="N490" s="2" t="inlineStr"/>
      <ns0:c r="O490" s="2" t="inlineStr">
        <ns0:is>
          <ns0:t>https://github.com/Colliam-Vermilion/FirstCodex/blob/results/ad-oxygen-literature-20261006/results/ad-oxygen-literature-20261006/original_files/R08387/supplementary/supplementary__bc3ec873784fd554.docx</ns0:t>
        </ns0:is>
      </ns0:c>
    </ns0:row>
    <ns0:row r="491" ht="48" customHeight="1">
      <ns0:c r="A491" s="3" t="inlineStr">
        <ns0:is>
          <ns0:t>R13928</ns0:t>
        </ns0:is>
      </ns0:c>
      <ns0:c r="B491" s="3" t="inlineStr">
        <ns0:is>
          <ns0:t>The impact of aerobic pretreatment of agro and industrial wastes on their biomethanation potential in Nisargruna technology</ns0:t>
        </ns0:is>
      </ns0:c>
      <ns0:c r="C491" s="3" t="inlineStr">
        <ns0:is>
          <ns0:t>10.38150/sajeb.11(5).p548-556</ns0:t>
        </ns0:is>
      </ns0:c>
      <ns0:c r="D491" s="3" t="inlineStr">
        <ns0:is>
          <ns0:t>uncertain</ns0:t>
        </ns0:is>
      </ns0:c>
      <ns0:c r="E491" s="3" t="inlineStr"/>
      <ns0:c r="F491" s="3" t="inlineStr">
        <ns0:is>
          <ns0:t>R13928_2021_The_impact_of_aerobic_pretreatment_of_agro_and_industrial_wastes_on_their_biomethanation_potential_i_bc45c41b0611.pdf</ns0:t>
        </ns0:is>
      </ns0:c>
      <ns0:c r="G491" s="3" t="inlineStr">
        <ns0:is>
          <ns0:t>original_files/R13928/uncertain/uncertain__bc45c41b0611bb7a.pdf</ns0:t>
        </ns0:is>
      </ns0:c>
      <ns0:c r="H491" s="3" t="inlineStr">
        <ns0:is>
          <ns0:t>cloud_existing</ns0:t>
        </ns0:is>
      </ns0:c>
      <ns0:c r="I491" s="3" t="inlineStr">
        <ns0:is>
          <ns0:t>original_files/continuation_20261017/candidates/R13928_2021_The_impact_of_aerobic_pretreatment_of_agro_and_industrial_wastes_on_their_biomethanation_potential_i_bc45c41b0611.pdf</ns0:t>
        </ns0:is>
      </ns0:c>
      <ns0:c r="J491" s="3" t="n">
        <ns0:v>558948</ns0:v>
      </ns0:c>
      <ns0:c r="K491" s="3" t="inlineStr">
        <ns0:is>
          <ns0:t>bc45c41b0611bb7a02e2e55ceda1ff3d435ecbe07b1a773c1551377afbba8005</ns0:t>
        </ns0:is>
      </ns0:c>
      <ns0:c r="L491" s="3" t="inlineStr">
        <ns0:is>
          <ns0:t>historical_candidate_not_target_fulltext</ns0:t>
        </ns0:is>
      </ns0:c>
      <ns0:c r="M491" s="3" t="inlineStr"/>
      <ns0:c r="N491" s="3" t="inlineStr">
        <ns0:is>
          <ns0:t>历史候选抓取物：出版商目录/广告、期刊索引或检索页等，目标身份及正文不成立；原件保留，不计全文或科研补充材料。</ns0:t>
        </ns0:is>
      </ns0:c>
      <ns0:c r="O491" s="3" t="inlineStr">
        <ns0:is>
          <ns0:t>https://github.com/Colliam-Vermilion/FirstCodex/blob/results/ad-oxygen-literature-20261006/results/ad-oxygen-literature-20261006/original_files/R13928/uncertain/uncertain__bc45c41b0611bb7a.pdf</ns0:t>
        </ns0:is>
      </ns0:c>
    </ns0:row>
    <ns0:row r="492" ht="48" customHeight="1">
      <ns0:c r="A492" s="2" t="inlineStr">
        <ns0:is>
          <ns0:t>R05213</ns0:t>
        </ns0:is>
      </ns0:c>
      <ns0:c r="B492" s="2" t="inlineStr">
        <ns0:is>
          <ns0:t>The use of lytic polysaccharide monooxygenases in anaerobic digestion of lignocellulosic materials</ns0:t>
        </ns0:is>
      </ns0:c>
      <ns0:c r="C492" s="2" t="inlineStr">
        <ns0:is>
          <ns0:t>10.1186/s13068-019-1611-8</ns0:t>
        </ns0:is>
      </ns0:c>
      <ns0:c r="D492" s="2" t="inlineStr">
        <ns0:is>
          <ns0:t>fulltext</ns0:t>
        </ns0:is>
      </ns0:c>
      <ns0:c r="E492" s="2" t="inlineStr">
        <ns0:is>
          <ns0:t>出版版本（原页出版信息）</ns0:t>
        </ns0:is>
      </ns0:c>
      <ns0:c r="F492" s="2" t="inlineStr">
        <ns0:is>
          <ns0:t>R05213_2019_The_use_of_lytic_polysaccharide_monooxygenases_in_anaerobic_digestion.pdf</ns0:t>
        </ns0:is>
      </ns0:c>
      <ns0:c r="G492" s="2" t="inlineStr">
        <ns0:is>
          <ns0:t>original_files/R05213/fulltext/fulltext__published__bcab84a15ce93062.pdf</ns0:t>
        </ns0:is>
      </ns0:c>
      <ns0:c r="H492" s="2" t="inlineStr">
        <ns0:is>
          <ns0:t>cloud_existing</ns0:t>
        </ns0:is>
      </ns0:c>
      <ns0:c r="I492" s="2" t="inlineStr">
        <ns0:is>
          <ns0:t>original_files/fulltext/R05213_2019_The_use_of_lytic_polysaccharide_monooxygenases_in_anaerobic_digestion.pdf</ns0:t>
        </ns0:is>
      </ns0:c>
      <ns0:c r="J492" s="2" t="n">
        <ns0:v>1022660</ns0:v>
      </ns0:c>
      <ns0:c r="K492" s="2" t="inlineStr">
        <ns0:is>
          <ns0:t>bcab84a15ce930626c5a8f88083f5a7bb857b403c5e0ba13af2f6aaed379f051</ns0:t>
        </ns0:is>
      </ns0:c>
      <ns0:c r="L492" s="2" t="inlineStr">
        <ns0:is>
          <ns0:t>identity_and_body_structure_verified</ns0:t>
        </ns0:is>
      </ns0:c>
      <ns0:c r="M492" s="2" t="inlineStr"/>
      <ns0:c r="N492" s="2" t="inlineStr">
        <ns0:is>
          <ns0:t>首页/前两页题名作者或目标DOI核对，全部页面解析及正文结构检查；不据文件名判全文。</ns0:t>
        </ns0:is>
      </ns0:c>
      <ns0:c r="O492" s="2" t="inlineStr">
        <ns0:is>
          <ns0:t>https://github.com/Colliam-Vermilion/FirstCodex/blob/results/ad-oxygen-literature-20261006/results/ad-oxygen-literature-20261006/original_files/R05213/fulltext/fulltext__published__bcab84a15ce93062.pdf</ns0:t>
        </ns0:is>
      </ns0:c>
    </ns0:row>
    <ns0:row r="493" ht="48" customHeight="1">
      <ns0:c r="A493" s="3" t="inlineStr">
        <ns0:is>
          <ns0:t>R03518</ns0:t>
        </ns0:is>
      </ns0:c>
      <ns0:c r="B493" s="3" t="inlineStr">
        <ns0:is>
          <ns0:t>Short-term pre-aeration applied to the dry anaerobic digestion of MSW, with a focus on the spectroscopic characteristics of dissolved organic matter</ns0:t>
        </ns0:is>
      </ns0:c>
      <ns0:c r="C493" s="3" t="inlineStr">
        <ns0:is>
          <ns0:t>10.1016/j.cej.2016.11.020</ns0:t>
        </ns0:is>
      </ns0:c>
      <ns0:c r="D493" s="3" t="inlineStr">
        <ns0:is>
          <ns0:t>supplementary</ns0:t>
        </ns0:is>
      </ns0:c>
      <ns0:c r="E493" s="3" t="inlineStr"/>
      <ns0:c r="F493" s="3" t="inlineStr">
        <ns0:is>
          <ns0:t>suppelmentary.docx</ns0:t>
        </ns0:is>
      </ns0:c>
      <ns0:c r="G493" s="3" t="inlineStr">
        <ns0:is>
          <ns0:t>original_files/R03518/supplementary/supplementary__be818d1094ea8d29.docx</ns0:t>
        </ns0:is>
      </ns0:c>
      <ns0:c r="H493" t="inlineStr">
        <ns0:is>
          <ns0:t>local_upload; main@ab8353c误传副本</ns0:t>
        </ns0:is>
      </ns0:c>
      <ns0:c r="I493" t="inlineStr">
        <ns0:is>
          <ns0:t>localdownload/R03518/suppelmentary.docx; main@ab8353c:R03518/suppelmentary.docx</ns0:t>
        </ns0:is>
      </ns0:c>
      <ns0:c r="J493" s="3" t="n">
        <ns0:v>2651140</ns0:v>
      </ns0:c>
      <ns0:c r="K493" s="3" t="inlineStr">
        <ns0:is>
          <ns0:t>be818d1094ea8d2923262b22fae68207e53b62fb804db043c45a43353bd3112e</ns0:t>
        </ns0:is>
      </ns0:c>
      <ns0:c r="L493" s="3" t="inlineStr">
        <ns0:is>
          <ns0:t>container_crc_verified</ns0:t>
        </ns0:is>
      </ns0:c>
      <ns0:c r="M493" s="3" t="inlineStr">
        <ns0:is>
          <ns0:t>directory_and_content_consistent_identity_pending</ns0:t>
        </ns0:is>
      </ns0:c>
      <ns0:c r="N493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93" s="3" t="inlineStr">
        <ns0:is>
          <ns0:t>https://github.com/Colliam-Vermilion/FirstCodex/blob/results/ad-oxygen-literature-20261006/results/ad-oxygen-literature-20261006/original_files/R03518/supplementary/supplementary__be818d1094ea8d29.docx</ns0:t>
        </ns0:is>
      </ns0:c>
    </ns0:row>
    <ns0:row r="494" ht="48" customHeight="1">
      <ns0:c r="A494" s="2" t="inlineStr">
        <ns0:is>
          <ns0:t>R13826</ns0:t>
        </ns0:is>
      </ns0:c>
      <ns0:c r="B494" s="2" t="inlineStr">
        <ns0:is>
          <ns0:t>Semi-aerobic fermentation as a novel pre-treatment to obtain VFA and increase methane yield from primary sludge</ns0:t>
        </ns0:is>
      </ns0:c>
      <ns0:c r="C494" s="2" t="inlineStr">
        <ns0:is>
          <ns0:t>10.1016/j.biortech.2015.10.085</ns0:t>
        </ns0:is>
      </ns0:c>
      <ns0:c r="D494" s="2" t="inlineStr">
        <ns0:is>
          <ns0:t>supplementary</ns0:t>
        </ns0:is>
      </ns0:c>
      <ns0:c r="E494" s="2" t="inlineStr"/>
      <ns0:c r="F494" s="2" t="inlineStr">
        <ns0:is>
          <ns0:t>supplementary.pdf</ns0:t>
        </ns0:is>
      </ns0:c>
      <ns0:c r="G494" s="2" t="inlineStr">
        <ns0:is>
          <ns0:t>original_files/R13826/supplementary/supplementary__bed7252f1b3a2196.pdf</ns0:t>
        </ns0:is>
      </ns0:c>
      <ns0:c r="H494" s="2" t="inlineStr">
        <ns0:is>
          <ns0:t>local_upload</ns0:t>
        </ns0:is>
      </ns0:c>
      <ns0:c r="I494" s="2" t="inlineStr">
        <ns0:is>
          <ns0:t>localdownload/R13826/supplementary.pdf</ns0:t>
        </ns0:is>
      </ns0:c>
      <ns0:c r="J494" s="2" t="n">
        <ns0:v>1305226</ns0:v>
      </ns0:c>
      <ns0:c r="K494" s="2" t="inlineStr">
        <ns0:is>
          <ns0:t>bed7252f1b3a2196b87bc9c79490bacc4ac198a6350c76d62611c19d47cd9262</ns0:t>
        </ns0:is>
      </ns0:c>
      <ns0:c r="L494" s="2" t="inlineStr">
        <ns0:is>
          <ns0:t>pdf_readable_requires_role_review</ns0:t>
        </ns0:is>
      </ns0:c>
      <ns0:c r="M494" s="2" t="inlineStr">
        <ns0:is>
          <ns0:t>directory_and_content_consistent_identity_pending</ns0:t>
        </ns0:is>
      </ns0:c>
      <ns0:c r="N494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494" s="2" t="inlineStr">
        <ns0:is>
          <ns0:t>https://github.com/Colliam-Vermilion/FirstCodex/blob/results/ad-oxygen-literature-20261006/results/ad-oxygen-literature-20261006/original_files/R13826/supplementary/supplementary__bed7252f1b3a2196.pdf</ns0:t>
        </ns0:is>
      </ns0:c>
    </ns0:row>
    <ns0:row r="495" ht="48" customHeight="1">
      <ns0:c r="A495" s="3" t="inlineStr">
        <ns0:is>
          <ns0:t>R02319</ns0:t>
        </ns0:is>
      </ns0:c>
      <ns0:c r="B495" s="3" t="inlineStr">
        <ns0:is>
          <ns0:t>Assessment of Sludge Solubilization by Aeration and Zero-valent Iron As a Pre-treatment for Anaerobic Digestion</ns0:t>
        </ns0:is>
      </ns0:c>
      <ns0:c r="C495" s="3" t="inlineStr">
        <ns0:is>
          <ns0:t>10.17137/korrae.2016.24.3.53</ns0:t>
        </ns0:is>
      </ns0:c>
      <ns0:c r="D495" s="3" t="inlineStr">
        <ns0:is>
          <ns0:t>fulltext</ns0:t>
        </ns0:is>
      </ns0:c>
      <ns0:c r="E495" s="3" t="inlineStr">
        <ns0:is>
          <ns0:t>版本待核实</ns0:t>
        </ns0:is>
      </ns0:c>
      <ns0:c r="F495" s="3" t="inlineStr">
        <ns0:is>
          <ns0:t>fulltext.pdf</ns0:t>
        </ns0:is>
      </ns0:c>
      <ns0:c r="G495" s="3" t="inlineStr">
        <ns0:is>
          <ns0:t>original_files/R02319/fulltext/fulltext__version_unverified__bee09adb76fa2153.pdf</ns0:t>
        </ns0:is>
      </ns0:c>
      <ns0:c r="H495" t="inlineStr">
        <ns0:is>
          <ns0:t>local_upload; main@ab8353c误传副本</ns0:t>
        </ns0:is>
      </ns0:c>
      <ns0:c r="I495" t="inlineStr">
        <ns0:is>
          <ns0:t>localdownload/R02319/fulltext.pdf; main@ab8353c:R02319/fulltext.pdf</ns0:t>
        </ns0:is>
      </ns0:c>
      <ns0:c r="J495" s="3" t="n">
        <ns0:v>569733</ns0:v>
      </ns0:c>
      <ns0:c r="K495" s="3" t="inlineStr">
        <ns0:is>
          <ns0:t>bee09adb76fa2153dc6e51c04da98c6fffe6fd38c643452173fd1dc3341370e0</ns0:t>
        </ns0:is>
      </ns0:c>
      <ns0:c r="L495" s="3" t="inlineStr">
        <ns0:is>
          <ns0:t>identity_and_body_structure_verified</ns0:t>
        </ns0:is>
      </ns0:c>
      <ns0:c r="M495" s="3" t="inlineStr"/>
      <ns0:c r="N495" s="3" t="inlineStr">
        <ns0:is>
          <ns0:t>首页/前两页题名作者或目标DOI核对，全部页面解析及正文结构检查；不据文件名判全文。</ns0:t>
        </ns0:is>
      </ns0:c>
      <ns0:c r="O495" s="3" t="inlineStr">
        <ns0:is>
          <ns0:t>https://github.com/Colliam-Vermilion/FirstCodex/blob/results/ad-oxygen-literature-20261006/results/ad-oxygen-literature-20261006/original_files/R02319/fulltext/fulltext__version_unverified__bee09adb76fa2153.pdf</ns0:t>
        </ns0:is>
      </ns0:c>
    </ns0:row>
    <ns0:row r="496" ht="48" customHeight="1">
      <ns0:c r="A496" s="2" t="inlineStr">
        <ns0:is>
          <ns0:t>R13962</ns0:t>
        </ns0:is>
      </ns0:c>
      <ns0:c r="B496" s="2" t="inlineStr">
        <ns0:is>
          <ns0:t>Evaluation of single vs. staged mesophilic anaerobic digestion of kitchen waste with and without microwave pretreatment</ns0:t>
        </ns0:is>
      </ns0:c>
      <ns0:c r="C496" s="2" t="inlineStr">
        <ns0:is>
          <ns0:t>10.1016/j.jenvman.2013.03.042</ns0:t>
        </ns0:is>
      </ns0:c>
      <ns0:c r="D496" s="2" t="inlineStr">
        <ns0:is>
          <ns0:t>fulltext</ns0:t>
        </ns0:is>
      </ns0:c>
      <ns0:c r="E496" s="2" t="inlineStr">
        <ns0:is>
          <ns0:t>出版版（版式及版权文字）</ns0:t>
        </ns0:is>
      </ns0:c>
      <ns0:c r="F496" s="2" t="inlineStr">
        <ns0:is>
          <ns0:t>fulltext.pdf</ns0:t>
        </ns0:is>
      </ns0:c>
      <ns0:c r="G496" s="2" t="inlineStr">
        <ns0:is>
          <ns0:t>original_files/R13962/fulltext/fulltext__published__bf535b5026967581.pdf</ns0:t>
        </ns0:is>
      </ns0:c>
      <ns0:c r="H496" s="2" t="inlineStr">
        <ns0:is>
          <ns0:t>local_upload</ns0:t>
        </ns0:is>
      </ns0:c>
      <ns0:c r="I496" s="2" t="inlineStr">
        <ns0:is>
          <ns0:t>localdownload/R13962/fulltext.pdf</ns0:t>
        </ns0:is>
      </ns0:c>
      <ns0:c r="J496" s="2" t="n">
        <ns0:v>2384388</ns0:v>
      </ns0:c>
      <ns0:c r="K496" s="2" t="inlineStr">
        <ns0:is>
          <ns0:t>bf535b5026967581938f47ed49c16f2cacd8d22b56bfe796f58ce702e782077b</ns0:t>
        </ns0:is>
      </ns0:c>
      <ns0:c r="L496" s="2" t="inlineStr">
        <ns0:is>
          <ns0:t>identity_and_body_structure_verified</ns0:t>
        </ns0:is>
      </ns0:c>
      <ns0:c r="M496" s="2" t="inlineStr"/>
      <ns0:c r="N496" s="2" t="inlineStr">
        <ns0:is>
          <ns0:t>首页/前两页题名作者或目标DOI核对，全部页面解析及正文结构检查；不据文件名判全文。</ns0:t>
        </ns0:is>
      </ns0:c>
      <ns0:c r="O496" s="2" t="inlineStr">
        <ns0:is>
          <ns0:t>https://github.com/Colliam-Vermilion/FirstCodex/blob/results/ad-oxygen-literature-20261006/results/ad-oxygen-literature-20261006/original_files/R13962/fulltext/fulltext__published__bf535b5026967581.pdf</ns0:t>
        </ns0:is>
      </ns0:c>
    </ns0:row>
    <ns0:row r="497" ht="48" customHeight="1">
      <ns0:c r="A497" s="3" t="inlineStr">
        <ns0:is>
          <ns0:t>R08552</ns0:t>
        </ns0:is>
      </ns0:c>
      <ns0:c r="B497" s="3" t="inlineStr">
        <ns0:is>
          <ns0:t>ALKALINE PRETREATMENT AND AIR MIXING FOR IMPROVEMENT OF METHANE PRODUCTION FROM ANAEROBIC CO-DIGESTION OF POULTRY LITTER WITH WHEAT STRAW</ns0:t>
        </ns0:is>
      </ns0:c>
      <ns0:c r="C497" s="3" t="inlineStr">
        <ns0:is>
          <ns0:t>10.15302/j-fase-2023506</ns0:t>
        </ns0:is>
      </ns0:c>
      <ns0:c r="D497" s="3" t="inlineStr">
        <ns0:is>
          <ns0:t>fulltext</ns0:t>
        </ns0:is>
      </ns0:c>
      <ns0:c r="E497" s="3" t="inlineStr">
        <ns0:is>
          <ns0:t>出版版本（原页出版信息）</ns0:t>
        </ns0:is>
      </ns0:c>
      <ns0:c r="F497" s="3" t="inlineStr">
        <ns0:is>
          <ns0:t>R08552_2023_ALKALINE_PRETREATMENT_AND_AIR_MIXING_FOR_IMPROVEMENT_OF_METHANE.pdf</ns0:t>
        </ns0:is>
      </ns0:c>
      <ns0:c r="G497" s="3" t="inlineStr">
        <ns0:is>
          <ns0:t>original_files/R08552/fulltext/fulltext__published__bf6b5c964a64fd5b.pdf</ns0:t>
        </ns0:is>
      </ns0:c>
      <ns0:c r="H497" s="3" t="inlineStr">
        <ns0:is>
          <ns0:t>cloud_existing</ns0:t>
        </ns0:is>
      </ns0:c>
      <ns0:c r="I497" s="3" t="inlineStr">
        <ns0:is>
          <ns0:t>original_files/fulltext/R08552_2023_ALKALINE_PRETREATMENT_AND_AIR_MIXING_FOR_IMPROVEMENT_OF_METHANE.pdf</ns0:t>
        </ns0:is>
      </ns0:c>
      <ns0:c r="J497" s="3" t="n">
        <ns0:v>1839968</ns0:v>
      </ns0:c>
      <ns0:c r="K497" s="3" t="inlineStr">
        <ns0:is>
          <ns0:t>bf6b5c964a64fd5b21a534be73fb1fe5727ff6d8477e1420c4980b43ca0794e8</ns0:t>
        </ns0:is>
      </ns0:c>
      <ns0:c r="L497" s="3" t="inlineStr">
        <ns0:is>
          <ns0:t>identity_and_body_structure_verified</ns0:t>
        </ns0:is>
      </ns0:c>
      <ns0:c r="M497" s="3" t="inlineStr"/>
      <ns0:c r="N497" s="3" t="inlineStr">
        <ns0:is>
          <ns0:t>首页/前两页题名作者或目标DOI核对，全部页面解析及正文结构检查；不据文件名判全文。</ns0:t>
        </ns0:is>
      </ns0:c>
      <ns0:c r="O497" s="3" t="inlineStr">
        <ns0:is>
          <ns0:t>https://github.com/Colliam-Vermilion/FirstCodex/blob/results/ad-oxygen-literature-20261006/results/ad-oxygen-literature-20261006/original_files/R08552/fulltext/fulltext__published__bf6b5c964a64fd5b.pdf</ns0:t>
        </ns0:is>
      </ns0:c>
    </ns0:row>
    <ns0:row r="498" ht="48" customHeight="1">
      <ns0:c r="A498" s="2" t="inlineStr">
        <ns0:is>
          <ns0:t>R02819</ns0:t>
        </ns0:is>
      </ns0:c>
      <ns0:c r="B498" s="2" t="inlineStr">
        <ns0:is>
          <ns0:t>Technical, Economical, and Microbiological Aspects of the Microaerobic Process on H2S Removal for Low Sulfate Concentration Wastewaters</ns0:t>
        </ns0:is>
      </ns0:c>
      <ns0:c r="C498" s="2" t="inlineStr">
        <ns0:is>
          <ns0:t>10.1007/s12010-016-2174-9</ns0:t>
        </ns0:is>
      </ns0:c>
      <ns0:c r="D498" s="2" t="inlineStr">
        <ns0:is>
          <ns0:t>fulltext</ns0:t>
        </ns0:is>
      </ns0:c>
      <ns0:c r="E498" s="2" t="inlineStr">
        <ns0:is>
          <ns0:t>出版版（版式及版权文字）</ns0:t>
        </ns0:is>
      </ns0:c>
      <ns0:c r="F498" s="2" t="inlineStr">
        <ns0:is>
          <ns0:t>fulltext.pdf</ns0:t>
        </ns0:is>
      </ns0:c>
      <ns0:c r="G498" s="2" t="inlineStr">
        <ns0:is>
          <ns0:t>original_files/R02819/fulltext/fulltext__published__bf9c210e52bacc5f.pdf</ns0:t>
        </ns0:is>
      </ns0:c>
      <ns0:c r="H498" t="inlineStr">
        <ns0:is>
          <ns0:t>local_upload; main@ab8353c误传副本</ns0:t>
        </ns0:is>
      </ns0:c>
      <ns0:c r="I498" t="inlineStr">
        <ns0:is>
          <ns0:t>localdownload/R02819/fulltext.pdf; main@ab8353c:R02819/fulltext.pdf</ns0:t>
        </ns0:is>
      </ns0:c>
      <ns0:c r="J498" s="2" t="n">
        <ns0:v>922267</ns0:v>
      </ns0:c>
      <ns0:c r="K498" s="2" t="inlineStr">
        <ns0:is>
          <ns0:t>bf9c210e52bacc5f3433ec82a22c8c2ca5c02f522cef26091f584d904fe96289</ns0:t>
        </ns0:is>
      </ns0:c>
      <ns0:c r="L498" s="2" t="inlineStr">
        <ns0:is>
          <ns0:t>identity_and_body_structure_verified</ns0:t>
        </ns0:is>
      </ns0:c>
      <ns0:c r="M498" s="2" t="inlineStr"/>
      <ns0:c r="N498" s="2" t="inlineStr">
        <ns0:is>
          <ns0:t>首页/前两页题名作者或目标DOI核对，全部页面解析及正文结构检查；不据文件名判全文。</ns0:t>
        </ns0:is>
      </ns0:c>
      <ns0:c r="O498" s="2" t="inlineStr">
        <ns0:is>
          <ns0:t>https://github.com/Colliam-Vermilion/FirstCodex/blob/results/ad-oxygen-literature-20261006/results/ad-oxygen-literature-20261006/original_files/R02819/fulltext/fulltext__published__bf9c210e52bacc5f.pdf</ns0:t>
        </ns0:is>
      </ns0:c>
    </ns0:row>
    <ns0:row r="499" ht="48" customHeight="1">
      <ns0:c r="A499" s="3" t="inlineStr">
        <ns0:is>
          <ns0:t>R06196</ns0:t>
        </ns0:is>
      </ns0:c>
      <ns0:c r="B499" s="3" t="inlineStr">
        <ns0:is>
          <ns0:t>Two Phase Anaerobic Digestion System of Municipal Solid Waste by Utilizing Microaeration and Granular Activated Carbon</ns0:t>
        </ns0:is>
      </ns0:c>
      <ns0:c r="C499" s="3" t="inlineStr">
        <ns0:is>
          <ns0:t>10.3390/en13040933</ns0:t>
        </ns0:is>
      </ns0:c>
      <ns0:c r="D499" s="3" t="inlineStr">
        <ns0:is>
          <ns0:t>source_evidence</ns0:t>
        </ns0:is>
      </ns0:c>
      <ns0:c r="E499" s="3" t="inlineStr"/>
      <ns0:c r="F499" s="3" t="inlineStr">
        <ns0:is>
          <ns0:t>publisher_article_page_20261017.html</ns0:t>
        </ns0:is>
      </ns0:c>
      <ns0:c r="G499" s="3" t="inlineStr">
        <ns0:is>
          <ns0:t>original_files/R06196/evidence/source_evidence__c0c8d7e91359f661.html</ns0:t>
        </ns0:is>
      </ns0:c>
      <ns0:c r="H499" s="3" t="inlineStr">
        <ns0:is>
          <ns0:t>cloud_existing</ns0:t>
        </ns0:is>
      </ns0:c>
      <ns0:c r="I499" s="3" t="inlineStr">
        <ns0:is>
          <ns0:t>original_files/source_evidence/R06196/publisher_article_page_20261017.html</ns0:t>
        </ns0:is>
      </ns0:c>
      <ns0:c r="J499" s="3" t="n">
        <ns0:v>544809</ns0:v>
      </ns0:c>
      <ns0:c r="K499" s="3" t="inlineStr">
        <ns0:is>
          <ns0:t>c0c8d7e91359f66132f79935c40b5e983a0d9eb2cc37b235a7e68cb93a287f9a</ns0:t>
        </ns0:is>
      </ns0:c>
      <ns0:c r="L499" s="3" t="inlineStr">
        <ns0:is>
          <ns0:t>text_readable</ns0:t>
        </ns0:is>
      </ns0:c>
      <ns0:c r="M499" s="3" t="inlineStr"/>
      <ns0:c r="N499" s="3" t="inlineStr"/>
      <ns0:c r="O499" s="3" t="inlineStr">
        <ns0:is>
          <ns0:t>https://github.com/Colliam-Vermilion/FirstCodex/blob/results/ad-oxygen-literature-20261006/results/ad-oxygen-literature-20261006/original_files/R06196/evidence/source_evidence__c0c8d7e91359f661.html</ns0:t>
        </ns0:is>
      </ns0:c>
    </ns0:row>
    <ns0:row r="500" ht="48" customHeight="1">
      <ns0:c r="A500" s="2" t="inlineStr">
        <ns0:is>
          <ns0:t>R03477</ns0:t>
        </ns0:is>
      </ns0:c>
      <ns0:c r="B500" s="2" t="inlineStr">
        <ns0:is>
          <ns0:t>Pretreatment methods of lignocellulosic biomass for anaerobic digestion</ns0:t>
        </ns0:is>
      </ns0:c>
      <ns0:c r="C500" s="2" t="inlineStr">
        <ns0:is>
          <ns0:t>10.1186/s13568-017-0375-4</ns0:t>
        </ns0:is>
      </ns0:c>
      <ns0:c r="D500" s="2" t="inlineStr">
        <ns0:is>
          <ns0:t>source_evidence</ns0:t>
        </ns0:is>
      </ns0:c>
      <ns0:c r="E500" s="2" t="inlineStr"/>
      <ns0:c r="F500" s="2" t="inlineStr">
        <ns0:is>
          <ns0:t>PMC5371168_fullText.xml</ns0:t>
        </ns0:is>
      </ns0:c>
      <ns0:c r="G500" s="2" t="inlineStr">
        <ns0:is>
          <ns0:t>original_files/R03477/evidence/source_evidence__c127b68ddfdcfec8.xml</ns0:t>
        </ns0:is>
      </ns0:c>
      <ns0:c r="H500" s="2" t="inlineStr">
        <ns0:is>
          <ns0:t>cloud_existing</ns0:t>
        </ns0:is>
      </ns0:c>
      <ns0:c r="I500" s="2" t="inlineStr">
        <ns0:is>
          <ns0:t>original_files/source_evidence/R03477/PMC5371168_fullText.xml</ns0:t>
        </ns0:is>
      </ns0:c>
      <ns0:c r="J500" s="2" t="n">
        <ns0:v>121650</ns0:v>
      </ns0:c>
      <ns0:c r="K500" s="2" t="inlineStr">
        <ns0:is>
          <ns0:t>c127b68ddfdcfec8d98508723d4d7a4b250ec3f82c4c75756cb539406519a8f7</ns0:t>
        </ns0:is>
      </ns0:c>
      <ns0:c r="L500" s="2" t="inlineStr">
        <ns0:is>
          <ns0:t>text_readable</ns0:t>
        </ns0:is>
      </ns0:c>
      <ns0:c r="M500" s="2" t="inlineStr"/>
      <ns0:c r="N500" s="2" t="inlineStr"/>
      <ns0:c r="O500" s="2" t="inlineStr">
        <ns0:is>
          <ns0:t>https://github.com/Colliam-Vermilion/FirstCodex/blob/results/ad-oxygen-literature-20261006/results/ad-oxygen-literature-20261006/original_files/R03477/evidence/source_evidence__c127b68ddfdcfec8.xml</ns0:t>
        </ns0:is>
      </ns0:c>
    </ns0:row>
    <ns0:row r="501" ht="48" customHeight="1">
      <ns0:c r="A501" s="3" t="inlineStr">
        <ns0:is>
          <ns0:t>R13932</ns0:t>
        </ns0:is>
      </ns0:c>
      <ns0:c r="B501" s="3" t="inlineStr">
        <ns0:is>
          <ns0:t>Comparison of pre- and inter-stage aerobic treatment of wastewater sludge: Effects on biogas production and COD removal</ns0:t>
        </ns0:is>
      </ns0:c>
      <ns0:c r="C501" s="3" t="inlineStr">
        <ns0:is>
          <ns0:t>10.1016/j.biortech.2017.08.128</ns0:t>
        </ns0:is>
      </ns0:c>
      <ns0:c r="D501" s="3" t="inlineStr">
        <ns0:is>
          <ns0:t>fulltext</ns0:t>
        </ns0:is>
      </ns0:c>
      <ns0:c r="E501" s="3" t="inlineStr">
        <ns0:is>
          <ns0:t>author accepted manuscript; repository Version postprint; not publisher final typeset version</ns0:t>
        </ns0:is>
      </ns0:c>
      <ns0:c r="F501" s="3" t="inlineStr">
        <ns0:is>
          <ns0:t>R13932_2018_Comparison_of_pre_and_inter_stage_aerobic_treatment_of_wastewater_sludge_Effects_on_biogas_productio.pdf</ns0:t>
        </ns0:is>
      </ns0:c>
      <ns0:c r="G501" s="3" t="inlineStr">
        <ns0:is>
          <ns0:t>original_files/R13932/fulltext/fulltext__version_unverified__c15f49a3d617e1be.pdf</ns0:t>
        </ns0:is>
      </ns0:c>
      <ns0:c r="H501" s="3" t="inlineStr">
        <ns0:is>
          <ns0:t>cloud_existing</ns0:t>
        </ns0:is>
      </ns0:c>
      <ns0:c r="I501" s="3" t="inlineStr">
        <ns0:is>
          <ns0:t>original_files/fulltext/R13932_2018_Comparison_of_pre_and_inter_stage_aerobic_treatment_of_wastewater_sludge_Effects_on_biogas_productio.pdf</ns0:t>
        </ns0:is>
      </ns0:c>
      <ns0:c r="J501" s="3" t="n">
        <ns0:v>1258157</ns0:v>
      </ns0:c>
      <ns0:c r="K501" s="3" t="inlineStr">
        <ns0:is>
          <ns0:t>c15f49a3d617e1be5e21578ebda1c2d855f8d460c1d66f446ad0d02856a40a13</ns0:t>
        </ns0:is>
      </ns0:c>
      <ns0:c r="L501" s="3" t="inlineStr">
        <ns0:is>
          <ns0:t>identity_and_body_structure_verified</ns0:t>
        </ns0:is>
      </ns0:c>
      <ns0:c r="M501" s="3" t="inlineStr"/>
      <ns0:c r="N501" s="3" t="inlineStr">
        <ns0:is>
          <ns0:t>首页/前两页题名作者或目标DOI核对，全部页面解析及正文结构检查；不据文件名判全文。</ns0:t>
        </ns0:is>
      </ns0:c>
      <ns0:c r="O501" s="3" t="inlineStr">
        <ns0:is>
          <ns0:t>https://github.com/Colliam-Vermilion/FirstCodex/blob/results/ad-oxygen-literature-20261006/results/ad-oxygen-literature-20261006/original_files/R13932/fulltext/fulltext__version_unverified__c15f49a3d617e1be.pdf</ns0:t>
        </ns0:is>
      </ns0:c>
    </ns0:row>
    <ns0:row r="502" ht="48" customHeight="1">
      <ns0:c r="A502" s="2" t="inlineStr">
        <ns0:is>
          <ns0:t>R13936</ns0:t>
        </ns0:is>
      </ns0:c>
      <ns0:c r="B502" s="2" t="inlineStr">
        <ns0:is>
          <ns0:t>Improvement of anaerobic digestion of landfill leachate by using coagulation‐flocculation, Fenton's oxidation and air stripping pretreatments</ns0:t>
        </ns0:is>
      </ns0:c>
      <ns0:c r="C502" s="2" t="inlineStr">
        <ns0:is>
          <ns0:t>10.1002/ep.12781</ns0:t>
        </ns0:is>
      </ns0:c>
      <ns0:c r="D502" s="2" t="inlineStr">
        <ns0:is>
          <ns0:t>fulltext</ns0:t>
        </ns0:is>
      </ns0:c>
      <ns0:c r="E502" s="2" t="inlineStr">
        <ns0:is>
          <ns0:t>出版版（版式及版权文字）</ns0:t>
        </ns0:is>
      </ns0:c>
      <ns0:c r="F502" s="2" t="inlineStr">
        <ns0:is>
          <ns0:t>fulltext.pdf</ns0:t>
        </ns0:is>
      </ns0:c>
      <ns0:c r="G502" s="2" t="inlineStr">
        <ns0:is>
          <ns0:t>original_files/R13936/fulltext/fulltext__published__c21af6f0f332d512.pdf</ns0:t>
        </ns0:is>
      </ns0:c>
      <ns0:c r="H502" s="2" t="inlineStr">
        <ns0:is>
          <ns0:t>local_upload</ns0:t>
        </ns0:is>
      </ns0:c>
      <ns0:c r="I502" s="2" t="inlineStr">
        <ns0:is>
          <ns0:t>localdownload/R13936/fulltext.pdf</ns0:t>
        </ns0:is>
      </ns0:c>
      <ns0:c r="J502" s="2" t="n">
        <ns0:v>477420</ns0:v>
      </ns0:c>
      <ns0:c r="K502" s="2" t="inlineStr">
        <ns0:is>
          <ns0:t>c21af6f0f332d5121b5fc3e5633a1360c4540e650af74b5b4230d3f335d6f7b3</ns0:t>
        </ns0:is>
      </ns0:c>
      <ns0:c r="L502" s="2" t="inlineStr">
        <ns0:is>
          <ns0:t>identity_and_body_structure_verified</ns0:t>
        </ns0:is>
      </ns0:c>
      <ns0:c r="M502" s="2" t="inlineStr"/>
      <ns0:c r="N502" s="2" t="inlineStr">
        <ns0:is>
          <ns0:t>首页/前两页题名作者或目标DOI核对，全部页面解析及正文结构检查；不据文件名判全文。</ns0:t>
        </ns0:is>
      </ns0:c>
      <ns0:c r="O502" s="2" t="inlineStr">
        <ns0:is>
          <ns0:t>https://github.com/Colliam-Vermilion/FirstCodex/blob/results/ad-oxygen-literature-20261006/results/ad-oxygen-literature-20261006/original_files/R13936/fulltext/fulltext__published__c21af6f0f332d512.pdf</ns0:t>
        </ns0:is>
      </ns0:c>
    </ns0:row>
    <ns0:row r="503" ht="48" customHeight="1">
      <ns0:c r="A503" s="3" t="inlineStr">
        <ns0:is>
          <ns0:t>R03220</ns0:t>
        </ns0:is>
      </ns0:c>
      <ns0:c r="B503" s="3" t="inlineStr">
        <ns0:is>
          <ns0:t>Enhanced volatile fatty acids production during anaerobic digestion of lignocellulosic biomass via micro-oxygenation</ns0:t>
        </ns0:is>
      </ns0:c>
      <ns0:c r="C503" s="3" t="inlineStr">
        <ns0:is>
          <ns0:t>10.1016/j.biortech.2017.02.029</ns0:t>
        </ns0:is>
      </ns0:c>
      <ns0:c r="D503" s="3" t="inlineStr">
        <ns0:is>
          <ns0:t>supplementary</ns0:t>
        </ns0:is>
      </ns0:c>
      <ns0:c r="E503" s="3" t="inlineStr"/>
      <ns0:c r="F503" s="3" t="inlineStr">
        <ns0:is>
          <ns0:t>supplementary1.docx</ns0:t>
        </ns0:is>
      </ns0:c>
      <ns0:c r="G503" s="3" t="inlineStr">
        <ns0:is>
          <ns0:t>original_files/R03220/supplementary/supplementary__c26f71c81867faf0.docx</ns0:t>
        </ns0:is>
      </ns0:c>
      <ns0:c r="H503" t="inlineStr">
        <ns0:is>
          <ns0:t>local_upload; main@ab8353c误传副本</ns0:t>
        </ns0:is>
      </ns0:c>
      <ns0:c r="I503" t="inlineStr">
        <ns0:is>
          <ns0:t>localdownload/R03220/supplementary1.docx; main@ab8353c:R03220/supplementary1.docx</ns0:t>
        </ns0:is>
      </ns0:c>
      <ns0:c r="J503" s="3" t="n">
        <ns0:v>16888</ns0:v>
      </ns0:c>
      <ns0:c r="K503" s="3" t="inlineStr">
        <ns0:is>
          <ns0:t>c26f71c81867faf0f35f9d5573b3f197c6b071c173aeb47911a1e7bd7f21badb</ns0:t>
        </ns0:is>
      </ns0:c>
      <ns0:c r="L503" s="3" t="inlineStr">
        <ns0:is>
          <ns0:t>container_crc_verified</ns0:t>
        </ns0:is>
      </ns0:c>
      <ns0:c r="M503" s="3" t="inlineStr">
        <ns0:is>
          <ns0:t>directory_and_content_consistent_identity_pending</ns0:t>
        </ns0:is>
      </ns0:c>
      <ns0:c r="N503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03" s="3" t="inlineStr">
        <ns0:is>
          <ns0:t>https://github.com/Colliam-Vermilion/FirstCodex/blob/results/ad-oxygen-literature-20261006/results/ad-oxygen-literature-20261006/original_files/R03220/supplementary/supplementary__c26f71c81867faf0.docx</ns0:t>
        </ns0:is>
      </ns0:c>
    </ns0:row>
    <ns0:row r="504" ht="48" customHeight="1">
      <ns0:c r="A504" s="2" t="inlineStr">
        <ns0:is>
          <ns0:t>R06092</ns0:t>
        </ns0:is>
      </ns0:c>
      <ns0:c r="B504" s="2" t="inlineStr">
        <ns0:is>
          <ns0:t>Simultaneous H2S mitigation and methanization enhancement of chicken manure through the introduction of the micro-aeration approach</ns0:t>
        </ns0:is>
      </ns0:c>
      <ns0:c r="C504" s="2" t="inlineStr">
        <ns0:is>
          <ns0:t>10.1016/j.chemosphere.2020.126687</ns0:t>
        </ns0:is>
      </ns0:c>
      <ns0:c r="D504" s="2" t="inlineStr">
        <ns0:is>
          <ns0:t>supplementary</ns0:t>
        </ns0:is>
      </ns0:c>
      <ns0:c r="E504" s="2" t="inlineStr"/>
      <ns0:c r="F504" s="2" t="inlineStr">
        <ns0:is>
          <ns0:t>supplementary.docx</ns0:t>
        </ns0:is>
      </ns0:c>
      <ns0:c r="G504" s="2" t="inlineStr">
        <ns0:is>
          <ns0:t>original_files/R06092/supplementary/supplementary__c368ee1db41c7a5d.docx</ns0:t>
        </ns0:is>
      </ns0:c>
      <ns0:c r="H504" s="2" t="inlineStr">
        <ns0:is>
          <ns0:t>local_upload</ns0:t>
        </ns0:is>
      </ns0:c>
      <ns0:c r="I504" s="2" t="inlineStr">
        <ns0:is>
          <ns0:t>localdownload/R06092/supplementary.docx</ns0:t>
        </ns0:is>
      </ns0:c>
      <ns0:c r="J504" s="2" t="n">
        <ns0:v>13350</ns0:v>
      </ns0:c>
      <ns0:c r="K504" s="2" t="inlineStr">
        <ns0:is>
          <ns0:t>c368ee1db41c7a5d8c57c476fea4294a5af1930395a88d09d55ee15db367d543</ns0:t>
        </ns0:is>
      </ns0:c>
      <ns0:c r="L504" s="2" t="inlineStr">
        <ns0:is>
          <ns0:t>container_crc_verified</ns0:t>
        </ns0:is>
      </ns0:c>
      <ns0:c r="M504" s="2" t="inlineStr">
        <ns0:is>
          <ns0:t>directory_and_content_consistent_identity_pending</ns0:t>
        </ns0:is>
      </ns0:c>
      <ns0:c r="N504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04" s="2" t="inlineStr">
        <ns0:is>
          <ns0:t>https://github.com/Colliam-Vermilion/FirstCodex/blob/results/ad-oxygen-literature-20261006/results/ad-oxygen-literature-20261006/original_files/R06092/supplementary/supplementary__c368ee1db41c7a5d.docx</ns0:t>
        </ns0:is>
      </ns0:c>
    </ns0:row>
    <ns0:row r="505" ht="48" customHeight="1">
      <ns0:c r="A505" s="3" t="inlineStr">
        <ns0:is>
          <ns0:t>R10724</ns0:t>
        </ns0:is>
      </ns0:c>
      <ns0:c r="B505" s="3" t="inlineStr">
        <ns0:is>
          <ns0:t>Protection of the Purification Station Thermal Engines Against the Effects of Hydrogen Sulfide by the Coupling of a Chemical and Biological Treatment of the Produced Biogas</ns0:t>
        </ns0:is>
      </ns0:c>
      <ns0:c r="C505" s="3" t="inlineStr">
        <ns0:is>
          <ns0:t>10.12912/27197050/181210</ns0:t>
        </ns0:is>
      </ns0:c>
      <ns0:c r="D505" s="3" t="inlineStr">
        <ns0:is>
          <ns0:t>source_evidence</ns0:t>
        </ns0:is>
      </ns0:c>
      <ns0:c r="E505" s="3" t="inlineStr"/>
      <ns0:c r="F505" s="3" t="inlineStr">
        <ns0:is>
          <ns0:t>publisher_article_page_20261017.html</ns0:t>
        </ns0:is>
      </ns0:c>
      <ns0:c r="G505" s="3" t="inlineStr">
        <ns0:is>
          <ns0:t>original_files/R10724/evidence/source_evidence__c38788bcb0a41fed.html</ns0:t>
        </ns0:is>
      </ns0:c>
      <ns0:c r="H505" s="3" t="inlineStr">
        <ns0:is>
          <ns0:t>cloud_existing</ns0:t>
        </ns0:is>
      </ns0:c>
      <ns0:c r="I505" s="3" t="inlineStr">
        <ns0:is>
          <ns0:t>original_files/source_evidence/R10724/publisher_article_page_20261017.html</ns0:t>
        </ns0:is>
      </ns0:c>
      <ns0:c r="J505" s="3" t="n">
        <ns0:v>41378</ns0:v>
      </ns0:c>
      <ns0:c r="K505" s="3" t="inlineStr">
        <ns0:is>
          <ns0:t>c38788bcb0a41fed814b843e4ef5711953e7ef686d55bde91055643a544f7df5</ns0:t>
        </ns0:is>
      </ns0:c>
      <ns0:c r="L505" s="3" t="inlineStr">
        <ns0:is>
          <ns0:t>text_readable</ns0:t>
        </ns0:is>
      </ns0:c>
      <ns0:c r="M505" s="3" t="inlineStr"/>
      <ns0:c r="N505" s="3" t="inlineStr"/>
      <ns0:c r="O505" s="3" t="inlineStr">
        <ns0:is>
          <ns0:t>https://github.com/Colliam-Vermilion/FirstCodex/blob/results/ad-oxygen-literature-20261006/results/ad-oxygen-literature-20261006/original_files/R10724/evidence/source_evidence__c38788bcb0a41fed.html</ns0:t>
        </ns0:is>
      </ns0:c>
    </ns0:row>
    <ns0:row r="506" ht="48" customHeight="1">
      <ns0:c r="A506" s="2" t="inlineStr">
        <ns0:is>
          <ns0:t>R11844</ns0:t>
        </ns0:is>
      </ns0:c>
      <ns0:c r="B506" s="2" t="inlineStr">
        <ns0:is>
          <ns0:t>Micro-aeration for improving anaerobic treatment and biogas production from organic pollutants</ns0:t>
        </ns0:is>
      </ns0:c>
      <ns0:c r="C506" s="2" t="inlineStr">
        <ns0:is>
          <ns0:t>10.1007/s00253-025-13519-w</ns0:t>
        </ns0:is>
      </ns0:c>
      <ns0:c r="D506" s="2" t="inlineStr">
        <ns0:is>
          <ns0:t>fulltext</ns0:t>
        </ns0:is>
      </ns0:c>
      <ns0:c r="E506" s="2" t="inlineStr">
        <ns0:is>
          <ns0:t>出版版本（原页出版信息）</ns0:t>
        </ns0:is>
      </ns0:c>
      <ns0:c r="F506" s="2" t="inlineStr">
        <ns0:is>
          <ns0:t>R11844_2025_Micro-aeration_for_improving_anaerobic_treatment_and_biogas_production_from.pdf</ns0:t>
        </ns0:is>
      </ns0:c>
      <ns0:c r="G506" s="2" t="inlineStr">
        <ns0:is>
          <ns0:t>original_files/R11844/fulltext/fulltext__published__c41816bf825167dc.pdf</ns0:t>
        </ns0:is>
      </ns0:c>
      <ns0:c r="H506" s="2" t="inlineStr">
        <ns0:is>
          <ns0:t>cloud_existing</ns0:t>
        </ns0:is>
      </ns0:c>
      <ns0:c r="I506" s="2" t="inlineStr">
        <ns0:is>
          <ns0:t>original_files/fulltext/R11844_2025_Micro-aeration_for_improving_anaerobic_treatment_and_biogas_production_from.pdf</ns0:t>
        </ns0:is>
      </ns0:c>
      <ns0:c r="J506" s="2" t="n">
        <ns0:v>1333380</ns0:v>
      </ns0:c>
      <ns0:c r="K506" s="2" t="inlineStr">
        <ns0:is>
          <ns0:t>c41816bf825167dcb78ff5eb81c8d0dab0d8d8110cd2a23a04cd1109acb34919</ns0:t>
        </ns0:is>
      </ns0:c>
      <ns0:c r="L506" s="2" t="inlineStr">
        <ns0:is>
          <ns0:t>identity_and_body_structure_verified</ns0:t>
        </ns0:is>
      </ns0:c>
      <ns0:c r="M506" s="2" t="inlineStr"/>
      <ns0:c r="N506" s="2" t="inlineStr">
        <ns0:is>
          <ns0:t>首页/前两页题名作者或目标DOI核对，全部页面解析及正文结构检查；不据文件名判全文。</ns0:t>
        </ns0:is>
      </ns0:c>
      <ns0:c r="O506" s="2" t="inlineStr">
        <ns0:is>
          <ns0:t>https://github.com/Colliam-Vermilion/FirstCodex/blob/results/ad-oxygen-literature-20261006/results/ad-oxygen-literature-20261006/original_files/R11844/fulltext/fulltext__published__c41816bf825167dc.pdf</ns0:t>
        </ns0:is>
      </ns0:c>
    </ns0:row>
    <ns0:row r="507" ht="48" customHeight="1">
      <ns0:c r="A507" s="3" t="inlineStr">
        <ns0:is>
          <ns0:t>R04510</ns0:t>
        </ns0:is>
      </ns0:c>
      <ns0:c r="B507" s="3" t="inlineStr">
        <ns0:is>
          <ns0:t>Anaerobic digestion of wastewater rich in sulfate and sulfide: effects of metallic waste addition and micro-aeration on process performance and methane production</ns0:t>
        </ns0:is>
      </ns0:c>
      <ns0:c r="C507" s="3" t="inlineStr">
        <ns0:is>
          <ns0:t>10.1080/10934529.2019.1623597</ns0:t>
        </ns0:is>
      </ns0:c>
      <ns0:c r="D507" s="3" t="inlineStr">
        <ns0:is>
          <ns0:t>fulltext</ns0:t>
        </ns0:is>
      </ns0:c>
      <ns0:c r="E507" s="3" t="inlineStr">
        <ns0:is>
          <ns0:t>author accepted manuscript, explicitly stated on page1</ns0:t>
        </ns0:is>
      </ns0:c>
      <ns0:c r="F507" s="3" t="inlineStr">
        <ns0:is>
          <ns0:t>R04510_2019_Anaerobic_digestion_of_wastewater_rich_in_sulfate_and_sulfide_effects_of_metallic_waste_addition_and.pdf</ns0:t>
        </ns0:is>
      </ns0:c>
      <ns0:c r="G507" s="3" t="inlineStr">
        <ns0:is>
          <ns0:t>original_files/R04510/fulltext/fulltext__version_unverified__c4520ca79e301bb6.pdf</ns0:t>
        </ns0:is>
      </ns0:c>
      <ns0:c r="H507" s="3" t="inlineStr">
        <ns0:is>
          <ns0:t>cloud_existing</ns0:t>
        </ns0:is>
      </ns0:c>
      <ns0:c r="I507" s="3" t="inlineStr">
        <ns0:is>
          <ns0:t>original_files/fulltext/R04510_2019_Anaerobic_digestion_of_wastewater_rich_in_sulfate_and_sulfide_effects_of_metallic_waste_addition_and.pdf</ns0:t>
        </ns0:is>
      </ns0:c>
      <ns0:c r="J507" s="3" t="n">
        <ns0:v>492630</ns0:v>
      </ns0:c>
      <ns0:c r="K507" s="3" t="inlineStr">
        <ns0:is>
          <ns0:t>c4520ca79e301bb606a8ab1fef6cf4af9064c0d85f3c390a4cf31a877238e1c6</ns0:t>
        </ns0:is>
      </ns0:c>
      <ns0:c r="L507" s="3" t="inlineStr">
        <ns0:is>
          <ns0:t>identity_and_body_structure_verified</ns0:t>
        </ns0:is>
      </ns0:c>
      <ns0:c r="M507" s="3" t="inlineStr"/>
      <ns0:c r="N507" s="3" t="inlineStr">
        <ns0:is>
          <ns0:t>首页/前两页题名作者或目标DOI核对，全部页面解析及正文结构检查；不据文件名判全文。</ns0:t>
        </ns0:is>
      </ns0:c>
      <ns0:c r="O507" s="3" t="inlineStr">
        <ns0:is>
          <ns0:t>https://github.com/Colliam-Vermilion/FirstCodex/blob/results/ad-oxygen-literature-20261006/results/ad-oxygen-literature-20261006/original_files/R04510/fulltext/fulltext__version_unverified__c4520ca79e301bb6.pdf</ns0:t>
        </ns0:is>
      </ns0:c>
    </ns0:row>
    <ns0:row r="508" ht="48" customHeight="1">
      <ns0:c r="A508" s="2" t="inlineStr">
        <ns0:is>
          <ns0:t>R11724</ns0:t>
        </ns0:is>
      </ns0:c>
      <ns0:c r="B508" s="2" t="inlineStr">
        <ns0:is>
          <ns0:t>Insight into the role of intermittent microaeration in enhancing lignocellulose-containing anaerobic digestion and humic substances formation</ns0:t>
        </ns0:is>
      </ns0:c>
      <ns0:c r="C508" s="2" t="inlineStr">
        <ns0:is>
          <ns0:t>10.1016/j.cej.2025.166500</ns0:t>
        </ns0:is>
      </ns0:c>
      <ns0:c r="D508" s="2" t="inlineStr">
        <ns0:is>
          <ns0:t>fulltext</ns0:t>
        </ns0:is>
      </ns0:c>
      <ns0:c r="E508" s="2" t="inlineStr">
        <ns0:is>
          <ns0:t>出版版（版式及版权文字）</ns0:t>
        </ns0:is>
      </ns0:c>
      <ns0:c r="F508" s="2" t="inlineStr">
        <ns0:is>
          <ns0:t>fulltext.pdf</ns0:t>
        </ns0:is>
      </ns0:c>
      <ns0:c r="G508" s="2" t="inlineStr">
        <ns0:is>
          <ns0:t>original_files/R11724/fulltext/fulltext__published__c46a1305f718264e.pdf</ns0:t>
        </ns0:is>
      </ns0:c>
      <ns0:c r="H508" s="2" t="inlineStr">
        <ns0:is>
          <ns0:t>local_upload</ns0:t>
        </ns0:is>
      </ns0:c>
      <ns0:c r="I508" s="2" t="inlineStr">
        <ns0:is>
          <ns0:t>localdownload/R11724/fulltext.pdf</ns0:t>
        </ns0:is>
      </ns0:c>
      <ns0:c r="J508" s="2" t="n">
        <ns0:v>6552388</ns0:v>
      </ns0:c>
      <ns0:c r="K508" s="2" t="inlineStr">
        <ns0:is>
          <ns0:t>c46a1305f718264e853f3b88df93ad2db537223164ccd5f7e19a31a8f29431ed</ns0:t>
        </ns0:is>
      </ns0:c>
      <ns0:c r="L508" s="2" t="inlineStr">
        <ns0:is>
          <ns0:t>identity_and_body_structure_verified</ns0:t>
        </ns0:is>
      </ns0:c>
      <ns0:c r="M508" s="2" t="inlineStr"/>
      <ns0:c r="N508" s="2" t="inlineStr">
        <ns0:is>
          <ns0:t>首页/前两页题名作者或目标DOI核对，全部页面解析及正文结构检查；不据文件名判全文。</ns0:t>
        </ns0:is>
      </ns0:c>
      <ns0:c r="O508" s="2" t="inlineStr">
        <ns0:is>
          <ns0:t>https://github.com/Colliam-Vermilion/FirstCodex/blob/results/ad-oxygen-literature-20261006/results/ad-oxygen-literature-20261006/original_files/R11724/fulltext/fulltext__published__c46a1305f718264e.pdf</ns0:t>
        </ns0:is>
      </ns0:c>
    </ns0:row>
    <ns0:row r="509" ht="48" customHeight="1">
      <ns0:c r="A509" s="3" t="inlineStr">
        <ns0:is>
          <ns0:t>R13823</ns0:t>
        </ns0:is>
      </ns0:c>
      <ns0:c r="B509" s="3" t="inlineStr">
        <ns0:is>
          <ns0:t>Evaluation of aeration pretreatment to prepare an inoculum for the two-stage hydrogen and methane production process</ns0:t>
        </ns0:is>
      </ns0:c>
      <ns0:c r="C509" s="3" t="inlineStr">
        <ns0:is>
          <ns0:t>10.1016/j.biortech.2014.05.019</ns0:t>
        </ns0:is>
      </ns0:c>
      <ns0:c r="D509" s="3" t="inlineStr">
        <ns0:is>
          <ns0:t>fulltext</ns0:t>
        </ns0:is>
      </ns0:c>
      <ns0:c r="E509" s="3" t="inlineStr">
        <ns0:is>
          <ns0:t>出版版（版式及版权文字）</ns0:t>
        </ns0:is>
      </ns0:c>
      <ns0:c r="F509" s="3" t="inlineStr">
        <ns0:is>
          <ns0:t>fulltext.pdf</ns0:t>
        </ns0:is>
      </ns0:c>
      <ns0:c r="G509" s="3" t="inlineStr">
        <ns0:is>
          <ns0:t>original_files/R13823/fulltext/fulltext__published__c481d09e7a4563e7.pdf</ns0:t>
        </ns0:is>
      </ns0:c>
      <ns0:c r="H509" s="3" t="inlineStr">
        <ns0:is>
          <ns0:t>local_upload</ns0:t>
        </ns0:is>
      </ns0:c>
      <ns0:c r="I509" s="3" t="inlineStr">
        <ns0:is>
          <ns0:t>localdownload/R13823/fulltext.pdf</ns0:t>
        </ns0:is>
      </ns0:c>
      <ns0:c r="J509" s="3" t="n">
        <ns0:v>585777</ns0:v>
      </ns0:c>
      <ns0:c r="K509" s="3" t="inlineStr">
        <ns0:is>
          <ns0:t>c481d09e7a4563e757238dc9e87ce34d132f13351e98dc4c2d431c21c826934f</ns0:t>
        </ns0:is>
      </ns0:c>
      <ns0:c r="L509" s="3" t="inlineStr">
        <ns0:is>
          <ns0:t>identity_and_body_structure_verified</ns0:t>
        </ns0:is>
      </ns0:c>
      <ns0:c r="M509" s="3" t="inlineStr"/>
      <ns0:c r="N509" s="3" t="inlineStr">
        <ns0:is>
          <ns0:t>首页/前两页题名作者或目标DOI核对，全部页面解析及正文结构检查；不据文件名判全文。</ns0:t>
        </ns0:is>
      </ns0:c>
      <ns0:c r="O509" s="3" t="inlineStr">
        <ns0:is>
          <ns0:t>https://github.com/Colliam-Vermilion/FirstCodex/blob/results/ad-oxygen-literature-20261006/results/ad-oxygen-literature-20261006/original_files/R13823/fulltext/fulltext__published__c481d09e7a4563e7.pdf</ns0:t>
        </ns0:is>
      </ns0:c>
    </ns0:row>
    <ns0:row r="510" ht="48" customHeight="1">
      <ns0:c r="A510" s="2" t="inlineStr">
        <ns0:is>
          <ns0:t>R13937</ns0:t>
        </ns0:is>
      </ns0:c>
      <ns0:c r="B510" s="2" t="inlineStr">
        <ns0:is>
          <ns0:t>Effect of circulation and micro-aeration on sludge characteristics and microbial community in an ABR for treating traditional Chinese medicine wastewater</ns0:t>
        </ns0:is>
      </ns0:c>
      <ns0:c r="C510" s="2" t="inlineStr">
        <ns0:is>
          <ns0:t>10.1080/09593330.2019.1604818</ns0:t>
        </ns0:is>
      </ns0:c>
      <ns0:c r="D510" s="2" t="inlineStr">
        <ns0:is>
          <ns0:t>supplementary</ns0:t>
        </ns0:is>
      </ns0:c>
      <ns0:c r="E510" s="2" t="inlineStr"/>
      <ns0:c r="F510" s="2" t="inlineStr">
        <ns0:is>
          <ns0:t>tent_a_1604818_sm5907.doc</ns0:t>
        </ns0:is>
      </ns0:c>
      <ns0:c r="G510" s="2" t="inlineStr">
        <ns0:is>
          <ns0:t>original_files/R13937/supplementary/supplementary__c4fe1acf1dc2b187.doc</ns0:t>
        </ns0:is>
      </ns0:c>
      <ns0:c r="H510" s="2" t="inlineStr">
        <ns0:is>
          <ns0:t>local_upload</ns0:t>
        </ns0:is>
      </ns0:c>
      <ns0:c r="I510" s="2" t="inlineStr">
        <ns0:is>
          <ns0:t>localdownload/R13937/tent_a_1604818_sm5907.doc</ns0:t>
        </ns0:is>
      </ns0:c>
      <ns0:c r="J510" s="2" t="n">
        <ns0:v>38400</ns0:v>
      </ns0:c>
      <ns0:c r="K510" s="2" t="inlineStr">
        <ns0:is>
          <ns0:t>c4fe1acf1dc2b187b5268de94b26dbd3f7888bdffab3b4fa16c32f5fd2efdc89</ns0:t>
        </ns0:is>
      </ns0:c>
      <ns0:c r="L510" s="2" t="inlineStr">
        <ns0:is>
          <ns0:t>legacy_word_decoded_with_antiword</ns0:t>
        </ns0:is>
      </ns0:c>
      <ns0:c r="M510" s="2" t="inlineStr">
        <ns0:is>
          <ns0:t>directory_and_content_consistent_identity_pending</ns0:t>
        </ns0:is>
      </ns0:c>
      <ns0:c r="N510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10" s="2" t="inlineStr">
        <ns0:is>
          <ns0:t>https://github.com/Colliam-Vermilion/FirstCodex/blob/results/ad-oxygen-literature-20261006/results/ad-oxygen-literature-20261006/original_files/R13937/supplementary/supplementary__c4fe1acf1dc2b187.doc</ns0:t>
        </ns0:is>
      </ns0:c>
    </ns0:row>
    <ns0:row r="511" ht="48" customHeight="1">
      <ns0:c r="A511" s="3" t="inlineStr">
        <ns0:is>
          <ns0:t>R13942</ns0:t>
        </ns0:is>
      </ns0:c>
      <ns0:c r="B511" s="3" t="inlineStr">
        <ns0:is>
          <ns0:t>Microaerated UASB reactor treating textile wastewater: The core microbiome and removal of azo dye Direct Black 22</ns0:t>
        </ns0:is>
      </ns0:c>
      <ns0:c r="C511" s="3" t="inlineStr">
        <ns0:is>
          <ns0:t>10.1016/j.chemosphere.2019.125157</ns0:t>
        </ns0:is>
      </ns0:c>
      <ns0:c r="D511" s="3" t="inlineStr">
        <ns0:is>
          <ns0:t>fulltext</ns0:t>
        </ns0:is>
      </ns0:c>
      <ns0:c r="E511" s="3" t="inlineStr">
        <ns0:is>
          <ns0:t>出版版（版式及版权文字）</ns0:t>
        </ns0:is>
      </ns0:c>
      <ns0:c r="F511" s="3" t="inlineStr">
        <ns0:is>
          <ns0:t>fulltext.pdf</ns0:t>
        </ns0:is>
      </ns0:c>
      <ns0:c r="G511" s="3" t="inlineStr">
        <ns0:is>
          <ns0:t>original_files/R13942/fulltext/fulltext__published__c575b15a8ecfb829.pdf</ns0:t>
        </ns0:is>
      </ns0:c>
      <ns0:c r="H511" s="3" t="inlineStr">
        <ns0:is>
          <ns0:t>local_upload</ns0:t>
        </ns0:is>
      </ns0:c>
      <ns0:c r="I511" s="3" t="inlineStr">
        <ns0:is>
          <ns0:t>localdownload/R13942/fulltext.pdf</ns0:t>
        </ns0:is>
      </ns0:c>
      <ns0:c r="J511" s="3" t="n">
        <ns0:v>1348205</ns0:v>
      </ns0:c>
      <ns0:c r="K511" s="3" t="inlineStr">
        <ns0:is>
          <ns0:t>c575b15a8ecfb829d0fede901896e5ac3565917bcb92db0ec9d640ac5edb36e9</ns0:t>
        </ns0:is>
      </ns0:c>
      <ns0:c r="L511" s="3" t="inlineStr">
        <ns0:is>
          <ns0:t>identity_and_body_structure_verified</ns0:t>
        </ns0:is>
      </ns0:c>
      <ns0:c r="M511" s="3" t="inlineStr"/>
      <ns0:c r="N511" s="3" t="inlineStr">
        <ns0:is>
          <ns0:t>首页/前两页题名作者或目标DOI核对，全部页面解析及正文结构检查；不据文件名判全文。</ns0:t>
        </ns0:is>
      </ns0:c>
      <ns0:c r="O511" s="3" t="inlineStr">
        <ns0:is>
          <ns0:t>https://github.com/Colliam-Vermilion/FirstCodex/blob/results/ad-oxygen-literature-20261006/results/ad-oxygen-literature-20261006/original_files/R13942/fulltext/fulltext__published__c575b15a8ecfb829.pdf</ns0:t>
        </ns0:is>
      </ns0:c>
    </ns0:row>
    <ns0:row r="512" ht="48" customHeight="1">
      <ns0:c r="A512" s="2" t="inlineStr">
        <ns0:is>
          <ns0:t>R05839</ns0:t>
        </ns0:is>
      </ns0:c>
      <ns0:c r="B512" s="2" t="inlineStr">
        <ns0:is>
          <ns0:t>Micro-Oxygenation in Upflow Anaerobic Sludge Bed (UASB) Reactors Using a Silicon Membrane for Sulfide Oxidation</ns0:t>
        </ns0:is>
      </ns0:c>
      <ns0:c r="C512" s="2" t="inlineStr">
        <ns0:is>
          <ns0:t>10.3390/polym12091990</ns0:t>
        </ns0:is>
      </ns0:c>
      <ns0:c r="D512" s="2" t="inlineStr">
        <ns0:is>
          <ns0:t>fulltext</ns0:t>
        </ns0:is>
      </ns0:c>
      <ns0:c r="E512" s="2" t="inlineStr">
        <ns0:is>
          <ns0:t>出版版本（原页出版信息）</ns0:t>
        </ns0:is>
      </ns0:c>
      <ns0:c r="F512" s="2" t="inlineStr">
        <ns0:is>
          <ns0:t>R05839_2020_Micro-Oxygenation_in_Upflow_Anaerobic_Sludge_Bed_UASB_Reactors_Using.pdf</ns0:t>
        </ns0:is>
      </ns0:c>
      <ns0:c r="G512" s="2" t="inlineStr">
        <ns0:is>
          <ns0:t>original_files/R05839/fulltext/fulltext__published__c5e85aec12eac240.pdf</ns0:t>
        </ns0:is>
      </ns0:c>
      <ns0:c r="H512" s="2" t="inlineStr">
        <ns0:is>
          <ns0:t>cloud_existing</ns0:t>
        </ns0:is>
      </ns0:c>
      <ns0:c r="I512" s="2" t="inlineStr">
        <ns0:is>
          <ns0:t>original_files/fulltext/R05839_2020_Micro-Oxygenation_in_Upflow_Anaerobic_Sludge_Bed_UASB_Reactors_Using.pdf</ns0:t>
        </ns0:is>
      </ns0:c>
      <ns0:c r="J512" s="2" t="n">
        <ns0:v>1392358</ns0:v>
      </ns0:c>
      <ns0:c r="K512" s="2" t="inlineStr">
        <ns0:is>
          <ns0:t>c5e85aec12eac24037c926dbe78fdaade958dc8b41a7bf64fbbcb1b463fe8585</ns0:t>
        </ns0:is>
      </ns0:c>
      <ns0:c r="L512" s="2" t="inlineStr">
        <ns0:is>
          <ns0:t>identity_and_body_structure_verified</ns0:t>
        </ns0:is>
      </ns0:c>
      <ns0:c r="M512" s="2" t="inlineStr"/>
      <ns0:c r="N512" s="2" t="inlineStr">
        <ns0:is>
          <ns0:t>首页/前两页题名作者或目标DOI核对，全部页面解析及正文结构检查；不据文件名判全文。</ns0:t>
        </ns0:is>
      </ns0:c>
      <ns0:c r="O512" s="2" t="inlineStr">
        <ns0:is>
          <ns0:t>https://github.com/Colliam-Vermilion/FirstCodex/blob/results/ad-oxygen-literature-20261006/results/ad-oxygen-literature-20261006/original_files/R05839/fulltext/fulltext__published__c5e85aec12eac240.pdf</ns0:t>
        </ns0:is>
      </ns0:c>
    </ns0:row>
    <ns0:row r="513" ht="48" customHeight="1">
      <ns0:c r="A513" s="3" t="inlineStr">
        <ns0:is>
          <ns0:t>R12923</ns0:t>
        </ns0:is>
      </ns0:c>
      <ns0:c r="B513" s="3" t="inlineStr">
        <ns0:is>
          <ns0:t>Enhanced anaerobic digestion of rice straw by using microbial pretreatment augmented with micro-nano bubble water</ns0:t>
        </ns0:is>
      </ns0:c>
      <ns0:c r="C513" s="3" t="inlineStr">
        <ns0:is>
          <ns0:t>10.1016/j.biteb.2025.102484</ns0:t>
        </ns0:is>
      </ns0:c>
      <ns0:c r="D513" s="3" t="inlineStr">
        <ns0:is>
          <ns0:t>fulltext</ns0:t>
        </ns0:is>
      </ns0:c>
      <ns0:c r="E513" s="3" t="inlineStr">
        <ns0:is>
          <ns0:t>出版版（版式及版权文字）</ns0:t>
        </ns0:is>
      </ns0:c>
      <ns0:c r="F513" s="3" t="inlineStr">
        <ns0:is>
          <ns0:t>fulltext.pdf</ns0:t>
        </ns0:is>
      </ns0:c>
      <ns0:c r="G513" s="3" t="inlineStr">
        <ns0:is>
          <ns0:t>original_files/R12923/fulltext/fulltext__published__c5fa38e81cb6810f.pdf</ns0:t>
        </ns0:is>
      </ns0:c>
      <ns0:c r="H513" s="3" t="inlineStr">
        <ns0:is>
          <ns0:t>local_upload</ns0:t>
        </ns0:is>
      </ns0:c>
      <ns0:c r="I513" s="3" t="inlineStr">
        <ns0:is>
          <ns0:t>localdownload/R12923/fulltext.pdf</ns0:t>
        </ns0:is>
      </ns0:c>
      <ns0:c r="J513" s="3" t="n">
        <ns0:v>4452184</ns0:v>
      </ns0:c>
      <ns0:c r="K513" s="3" t="inlineStr">
        <ns0:is>
          <ns0:t>c5fa38e81cb6810fe86ef0057bf639cfed200bf6ffd2a8045b1ac0541a825307</ns0:t>
        </ns0:is>
      </ns0:c>
      <ns0:c r="L513" s="3" t="inlineStr">
        <ns0:is>
          <ns0:t>identity_and_body_structure_verified</ns0:t>
        </ns0:is>
      </ns0:c>
      <ns0:c r="M513" s="3" t="inlineStr"/>
      <ns0:c r="N513" s="3" t="inlineStr">
        <ns0:is>
          <ns0:t>首页/前两页题名作者或目标DOI核对，全部页面解析及正文结构检查；不据文件名判全文。</ns0:t>
        </ns0:is>
      </ns0:c>
      <ns0:c r="O513" s="3" t="inlineStr">
        <ns0:is>
          <ns0:t>https://github.com/Colliam-Vermilion/FirstCodex/blob/results/ad-oxygen-literature-20261006/results/ad-oxygen-literature-20261006/original_files/R12923/fulltext/fulltext__published__c5fa38e81cb6810f.pdf</ns0:t>
        </ns0:is>
      </ns0:c>
    </ns0:row>
    <ns0:row r="514" ht="48" customHeight="1">
      <ns0:c r="A514" s="2" t="inlineStr">
        <ns0:is>
          <ns0:t>R05823</ns0:t>
        </ns0:is>
      </ns0:c>
      <ns0:c r="B514" s="2" t="inlineStr">
        <ns0:is>
          <ns0:t>Metagenome metabolic analysis revealing the mechanism of simultaneous methanogenesis, aerobic methane oxidation and denitrification ( SMAMOD ) in a microaerobic up‐flow sludge bed biofilm reactor</ns0:t>
        </ns0:is>
      </ns0:c>
      <ns0:c r="C514" s="2" t="inlineStr">
        <ns0:is>
          <ns0:t>10.1002/jctb.6410</ns0:t>
        </ns0:is>
      </ns0:c>
      <ns0:c r="D514" s="2" t="inlineStr">
        <ns0:is>
          <ns0:t>fulltext</ns0:t>
        </ns0:is>
      </ns0:c>
      <ns0:c r="E514" s="2" t="inlineStr">
        <ns0:is>
          <ns0:t>出版版（版式及版权文字）</ns0:t>
        </ns0:is>
      </ns0:c>
      <ns0:c r="F514" s="2" t="inlineStr">
        <ns0:is>
          <ns0:t>fulltext.pdf</ns0:t>
        </ns0:is>
      </ns0:c>
      <ns0:c r="G514" s="2" t="inlineStr">
        <ns0:is>
          <ns0:t>original_files/R05823/fulltext/fulltext__published__c6fa55a563376199.pdf</ns0:t>
        </ns0:is>
      </ns0:c>
      <ns0:c r="H514" s="2" t="inlineStr">
        <ns0:is>
          <ns0:t>local_upload</ns0:t>
        </ns0:is>
      </ns0:c>
      <ns0:c r="I514" s="2" t="inlineStr">
        <ns0:is>
          <ns0:t>localdownload/R05823/fulltext.pdf</ns0:t>
        </ns0:is>
      </ns0:c>
      <ns0:c r="J514" s="2" t="n">
        <ns0:v>1446525</ns0:v>
      </ns0:c>
      <ns0:c r="K514" s="2" t="inlineStr">
        <ns0:is>
          <ns0:t>c6fa55a5633761999d78a6ced8f43dcb08d03cb366b19f0028eaae1db7034227</ns0:t>
        </ns0:is>
      </ns0:c>
      <ns0:c r="L514" s="2" t="inlineStr">
        <ns0:is>
          <ns0:t>identity_and_body_structure_verified</ns0:t>
        </ns0:is>
      </ns0:c>
      <ns0:c r="M514" s="2" t="inlineStr"/>
      <ns0:c r="N514" s="2" t="inlineStr">
        <ns0:is>
          <ns0:t>首页/前两页题名作者或目标DOI核对，全部页面解析及正文结构检查；不据文件名判全文。</ns0:t>
        </ns0:is>
      </ns0:c>
      <ns0:c r="O514" s="2" t="inlineStr">
        <ns0:is>
          <ns0:t>https://github.com/Colliam-Vermilion/FirstCodex/blob/results/ad-oxygen-literature-20261006/results/ad-oxygen-literature-20261006/original_files/R05823/fulltext/fulltext__published__c6fa55a563376199.pdf</ns0:t>
        </ns0:is>
      </ns0:c>
    </ns0:row>
    <ns0:row r="515" ht="48" customHeight="1">
      <ns0:c r="A515" s="3" t="inlineStr">
        <ns0:is>
          <ns0:t>R13905</ns0:t>
        </ns0:is>
      </ns0:c>
      <ns0:c r="B515" s="3" t="inlineStr">
        <ns0:is>
          <ns0:t>The Effect of a Short Term Aerobic Pretreatment Step on the Anaerobic Co-digestion of the Organic Fraction of Municipal Solid Wastes: Liquid Extract Addition Versus Solid Phase Addition</ns0:t>
        </ns0:is>
      </ns0:c>
      <ns0:c r="C515" s="3" t="inlineStr">
        <ns0:is>
          <ns0:t>10.1007/s12649-016-9743-6</ns0:t>
        </ns0:is>
      </ns0:c>
      <ns0:c r="D515" s="3" t="inlineStr">
        <ns0:is>
          <ns0:t>fulltext</ns0:t>
        </ns0:is>
      </ns0:c>
      <ns0:c r="E515" s="3" t="inlineStr">
        <ns0:is>
          <ns0:t>author manuscript, explicitly repository-labelled pre-print; not final authenticated publisher version</ns0:t>
        </ns0:is>
      </ns0:c>
      <ns0:c r="F515" s="3" t="inlineStr">
        <ns0:is>
          <ns0:t>R13905_2017_The_Effect_of_a_Short_Term_Aerobic_Pretreatment_Step_on_the_Anaerobic_Co_digestion_of_the_Organic_Fr.pdf</ns0:t>
        </ns0:is>
      </ns0:c>
      <ns0:c r="G515" s="3" t="inlineStr">
        <ns0:is>
          <ns0:t>original_files/R13905/fulltext/fulltext__version_unverified__c75b5084c2545bd9.pdf</ns0:t>
        </ns0:is>
      </ns0:c>
      <ns0:c r="H515" s="3" t="inlineStr">
        <ns0:is>
          <ns0:t>cloud_existing</ns0:t>
        </ns0:is>
      </ns0:c>
      <ns0:c r="I515" s="3" t="inlineStr">
        <ns0:is>
          <ns0:t>original_files/fulltext/R13905_2017_The_Effect_of_a_Short_Term_Aerobic_Pretreatment_Step_on_the_Anaerobic_Co_digestion_of_the_Organic_Fr.pdf</ns0:t>
        </ns0:is>
      </ns0:c>
      <ns0:c r="J515" s="3" t="n">
        <ns0:v>2159708</ns0:v>
      </ns0:c>
      <ns0:c r="K515" s="3" t="inlineStr">
        <ns0:is>
          <ns0:t>c75b5084c2545bd939d3b1928be41fe0072c7302f26c25ba023c4bb6fc8a6970</ns0:t>
        </ns0:is>
      </ns0:c>
      <ns0:c r="L515" s="3" t="inlineStr">
        <ns0:is>
          <ns0:t>identity_and_body_structure_verified</ns0:t>
        </ns0:is>
      </ns0:c>
      <ns0:c r="M515" s="3" t="inlineStr"/>
      <ns0:c r="N515" s="3" t="inlineStr">
        <ns0:is>
          <ns0:t>首页/前两页题名作者或目标DOI核对，全部页面解析及正文结构检查；不据文件名判全文。</ns0:t>
        </ns0:is>
      </ns0:c>
      <ns0:c r="O515" s="3" t="inlineStr">
        <ns0:is>
          <ns0:t>https://github.com/Colliam-Vermilion/FirstCodex/blob/results/ad-oxygen-literature-20261006/results/ad-oxygen-literature-20261006/original_files/R13905/fulltext/fulltext__version_unverified__c75b5084c2545bd9.pdf</ns0:t>
        </ns0:is>
      </ns0:c>
    </ns0:row>
    <ns0:row r="516" ht="48" customHeight="1">
      <ns0:c r="A516" s="2" t="inlineStr">
        <ns0:is>
          <ns0:t>R08646</ns0:t>
        </ns0:is>
      </ns0:c>
      <ns0:c r="B516" s="2" t="inlineStr">
        <ns0:is>
          <ns0:t>Approaches to mitigation of hydrogen sulfide during anaerobic digestion process – A review</ns0:t>
        </ns0:is>
      </ns0:c>
      <ns0:c r="C516" s="2" t="inlineStr">
        <ns0:is>
          <ns0:t>10.1016/j.heliyon.2023.e19768</ns0:t>
        </ns0:is>
      </ns0:c>
      <ns0:c r="D516" s="2" t="inlineStr">
        <ns0:is>
          <ns0:t>source_evidence</ns0:t>
        </ns0:is>
      </ns0:c>
      <ns0:c r="E516" s="2" t="inlineStr"/>
      <ns0:c r="F516" s="2" t="inlineStr">
        <ns0:is>
          <ns0:t>PMC10559078_fullText.xml</ns0:t>
        </ns0:is>
      </ns0:c>
      <ns0:c r="G516" s="2" t="inlineStr">
        <ns0:is>
          <ns0:t>original_files/R08646/evidence/source_evidence__c7b723e8020f6582.xml</ns0:t>
        </ns0:is>
      </ns0:c>
      <ns0:c r="H516" s="2" t="inlineStr">
        <ns0:is>
          <ns0:t>cloud_existing</ns0:t>
        </ns0:is>
      </ns0:c>
      <ns0:c r="I516" s="2" t="inlineStr">
        <ns0:is>
          <ns0:t>original_files/source_evidence/R08646/PMC10559078_fullText.xml</ns0:t>
        </ns0:is>
      </ns0:c>
      <ns0:c r="J516" s="2" t="n">
        <ns0:v>304277</ns0:v>
      </ns0:c>
      <ns0:c r="K516" s="2" t="inlineStr">
        <ns0:is>
          <ns0:t>c7b723e8020f65823eaf8b08c6b56c36aab85784bbef3b10c9a85a820b960d3a</ns0:t>
        </ns0:is>
      </ns0:c>
      <ns0:c r="L516" s="2" t="inlineStr">
        <ns0:is>
          <ns0:t>text_readable</ns0:t>
        </ns0:is>
      </ns0:c>
      <ns0:c r="M516" s="2" t="inlineStr"/>
      <ns0:c r="N516" s="2" t="inlineStr"/>
      <ns0:c r="O516" s="2" t="inlineStr">
        <ns0:is>
          <ns0:t>https://github.com/Colliam-Vermilion/FirstCodex/blob/results/ad-oxygen-literature-20261006/results/ad-oxygen-literature-20261006/original_files/R08646/evidence/source_evidence__c7b723e8020f6582.xml</ns0:t>
        </ns0:is>
      </ns0:c>
    </ns0:row>
    <ns0:row r="517" ht="48" customHeight="1">
      <ns0:c r="A517" s="3" t="inlineStr">
        <ns0:is>
          <ns0:t>R06674</ns0:t>
        </ns0:is>
      </ns0:c>
      <ns0:c r="B517" s="3" t="inlineStr">
        <ns0:is>
          <ns0:t>Enhanced volatile fatty acids production from Napier grass(Pennisetum purpureum) using micro-aerated anaerobic culture</ns0:t>
        </ns0:is>
      </ns0:c>
      <ns0:c r="C517" s="3" t="inlineStr">
        <ns0:is>
          <ns0:t>10.14456/sjst-psu.2021.235</ns0:t>
        </ns0:is>
      </ns0:c>
      <ns0:c r="D517" s="3" t="inlineStr">
        <ns0:is>
          <ns0:t>fulltext</ns0:t>
        </ns0:is>
      </ns0:c>
      <ns0:c r="E517" s="3" t="inlineStr">
        <ns0:is>
          <ns0:t>版本待核实</ns0:t>
        </ns0:is>
      </ns0:c>
      <ns0:c r="F517" s="3" t="inlineStr">
        <ns0:is>
          <ns0:t>fulltext.pdf</ns0:t>
        </ns0:is>
      </ns0:c>
      <ns0:c r="G517" s="3" t="inlineStr">
        <ns0:is>
          <ns0:t>original_files/R06674/fulltext/fulltext__version_unverified__c7efa201e3abc6fb.pdf</ns0:t>
        </ns0:is>
      </ns0:c>
      <ns0:c r="H517" s="3" t="inlineStr">
        <ns0:is>
          <ns0:t>local_upload</ns0:t>
        </ns0:is>
      </ns0:c>
      <ns0:c r="I517" s="3" t="inlineStr">
        <ns0:is>
          <ns0:t>localdownload/R06674/fulltext.pdf</ns0:t>
        </ns0:is>
      </ns0:c>
      <ns0:c r="J517" s="3" t="n">
        <ns0:v>884444</ns0:v>
      </ns0:c>
      <ns0:c r="K517" s="3" t="inlineStr">
        <ns0:is>
          <ns0:t>c7efa201e3abc6fb3862a82765e47a58cd229b318e3d703bafe043e3af050a88</ns0:t>
        </ns0:is>
      </ns0:c>
      <ns0:c r="L517" s="3" t="inlineStr">
        <ns0:is>
          <ns0:t>identity_and_body_structure_verified</ns0:t>
        </ns0:is>
      </ns0:c>
      <ns0:c r="M517" s="3" t="inlineStr"/>
      <ns0:c r="N517" s="3" t="inlineStr">
        <ns0:is>
          <ns0:t>首页/前两页题名作者或目标DOI核对，全部页面解析及正文结构检查；不据文件名判全文。</ns0:t>
        </ns0:is>
      </ns0:c>
      <ns0:c r="O517" s="3" t="inlineStr">
        <ns0:is>
          <ns0:t>https://github.com/Colliam-Vermilion/FirstCodex/blob/results/ad-oxygen-literature-20261006/results/ad-oxygen-literature-20261006/original_files/R06674/fulltext/fulltext__version_unverified__c7efa201e3abc6fb.pdf</ns0:t>
        </ns0:is>
      </ns0:c>
    </ns0:row>
    <ns0:row r="518" ht="48" customHeight="1">
      <ns0:c r="A518" s="2" t="inlineStr">
        <ns0:is>
          <ns0:t>R13853</ns0:t>
        </ns0:is>
      </ns0:c>
      <ns0:c r="B518" s="2" t="inlineStr">
        <ns0:is>
          <ns0:t>Aeration in sludge holding tanks as an economical means for biosolids odor control—A case study</ns0:t>
        </ns0:is>
      </ns0:c>
      <ns0:c r="C518" s="2" t="inlineStr">
        <ns0:is>
          <ns0:t>10.1002/wer.1582</ns0:t>
        </ns0:is>
      </ns0:c>
      <ns0:c r="D518" s="2" t="inlineStr">
        <ns0:is>
          <ns0:t>fulltext</ns0:t>
        </ns0:is>
      </ns0:c>
      <ns0:c r="E518" s="2" t="inlineStr">
        <ns0:is>
          <ns0:t>出版版（版式及版权文字）</ns0:t>
        </ns0:is>
      </ns0:c>
      <ns0:c r="F518" s="2" t="inlineStr">
        <ns0:is>
          <ns0:t>fulltext.pdf</ns0:t>
        </ns0:is>
      </ns0:c>
      <ns0:c r="G518" s="2" t="inlineStr">
        <ns0:is>
          <ns0:t>original_files/R13853/fulltext/fulltext__published__c84ba3c1029e9ab5.pdf</ns0:t>
        </ns0:is>
      </ns0:c>
      <ns0:c r="H518" s="2" t="inlineStr">
        <ns0:is>
          <ns0:t>local_upload</ns0:t>
        </ns0:is>
      </ns0:c>
      <ns0:c r="I518" s="2" t="inlineStr">
        <ns0:is>
          <ns0:t>localdownload/R13853/fulltext.pdf</ns0:t>
        </ns0:is>
      </ns0:c>
      <ns0:c r="J518" s="2" t="n">
        <ns0:v>923410</ns0:v>
      </ns0:c>
      <ns0:c r="K518" s="2" t="inlineStr">
        <ns0:is>
          <ns0:t>c84ba3c1029e9ab5990527044218703a83109ee8e646cf1c42ce36ba8870d84d</ns0:t>
        </ns0:is>
      </ns0:c>
      <ns0:c r="L518" s="2" t="inlineStr">
        <ns0:is>
          <ns0:t>identity_and_body_structure_verified</ns0:t>
        </ns0:is>
      </ns0:c>
      <ns0:c r="M518" s="2" t="inlineStr"/>
      <ns0:c r="N518" s="2" t="inlineStr">
        <ns0:is>
          <ns0:t>首页/前两页题名作者或目标DOI核对，全部页面解析及正文结构检查；不据文件名判全文。</ns0:t>
        </ns0:is>
      </ns0:c>
      <ns0:c r="O518" s="2" t="inlineStr">
        <ns0:is>
          <ns0:t>https://github.com/Colliam-Vermilion/FirstCodex/blob/results/ad-oxygen-literature-20261006/results/ad-oxygen-literature-20261006/original_files/R13853/fulltext/fulltext__published__c84ba3c1029e9ab5.pdf</ns0:t>
        </ns0:is>
      </ns0:c>
    </ns0:row>
    <ns0:row r="519" ht="48" customHeight="1">
      <ns0:c r="A519" s="3" t="inlineStr">
        <ns0:is>
          <ns0:t>R11448</ns0:t>
        </ns0:is>
      </ns0:c>
      <ns0:c r="B519" s="3" t="inlineStr">
        <ns0:is>
          <ns0:t>Emerging materials and pretreatment strategies in anaerobic digestion for biogas production: A review on recent advances, limitations, and future perspectives</ns0:t>
        </ns0:is>
      </ns0:c>
      <ns0:c r="C519" s="3" t="inlineStr">
        <ns0:is>
          <ns0:t>10.1016/j.indcrop.2025.121939</ns0:t>
        </ns0:is>
      </ns0:c>
      <ns0:c r="D519" s="3" t="inlineStr">
        <ns0:is>
          <ns0:t>fulltext</ns0:t>
        </ns0:is>
      </ns0:c>
      <ns0:c r="E519" s="3" t="inlineStr">
        <ns0:is>
          <ns0:t>出版版（版式及版权文字）</ns0:t>
        </ns0:is>
      </ns0:c>
      <ns0:c r="F519" s="3" t="inlineStr">
        <ns0:is>
          <ns0:t>fulltext.pdf</ns0:t>
        </ns0:is>
      </ns0:c>
      <ns0:c r="G519" s="3" t="inlineStr">
        <ns0:is>
          <ns0:t>original_files/R11448/fulltext/fulltext__published__c8b73809eeb340c8.pdf</ns0:t>
        </ns0:is>
      </ns0:c>
      <ns0:c r="H519" s="3" t="inlineStr">
        <ns0:is>
          <ns0:t>local_upload</ns0:t>
        </ns0:is>
      </ns0:c>
      <ns0:c r="I519" s="3" t="inlineStr">
        <ns0:is>
          <ns0:t>localdownload/R11448/fulltext.pdf</ns0:t>
        </ns0:is>
      </ns0:c>
      <ns0:c r="J519" s="3" t="n">
        <ns0:v>20835990</ns0:v>
      </ns0:c>
      <ns0:c r="K519" s="3" t="inlineStr">
        <ns0:is>
          <ns0:t>c8b73809eeb340c8585f8bb0eada23a780073f5882c6021f3c059dd49419c711</ns0:t>
        </ns0:is>
      </ns0:c>
      <ns0:c r="L519" s="3" t="inlineStr">
        <ns0:is>
          <ns0:t>identity_and_body_structure_verified</ns0:t>
        </ns0:is>
      </ns0:c>
      <ns0:c r="M519" s="3" t="inlineStr"/>
      <ns0:c r="N519" s="3" t="inlineStr">
        <ns0:is>
          <ns0:t>首页/前两页题名作者或目标DOI核对，全部页面解析及正文结构检查；不据文件名判全文。</ns0:t>
        </ns0:is>
      </ns0:c>
      <ns0:c r="O519" s="3" t="inlineStr">
        <ns0:is>
          <ns0:t>https://github.com/Colliam-Vermilion/FirstCodex/blob/results/ad-oxygen-literature-20261006/results/ad-oxygen-literature-20261006/original_files/R11448/fulltext/fulltext__published__c8b73809eeb340c8.pdf</ns0:t>
        </ns0:is>
      </ns0:c>
    </ns0:row>
    <ns0:row r="520" ht="48" customHeight="1">
      <ns0:c r="A520" s="2" t="inlineStr">
        <ns0:is>
          <ns0:t>R12483</ns0:t>
        </ns0:is>
      </ns0:c>
      <ns0:c r="B520" s="2" t="inlineStr">
        <ns0:is>
          <ns0:t>การปรับสภาพชีวมวลลิกโนเซลลูโลสด้วยวัสดุเพาะเห็ดเหลือทิ้ง: แนวทางการเพิ่มมูลค่าวัสดุเหลือทิ้งทางการเกษตรเพื่อการผลิตแก๊สชีวภาพอย่างยั่งยืน</ns0:t>
        </ns0:is>
      </ns0:c>
      <ns0:c r="C520" s="2" t="inlineStr"/>
      <ns0:c r="D520" s="2" t="inlineStr">
        <ns0:is>
          <ns0:t>source_evidence</ns0:t>
        </ns0:is>
      </ns0:c>
      <ns0:c r="E520" s="2" t="inlineStr"/>
      <ns0:c r="F520" s="2" t="inlineStr">
        <ns0:is>
          <ns0:t>publisher_article_page_20261017.html</ns0:t>
        </ns0:is>
      </ns0:c>
      <ns0:c r="G520" s="2" t="inlineStr">
        <ns0:is>
          <ns0:t>original_files/R12483/evidence/source_evidence__c91412b83d1a6965.html</ns0:t>
        </ns0:is>
      </ns0:c>
      <ns0:c r="H520" s="2" t="inlineStr">
        <ns0:is>
          <ns0:t>cloud_existing</ns0:t>
        </ns0:is>
      </ns0:c>
      <ns0:c r="I520" s="2" t="inlineStr">
        <ns0:is>
          <ns0:t>original_files/source_evidence/R12483/publisher_article_page_20261017.html</ns0:t>
        </ns0:is>
      </ns0:c>
      <ns0:c r="J520" s="2" t="n">
        <ns0:v>70796</ns0:v>
      </ns0:c>
      <ns0:c r="K520" s="2" t="inlineStr">
        <ns0:is>
          <ns0:t>c91412b83d1a6965476544a75c7ef33faefa16dbd5d3ca1327d71bc49a1187ae</ns0:t>
        </ns0:is>
      </ns0:c>
      <ns0:c r="L520" s="2" t="inlineStr">
        <ns0:is>
          <ns0:t>text_readable</ns0:t>
        </ns0:is>
      </ns0:c>
      <ns0:c r="M520" s="2" t="inlineStr"/>
      <ns0:c r="N520" s="2" t="inlineStr"/>
      <ns0:c r="O520" s="2" t="inlineStr">
        <ns0:is>
          <ns0:t>https://github.com/Colliam-Vermilion/FirstCodex/blob/results/ad-oxygen-literature-20261006/results/ad-oxygen-literature-20261006/original_files/R12483/evidence/source_evidence__c91412b83d1a6965.html</ns0:t>
        </ns0:is>
      </ns0:c>
    </ns0:row>
    <ns0:row r="521" ht="48" customHeight="1">
      <ns0:c r="A521" s="3" t="inlineStr">
        <ns0:is>
          <ns0:t>R13863</ns0:t>
        </ns0:is>
      </ns0:c>
      <ns0:c r="B521" s="3" t="inlineStr">
        <ns0:is>
          <ns0:t>Biochemical methane potential from sewage sludge: Effect of an aerobic pretreatment and fly ash addition as source of trace elements.</ns0:t>
        </ns0:is>
      </ns0:c>
      <ns0:c r="C521" s="3" t="inlineStr">
        <ns0:is>
          <ns0:t>10.1016/j.wasman.2017.03.023</ns0:t>
        </ns0:is>
      </ns0:c>
      <ns0:c r="D521" s="3" t="inlineStr">
        <ns0:is>
          <ns0:t>supplementary</ns0:t>
        </ns0:is>
      </ns0:c>
      <ns0:c r="E521" s="3" t="inlineStr"/>
      <ns0:c r="F521" s="3" t="inlineStr">
        <ns0:is>
          <ns0:t>supplementary.docx</ns0:t>
        </ns0:is>
      </ns0:c>
      <ns0:c r="G521" s="3" t="inlineStr">
        <ns0:is>
          <ns0:t>original_files/R13863/supplementary/supplementary__c96aa2a350b0c45a.docx</ns0:t>
        </ns0:is>
      </ns0:c>
      <ns0:c r="H521" s="3" t="inlineStr">
        <ns0:is>
          <ns0:t>local_upload</ns0:t>
        </ns0:is>
      </ns0:c>
      <ns0:c r="I521" s="3" t="inlineStr">
        <ns0:is>
          <ns0:t>localdownload/R13863/supplementary.docx</ns0:t>
        </ns0:is>
      </ns0:c>
      <ns0:c r="J521" s="3" t="n">
        <ns0:v>1475487</ns0:v>
      </ns0:c>
      <ns0:c r="K521" s="3" t="inlineStr">
        <ns0:is>
          <ns0:t>c96aa2a350b0c45a38ff417e2107523578534dad174981ac68db5bfae4786a65</ns0:t>
        </ns0:is>
      </ns0:c>
      <ns0:c r="L521" s="3" t="inlineStr">
        <ns0:is>
          <ns0:t>container_crc_verified</ns0:t>
        </ns0:is>
      </ns0:c>
      <ns0:c r="M521" s="3" t="inlineStr">
        <ns0:is>
          <ns0:t>directory_and_content_consistent_identity_pending</ns0:t>
        </ns0:is>
      </ns0:c>
      <ns0:c r="N521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21" s="3" t="inlineStr">
        <ns0:is>
          <ns0:t>https://github.com/Colliam-Vermilion/FirstCodex/blob/results/ad-oxygen-literature-20261006/results/ad-oxygen-literature-20261006/original_files/R13863/supplementary/supplementary__c96aa2a350b0c45a.docx</ns0:t>
        </ns0:is>
      </ns0:c>
    </ns0:row>
    <ns0:row r="522" ht="48" customHeight="1">
      <ns0:c r="A522" s="2" t="inlineStr">
        <ns0:is>
          <ns0:t>R13857</ns0:t>
        </ns0:is>
      </ns0:c>
      <ns0:c r="B522" s="2" t="inlineStr">
        <ns0:is>
          <ns0:t>Effects of biological pretreatments of microalgae on hydrolysis, biomethane potential and microbial community</ns0:t>
        </ns0:is>
      </ns0:c>
      <ns0:c r="C522" s="2" t="inlineStr">
        <ns0:is>
          <ns0:t>10.1016/j.biortech.2021.124905</ns0:t>
        </ns0:is>
      </ns0:c>
      <ns0:c r="D522" s="2" t="inlineStr">
        <ns0:is>
          <ns0:t>supplementary</ns0:t>
        </ns0:is>
      </ns0:c>
      <ns0:c r="E522" s="2" t="inlineStr"/>
      <ns0:c r="F522" s="2" t="inlineStr">
        <ns0:is>
          <ns0:t>supplementary1.pdf</ns0:t>
        </ns0:is>
      </ns0:c>
      <ns0:c r="G522" s="2" t="inlineStr">
        <ns0:is>
          <ns0:t>original_files/R13857/supplementary/supplementary__c9a5648ce02d5d25.pdf</ns0:t>
        </ns0:is>
      </ns0:c>
      <ns0:c r="H522" s="2" t="inlineStr">
        <ns0:is>
          <ns0:t>local_upload</ns0:t>
        </ns0:is>
      </ns0:c>
      <ns0:c r="I522" s="2" t="inlineStr">
        <ns0:is>
          <ns0:t>localdownload/R13857/supplementary1.pdf</ns0:t>
        </ns0:is>
      </ns0:c>
      <ns0:c r="J522" s="2" t="n">
        <ns0:v>189738</ns0:v>
      </ns0:c>
      <ns0:c r="K522" s="2" t="inlineStr">
        <ns0:is>
          <ns0:t>c9a5648ce02d5d25f63399e4df2dba8d5cfa638f6faff87b752f3d7bbe6399a7</ns0:t>
        </ns0:is>
      </ns0:c>
      <ns0:c r="L522" s="2" t="inlineStr">
        <ns0:is>
          <ns0:t>pdf_readable_requires_role_review</ns0:t>
        </ns0:is>
      </ns0:c>
      <ns0:c r="M522" s="2" t="inlineStr">
        <ns0:is>
          <ns0:t>title_in_attachment_verified</ns0:t>
        </ns0:is>
      </ns0:c>
      <ns0:c r="N522" s="2" t="inlineStr"/>
      <ns0:c r="O522" s="2" t="inlineStr">
        <ns0:is>
          <ns0:t>https://github.com/Colliam-Vermilion/FirstCodex/blob/results/ad-oxygen-literature-20261006/results/ad-oxygen-literature-20261006/original_files/R13857/supplementary/supplementary__c9a5648ce02d5d25.pdf</ns0:t>
        </ns0:is>
      </ns0:c>
    </ns0:row>
    <ns0:row r="523" ht="48" customHeight="1">
      <ns0:c r="A523" s="3" t="inlineStr">
        <ns0:is>
          <ns0:t>R04119</ns0:t>
        </ns0:is>
      </ns0:c>
      <ns0:c r="B523" s="3" t="inlineStr">
        <ns0:is>
          <ns0:t>Microbial pretreatment of lignocellulosic biomass for enhanced biomethanation and waste management</ns0:t>
        </ns0:is>
      </ns0:c>
      <ns0:c r="C523" s="3" t="inlineStr">
        <ns0:is>
          <ns0:t>10.1007/s13205-018-1480-z</ns0:t>
        </ns0:is>
      </ns0:c>
      <ns0:c r="D523" s="3" t="inlineStr">
        <ns0:is>
          <ns0:t>fulltext</ns0:t>
        </ns0:is>
      </ns0:c>
      <ns0:c r="E523" s="3" t="inlineStr">
        <ns0:is>
          <ns0:t>出版版本（原页出版信息）</ns0:t>
        </ns0:is>
      </ns0:c>
      <ns0:c r="F523" s="3" t="inlineStr">
        <ns0:is>
          <ns0:t>R04119_2018_Microbial_pretreatment_of_lignocellulosic_biomass_for_enhanced_biomethanation_and.pdf</ns0:t>
        </ns0:is>
      </ns0:c>
      <ns0:c r="G523" s="3" t="inlineStr">
        <ns0:is>
          <ns0:t>original_files/R04119/fulltext/fulltext__published__c9b1902447e38978.pdf</ns0:t>
        </ns0:is>
      </ns0:c>
      <ns0:c r="H523" s="3" t="inlineStr">
        <ns0:is>
          <ns0:t>cloud_existing</ns0:t>
        </ns0:is>
      </ns0:c>
      <ns0:c r="I523" s="3" t="inlineStr">
        <ns0:is>
          <ns0:t>original_files/fulltext/R04119_2018_Microbial_pretreatment_of_lignocellulosic_biomass_for_enhanced_biomethanation_and.pdf</ns0:t>
        </ns0:is>
      </ns0:c>
      <ns0:c r="J523" s="3" t="n">
        <ns0:v>1726821</ns0:v>
      </ns0:c>
      <ns0:c r="K523" s="3" t="inlineStr">
        <ns0:is>
          <ns0:t>c9b1902447e38978d2f6f25327940f80e825baee1ebabba8bd8a860ed1fa254c</ns0:t>
        </ns0:is>
      </ns0:c>
      <ns0:c r="L523" s="3" t="inlineStr">
        <ns0:is>
          <ns0:t>identity_and_body_structure_verified</ns0:t>
        </ns0:is>
      </ns0:c>
      <ns0:c r="M523" s="3" t="inlineStr"/>
      <ns0:c r="N523" s="3" t="inlineStr">
        <ns0:is>
          <ns0:t>首页/前两页题名作者或目标DOI核对，全部页面解析及正文结构检查；不据文件名判全文。</ns0:t>
        </ns0:is>
      </ns0:c>
      <ns0:c r="O523" s="3" t="inlineStr">
        <ns0:is>
          <ns0:t>https://github.com/Colliam-Vermilion/FirstCodex/blob/results/ad-oxygen-literature-20261006/results/ad-oxygen-literature-20261006/original_files/R04119/fulltext/fulltext__published__c9b1902447e38978.pdf</ns0:t>
        </ns0:is>
      </ns0:c>
    </ns0:row>
    <ns0:row r="524" ht="48" customHeight="1">
      <ns0:c r="A524" s="2" t="inlineStr">
        <ns0:is>
          <ns0:t>R06626</ns0:t>
        </ns0:is>
      </ns0:c>
      <ns0:c r="B524" s="2" t="inlineStr">
        <ns0:is>
          <ns0:t>Effects of micro-aeration on microbial niches and antimicrobial resistances in blackwater anaerobic digesters</ns0:t>
        </ns0:is>
      </ns0:c>
      <ns0:c r="C524" s="2" t="inlineStr">
        <ns0:is>
          <ns0:t>10.1016/j.watres.2021.117035</ns0:t>
        </ns0:is>
      </ns0:c>
      <ns0:c r="D524" s="2" t="inlineStr">
        <ns0:is>
          <ns0:t>supplementary</ns0:t>
        </ns0:is>
      </ns0:c>
      <ns0:c r="E524" s="2" t="inlineStr"/>
      <ns0:c r="F524" s="2" t="inlineStr">
        <ns0:is>
          <ns0:t>supplementary.docx</ns0:t>
        </ns0:is>
      </ns0:c>
      <ns0:c r="G524" s="2" t="inlineStr">
        <ns0:is>
          <ns0:t>original_files/R06626/supplementary/supplementary__ca0646d8057c0581.docx</ns0:t>
        </ns0:is>
      </ns0:c>
      <ns0:c r="H524" s="2" t="inlineStr">
        <ns0:is>
          <ns0:t>local_upload</ns0:t>
        </ns0:is>
      </ns0:c>
      <ns0:c r="I524" s="2" t="inlineStr">
        <ns0:is>
          <ns0:t>localdownload/R06626/supplementary.docx</ns0:t>
        </ns0:is>
      </ns0:c>
      <ns0:c r="J524" s="2" t="n">
        <ns0:v>1672844</ns0:v>
      </ns0:c>
      <ns0:c r="K524" s="2" t="inlineStr">
        <ns0:is>
          <ns0:t>ca0646d8057c0581077d75887d4acb63448eb3c2ef4300b76dfb11febefa932a</ns0:t>
        </ns0:is>
      </ns0:c>
      <ns0:c r="L524" s="2" t="inlineStr">
        <ns0:is>
          <ns0:t>container_crc_verified</ns0:t>
        </ns0:is>
      </ns0:c>
      <ns0:c r="M524" s="2" t="inlineStr">
        <ns0:is>
          <ns0:t>title_in_attachment_verified</ns0:t>
        </ns0:is>
      </ns0:c>
      <ns0:c r="N524" s="2" t="inlineStr"/>
      <ns0:c r="O524" s="2" t="inlineStr">
        <ns0:is>
          <ns0:t>https://github.com/Colliam-Vermilion/FirstCodex/blob/results/ad-oxygen-literature-20261006/results/ad-oxygen-literature-20261006/original_files/R06626/supplementary/supplementary__ca0646d8057c0581.docx</ns0:t>
        </ns0:is>
      </ns0:c>
    </ns0:row>
    <ns0:row r="525" ht="48" customHeight="1">
      <ns0:c r="A525" s="3" t="inlineStr">
        <ns0:is>
          <ns0:t>R13840</ns0:t>
        </ns0:is>
      </ns0:c>
      <ns0:c r="B525" s="3" t="inlineStr">
        <ns0:is>
          <ns0:t>Coupling of membrane-based bubbleless micro-aeration for 2,4-dinitrophenol degradation in a hydrolysis acidification reactor.</ns0:t>
        </ns0:is>
      </ns0:c>
      <ns0:c r="C525" s="3" t="inlineStr">
        <ns0:is>
          <ns0:t>10.1016/j.watres.2022.118119</ns0:t>
        </ns0:is>
      </ns0:c>
      <ns0:c r="D525" s="3" t="inlineStr">
        <ns0:is>
          <ns0:t>supplementary</ns0:t>
        </ns0:is>
      </ns0:c>
      <ns0:c r="E525" s="3" t="inlineStr"/>
      <ns0:c r="F525" s="3" t="inlineStr">
        <ns0:is>
          <ns0:t>supplementary2.xlsx</ns0:t>
        </ns0:is>
      </ns0:c>
      <ns0:c r="G525" s="3" t="inlineStr">
        <ns0:is>
          <ns0:t>original_files/R13840/supplementary/supplementary__ca2efc324366d4c5.xlsx</ns0:t>
        </ns0:is>
      </ns0:c>
      <ns0:c r="H525" s="3" t="inlineStr">
        <ns0:is>
          <ns0:t>local_upload</ns0:t>
        </ns0:is>
      </ns0:c>
      <ns0:c r="I525" s="3" t="inlineStr">
        <ns0:is>
          <ns0:t>localdownload/R13840/supplementary2.xlsx</ns0:t>
        </ns0:is>
      </ns0:c>
      <ns0:c r="J525" s="3" t="n">
        <ns0:v>142258</ns0:v>
      </ns0:c>
      <ns0:c r="K525" s="3" t="inlineStr">
        <ns0:is>
          <ns0:t>ca2efc324366d4c5bd83bd761035f2f5250777dede62c6dd7f2d141e14f101c9</ns0:t>
        </ns0:is>
      </ns0:c>
      <ns0:c r="L525" s="3" t="inlineStr">
        <ns0:is>
          <ns0:t>xlsx_open_and_zip_crc_verified</ns0:t>
        </ns0:is>
      </ns0:c>
      <ns0:c r="M525" s="3" t="inlineStr">
        <ns0:is>
          <ns0:t>directory_and_content_consistent_identity_pending</ns0:t>
        </ns0:is>
      </ns0:c>
      <ns0:c r="N525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25" s="3" t="inlineStr">
        <ns0:is>
          <ns0:t>https://github.com/Colliam-Vermilion/FirstCodex/blob/results/ad-oxygen-literature-20261006/results/ad-oxygen-literature-20261006/original_files/R13840/supplementary/supplementary__ca2efc324366d4c5.xlsx</ns0:t>
        </ns0:is>
      </ns0:c>
    </ns0:row>
    <ns0:row r="526" ht="48" customHeight="1">
      <ns0:c r="A526" s="2" t="inlineStr">
        <ns0:is>
          <ns0:t>R13940</ns0:t>
        </ns0:is>
      </ns0:c>
      <ns0:c r="B526" s="2" t="inlineStr">
        <ns0:is>
          <ns0:t>Impact of Microaeration and the Redox Mediator Anthraquinone‐2,6‐Disulfonate on Azo Dye Reduction and By‐Products Degradation</ns0:t>
        </ns0:is>
      </ns0:c>
      <ns0:c r="C526" s="2" t="inlineStr">
        <ns0:is>
          <ns0:t>10.1002/clen.201700518</ns0:t>
        </ns0:is>
      </ns0:c>
      <ns0:c r="D526" s="2" t="inlineStr">
        <ns0:is>
          <ns0:t>fulltext</ns0:t>
        </ns0:is>
      </ns0:c>
      <ns0:c r="E526" s="2" t="inlineStr">
        <ns0:is>
          <ns0:t>出版版（版式及版权文字）</ns0:t>
        </ns0:is>
      </ns0:c>
      <ns0:c r="F526" s="2" t="inlineStr">
        <ns0:is>
          <ns0:t>fulltext.pdf</ns0:t>
        </ns0:is>
      </ns0:c>
      <ns0:c r="G526" s="2" t="inlineStr">
        <ns0:is>
          <ns0:t>original_files/R13940/fulltext/fulltext__published__ca43ea0057db6aba.pdf</ns0:t>
        </ns0:is>
      </ns0:c>
      <ns0:c r="H526" s="2" t="inlineStr">
        <ns0:is>
          <ns0:t>local_upload</ns0:t>
        </ns0:is>
      </ns0:c>
      <ns0:c r="I526" s="2" t="inlineStr">
        <ns0:is>
          <ns0:t>localdownload/R13940/fulltext.pdf</ns0:t>
        </ns0:is>
      </ns0:c>
      <ns0:c r="J526" s="2" t="n">
        <ns0:v>1600692</ns0:v>
      </ns0:c>
      <ns0:c r="K526" s="2" t="inlineStr">
        <ns0:is>
          <ns0:t>ca43ea0057db6abaac138ea12041d244b4993b4fb207ad56eafb37cbb2782dec</ns0:t>
        </ns0:is>
      </ns0:c>
      <ns0:c r="L526" s="2" t="inlineStr">
        <ns0:is>
          <ns0:t>identity_and_body_structure_verified</ns0:t>
        </ns0:is>
      </ns0:c>
      <ns0:c r="M526" s="2" t="inlineStr"/>
      <ns0:c r="N526" s="2" t="inlineStr">
        <ns0:is>
          <ns0:t>首页/前两页题名作者或目标DOI核对，全部页面解析及正文结构检查；不据文件名判全文。</ns0:t>
        </ns0:is>
      </ns0:c>
      <ns0:c r="O526" s="2" t="inlineStr">
        <ns0:is>
          <ns0:t>https://github.com/Colliam-Vermilion/FirstCodex/blob/results/ad-oxygen-literature-20261006/results/ad-oxygen-literature-20261006/original_files/R13940/fulltext/fulltext__published__ca43ea0057db6aba.pdf</ns0:t>
        </ns0:is>
      </ns0:c>
    </ns0:row>
    <ns0:row r="527" ht="48" customHeight="1">
      <ns0:c r="A527" s="3" t="inlineStr">
        <ns0:is>
          <ns0:t>R09150</ns0:t>
        </ns0:is>
      </ns0:c>
      <ns0:c r="B527" s="3" t="inlineStr">
        <ns0:is>
          <ns0:t>Large-scale micro-aerobic digestion studies at municipal water resource recovery facilities for process-integrated biogas desulfurization</ns0:t>
        </ns0:is>
      </ns0:c>
      <ns0:c r="C527" s="3" t="inlineStr">
        <ns0:is>
          <ns0:t>10.1016/j.jwpe.2023.103643</ns0:t>
        </ns0:is>
      </ns0:c>
      <ns0:c r="D527" s="3" t="inlineStr">
        <ns0:is>
          <ns0:t>supplementary</ns0:t>
        </ns0:is>
      </ns0:c>
      <ns0:c r="E527" s="3" t="inlineStr"/>
      <ns0:c r="F527" s="3" t="inlineStr">
        <ns0:is>
          <ns0:t>supplementary.docx</ns0:t>
        </ns0:is>
      </ns0:c>
      <ns0:c r="G527" s="3" t="inlineStr">
        <ns0:is>
          <ns0:t>original_files/R09150/supplementary/supplementary__caf7b09abd29cc07.docx</ns0:t>
        </ns0:is>
      </ns0:c>
      <ns0:c r="H527" s="3" t="inlineStr">
        <ns0:is>
          <ns0:t>local_upload</ns0:t>
        </ns0:is>
      </ns0:c>
      <ns0:c r="I527" s="3" t="inlineStr">
        <ns0:is>
          <ns0:t>localdownload/R09150/supplementary.docx</ns0:t>
        </ns0:is>
      </ns0:c>
      <ns0:c r="J527" s="3" t="n">
        <ns0:v>858852</ns0:v>
      </ns0:c>
      <ns0:c r="K527" s="3" t="inlineStr">
        <ns0:is>
          <ns0:t>caf7b09abd29cc070da19b980469a3575b87e3e143f8fa8594621db94b84203f</ns0:t>
        </ns0:is>
      </ns0:c>
      <ns0:c r="L527" s="3" t="inlineStr">
        <ns0:is>
          <ns0:t>container_crc_verified</ns0:t>
        </ns0:is>
      </ns0:c>
      <ns0:c r="M527" s="3" t="inlineStr">
        <ns0:is>
          <ns0:t>title_in_attachment_verified</ns0:t>
        </ns0:is>
      </ns0:c>
      <ns0:c r="N527" s="3" t="inlineStr"/>
      <ns0:c r="O527" s="3" t="inlineStr">
        <ns0:is>
          <ns0:t>https://github.com/Colliam-Vermilion/FirstCodex/blob/results/ad-oxygen-literature-20261006/results/ad-oxygen-literature-20261006/original_files/R09150/supplementary/supplementary__caf7b09abd29cc07.docx</ns0:t>
        </ns0:is>
      </ns0:c>
    </ns0:row>
    <ns0:row r="528" ht="48" customHeight="1">
      <ns0:c r="A528" s="2" t="inlineStr">
        <ns0:is>
          <ns0:t>R06895</ns0:t>
        </ns0:is>
      </ns0:c>
      <ns0:c r="B528" s="2" t="inlineStr">
        <ns0:is>
          <ns0:t>Microaerobic Digestion of Low-Biodegradable Sewage Sludge: Effect of Air Dosing in Batch Reactors</ns0:t>
        </ns0:is>
      </ns0:c>
      <ns0:c r="C528" s="2" t="inlineStr">
        <ns0:is>
          <ns0:t>10.3390/su13179869</ns0:t>
        </ns0:is>
      </ns0:c>
      <ns0:c r="D528" s="2" t="inlineStr">
        <ns0:is>
          <ns0:t>fulltext</ns0:t>
        </ns0:is>
      </ns0:c>
      <ns0:c r="E528" s="2" t="inlineStr">
        <ns0:is>
          <ns0:t>出版版本（原页出版信息）</ns0:t>
        </ns0:is>
      </ns0:c>
      <ns0:c r="F528" s="2" t="inlineStr">
        <ns0:is>
          <ns0:t>R06895_2021_Microaerobic_Digestion_of_Low-Biodegradable_Sewage_Sludge_Effect_of_Air.pdf</ns0:t>
        </ns0:is>
      </ns0:c>
      <ns0:c r="G528" s="2" t="inlineStr">
        <ns0:is>
          <ns0:t>original_files/R06895/fulltext/fulltext__published__cb9c36d70f316c5f.pdf</ns0:t>
        </ns0:is>
      </ns0:c>
      <ns0:c r="H528" s="2" t="inlineStr">
        <ns0:is>
          <ns0:t>cloud_existing</ns0:t>
        </ns0:is>
      </ns0:c>
      <ns0:c r="I528" s="2" t="inlineStr">
        <ns0:is>
          <ns0:t>original_files/fulltext/R06895_2021_Microaerobic_Digestion_of_Low-Biodegradable_Sewage_Sludge_Effect_of_Air.pdf</ns0:t>
        </ns0:is>
      </ns0:c>
      <ns0:c r="J528" s="2" t="n">
        <ns0:v>1339849</ns0:v>
      </ns0:c>
      <ns0:c r="K528" s="2" t="inlineStr">
        <ns0:is>
          <ns0:t>cb9c36d70f316c5f81204159fa19c89a3402a6b62a01e34d1a85d3e5c55c94b2</ns0:t>
        </ns0:is>
      </ns0:c>
      <ns0:c r="L528" s="2" t="inlineStr">
        <ns0:is>
          <ns0:t>identity_and_body_structure_verified</ns0:t>
        </ns0:is>
      </ns0:c>
      <ns0:c r="M528" s="2" t="inlineStr"/>
      <ns0:c r="N528" s="2" t="inlineStr">
        <ns0:is>
          <ns0:t>首页/前两页题名作者或目标DOI核对，全部页面解析及正文结构检查；不据文件名判全文。</ns0:t>
        </ns0:is>
      </ns0:c>
      <ns0:c r="O528" s="2" t="inlineStr">
        <ns0:is>
          <ns0:t>https://github.com/Colliam-Vermilion/FirstCodex/blob/results/ad-oxygen-literature-20261006/results/ad-oxygen-literature-20261006/original_files/R06895/fulltext/fulltext__published__cb9c36d70f316c5f.pdf</ns0:t>
        </ns0:is>
      </ns0:c>
    </ns0:row>
    <ns0:row r="529" ht="48" customHeight="1">
      <ns0:c r="A529" s="3" t="inlineStr">
        <ns0:is>
          <ns0:t>R03400</ns0:t>
        </ns0:is>
      </ns0:c>
      <ns0:c r="B529" s="3" t="inlineStr">
        <ns0:is>
          <ns0:t>Model-based optimization of microaeration for biogas desulfurization in UASB reactors</ns0:t>
        </ns0:is>
      </ns0:c>
      <ns0:c r="C529" s="3" t="inlineStr">
        <ns0:is>
          <ns0:t>10.1016/j.bej.2017.06.009</ns0:t>
        </ns0:is>
      </ns0:c>
      <ns0:c r="D529" s="3" t="inlineStr">
        <ns0:is>
          <ns0:t>fulltext</ns0:t>
        </ns0:is>
      </ns0:c>
      <ns0:c r="E529" s="3" t="inlineStr">
        <ns0:is>
          <ns0:t>出版版（版式及版权文字）</ns0:t>
        </ns0:is>
      </ns0:c>
      <ns0:c r="F529" s="3" t="inlineStr">
        <ns0:is>
          <ns0:t>fulltext.pdf</ns0:t>
        </ns0:is>
      </ns0:c>
      <ns0:c r="G529" s="3" t="inlineStr">
        <ns0:is>
          <ns0:t>original_files/R03400/fulltext/fulltext__published__cba2185ab15ca24d.pdf</ns0:t>
        </ns0:is>
      </ns0:c>
      <ns0:c r="H529" t="inlineStr">
        <ns0:is>
          <ns0:t>local_upload; main@ab8353c误传副本</ns0:t>
        </ns0:is>
      </ns0:c>
      <ns0:c r="I529" t="inlineStr">
        <ns0:is>
          <ns0:t>localdownload/R03400/fulltext.pdf; main@ab8353c:R03400/fulltext.pdf</ns0:t>
        </ns0:is>
      </ns0:c>
      <ns0:c r="J529" s="3" t="n">
        <ns0:v>1111547</ns0:v>
      </ns0:c>
      <ns0:c r="K529" s="3" t="inlineStr">
        <ns0:is>
          <ns0:t>cba2185ab15ca24da84a7c037b3828d6d8e604231ec94a59baf4ca3062420a67</ns0:t>
        </ns0:is>
      </ns0:c>
      <ns0:c r="L529" s="3" t="inlineStr">
        <ns0:is>
          <ns0:t>identity_and_body_structure_verified</ns0:t>
        </ns0:is>
      </ns0:c>
      <ns0:c r="M529" s="3" t="inlineStr"/>
      <ns0:c r="N529" s="3" t="inlineStr">
        <ns0:is>
          <ns0:t>首页/前两页题名作者或目标DOI核对，全部页面解析及正文结构检查；不据文件名判全文。</ns0:t>
        </ns0:is>
      </ns0:c>
      <ns0:c r="O529" s="3" t="inlineStr">
        <ns0:is>
          <ns0:t>https://github.com/Colliam-Vermilion/FirstCodex/blob/results/ad-oxygen-literature-20261006/results/ad-oxygen-literature-20261006/original_files/R03400/fulltext/fulltext__published__cba2185ab15ca24d.pdf</ns0:t>
        </ns0:is>
      </ns0:c>
    </ns0:row>
    <ns0:row r="530" ht="48" customHeight="1">
      <ns0:c r="A530" s="2" t="inlineStr">
        <ns0:is>
          <ns0:t>R13895</ns0:t>
        </ns0:is>
      </ns0:c>
      <ns0:c r="B530" s="2" t="inlineStr">
        <ns0:is>
          <ns0:t>Enhancement of anaerobic batch digestion of spineless cacti (Opuntia ficus indica) feedstock by aerobic pre-treatment</ns0:t>
        </ns0:is>
      </ns0:c>
      <ns0:c r="C530" s="2" t="inlineStr">
        <ns0:is>
          <ns0:t>10.5897/ajb2018.16652</ns0:t>
        </ns0:is>
      </ns0:c>
      <ns0:c r="D530" s="2" t="inlineStr">
        <ns0:is>
          <ns0:t>source_evidence</ns0:t>
        </ns0:is>
      </ns0:c>
      <ns0:c r="E530" s="2" t="inlineStr"/>
      <ns0:c r="F530" s="2" t="inlineStr">
        <ns0:is>
          <ns0:t>publisher_article_page_20261017.html</ns0:t>
        </ns0:is>
      </ns0:c>
      <ns0:c r="G530" s="2" t="inlineStr">
        <ns0:is>
          <ns0:t>original_files/R13895/evidence/source_evidence__cbaf62a3a24fd183.html</ns0:t>
        </ns0:is>
      </ns0:c>
      <ns0:c r="H530" s="2" t="inlineStr">
        <ns0:is>
          <ns0:t>cloud_existing</ns0:t>
        </ns0:is>
      </ns0:c>
      <ns0:c r="I530" s="2" t="inlineStr">
        <ns0:is>
          <ns0:t>original_files/source_evidence/R13895/publisher_article_page_20261017.html</ns0:t>
        </ns0:is>
      </ns0:c>
      <ns0:c r="J530" s="2" t="n">
        <ns0:v>148510</ns0:v>
      </ns0:c>
      <ns0:c r="K530" s="2" t="inlineStr">
        <ns0:is>
          <ns0:t>cbaf62a3a24fd183f56331286825eb0127800b905e39f7b2bcd32632c65b39ad</ns0:t>
        </ns0:is>
      </ns0:c>
      <ns0:c r="L530" s="2" t="inlineStr">
        <ns0:is>
          <ns0:t>text_readable</ns0:t>
        </ns0:is>
      </ns0:c>
      <ns0:c r="M530" s="2" t="inlineStr"/>
      <ns0:c r="N530" s="2" t="inlineStr"/>
      <ns0:c r="O530" s="2" t="inlineStr">
        <ns0:is>
          <ns0:t>https://github.com/Colliam-Vermilion/FirstCodex/blob/results/ad-oxygen-literature-20261006/results/ad-oxygen-literature-20261006/original_files/R13895/evidence/source_evidence__cbaf62a3a24fd183.html</ns0:t>
        </ns0:is>
      </ns0:c>
    </ns0:row>
    <ns0:row r="531" ht="48" customHeight="1">
      <ns0:c r="A531" s="3" t="inlineStr">
        <ns0:is>
          <ns0:t>R06665</ns0:t>
        </ns0:is>
      </ns0:c>
      <ns0:c r="B531" s="3" t="inlineStr">
        <ns0:is>
          <ns0:t>Enhanced energy recovery via separate hydrogen and methane production from two-stage anaerobic digestion of food waste with nanobubble water supplementation</ns0:t>
        </ns0:is>
      </ns0:c>
      <ns0:c r="C531" s="3" t="inlineStr">
        <ns0:is>
          <ns0:t>10.1016/j.scitotenv.2020.143234</ns0:t>
        </ns0:is>
      </ns0:c>
      <ns0:c r="D531" s="3" t="inlineStr">
        <ns0:is>
          <ns0:t>fulltext</ns0:t>
        </ns0:is>
      </ns0:c>
      <ns0:c r="E531" s="3" t="inlineStr">
        <ns0:is>
          <ns0:t>出版版（版式及版权文字）</ns0:t>
        </ns0:is>
      </ns0:c>
      <ns0:c r="F531" s="3" t="inlineStr">
        <ns0:is>
          <ns0:t>fulltext.pdf</ns0:t>
        </ns0:is>
      </ns0:c>
      <ns0:c r="G531" s="3" t="inlineStr">
        <ns0:is>
          <ns0:t>original_files/R06665/fulltext/fulltext__published__cbeea238c1a5bcb3.pdf</ns0:t>
        </ns0:is>
      </ns0:c>
      <ns0:c r="H531" s="3" t="inlineStr">
        <ns0:is>
          <ns0:t>local_upload</ns0:t>
        </ns0:is>
      </ns0:c>
      <ns0:c r="I531" s="3" t="inlineStr">
        <ns0:is>
          <ns0:t>localdownload/R06665/fulltext.pdf</ns0:t>
        </ns0:is>
      </ns0:c>
      <ns0:c r="J531" s="3" t="n">
        <ns0:v>2094800</ns0:v>
      </ns0:c>
      <ns0:c r="K531" s="3" t="inlineStr">
        <ns0:is>
          <ns0:t>cbeea238c1a5bcb343ce566511e3c68b8abb2c9b5ac75b6e9691b84d07515183</ns0:t>
        </ns0:is>
      </ns0:c>
      <ns0:c r="L531" s="3" t="inlineStr">
        <ns0:is>
          <ns0:t>identity_and_body_structure_verified</ns0:t>
        </ns0:is>
      </ns0:c>
      <ns0:c r="M531" s="3" t="inlineStr"/>
      <ns0:c r="N531" s="3" t="inlineStr">
        <ns0:is>
          <ns0:t>首页/前两页题名作者或目标DOI核对，全部页面解析及正文结构检查；不据文件名判全文。</ns0:t>
        </ns0:is>
      </ns0:c>
      <ns0:c r="O531" s="3" t="inlineStr">
        <ns0:is>
          <ns0:t>https://github.com/Colliam-Vermilion/FirstCodex/blob/results/ad-oxygen-literature-20261006/results/ad-oxygen-literature-20261006/original_files/R06665/fulltext/fulltext__published__cbeea238c1a5bcb3.pdf</ns0:t>
        </ns0:is>
      </ns0:c>
    </ns0:row>
    <ns0:row r="532" ht="48" customHeight="1">
      <ns0:c r="A532" s="2" t="inlineStr">
        <ns0:is>
          <ns0:t>R10199</ns0:t>
        </ns0:is>
      </ns0:c>
      <ns0:c r="B532" s="2" t="inlineStr">
        <ns0:is>
          <ns0:t>Enhancing anaerobic digestion Efficiency: A comprehensive review on innovative intensification technologies</ns0:t>
        </ns0:is>
      </ns0:c>
      <ns0:c r="C532" s="2" t="inlineStr">
        <ns0:is>
          <ns0:t>10.1016/j.enconman.2024.118979</ns0:t>
        </ns0:is>
      </ns0:c>
      <ns0:c r="D532" s="2" t="inlineStr">
        <ns0:is>
          <ns0:t>fulltext</ns0:t>
        </ns0:is>
      </ns0:c>
      <ns0:c r="E532" s="2" t="inlineStr">
        <ns0:is>
          <ns0:t>出版版（版式及版权文字）</ns0:t>
        </ns0:is>
      </ns0:c>
      <ns0:c r="F532" s="2" t="inlineStr">
        <ns0:is>
          <ns0:t>fulltext.pdf</ns0:t>
        </ns0:is>
      </ns0:c>
      <ns0:c r="G532" s="2" t="inlineStr">
        <ns0:is>
          <ns0:t>original_files/R10199/fulltext/fulltext__published__cc31037d7e3f371b.pdf</ns0:t>
        </ns0:is>
      </ns0:c>
      <ns0:c r="H532" s="2" t="inlineStr">
        <ns0:is>
          <ns0:t>local_upload</ns0:t>
        </ns0:is>
      </ns0:c>
      <ns0:c r="I532" s="2" t="inlineStr">
        <ns0:is>
          <ns0:t>localdownload/R10199/fulltext.pdf</ns0:t>
        </ns0:is>
      </ns0:c>
      <ns0:c r="J532" s="2" t="n">
        <ns0:v>4871425</ns0:v>
      </ns0:c>
      <ns0:c r="K532" s="2" t="inlineStr">
        <ns0:is>
          <ns0:t>cc31037d7e3f371b9db4cdd46cfae15cf2ef07a24f7247a0f948cce16ddb7f79</ns0:t>
        </ns0:is>
      </ns0:c>
      <ns0:c r="L532" s="2" t="inlineStr">
        <ns0:is>
          <ns0:t>identity_and_body_structure_verified</ns0:t>
        </ns0:is>
      </ns0:c>
      <ns0:c r="M532" s="2" t="inlineStr"/>
      <ns0:c r="N532" s="2" t="inlineStr">
        <ns0:is>
          <ns0:t>首页/前两页题名作者或目标DOI核对，全部页面解析及正文结构检查；不据文件名判全文。</ns0:t>
        </ns0:is>
      </ns0:c>
      <ns0:c r="O532" s="2" t="inlineStr">
        <ns0:is>
          <ns0:t>https://github.com/Colliam-Vermilion/FirstCodex/blob/results/ad-oxygen-literature-20261006/results/ad-oxygen-literature-20261006/original_files/R10199/fulltext/fulltext__published__cc31037d7e3f371b.pdf</ns0:t>
        </ns0:is>
      </ns0:c>
    </ns0:row>
    <ns0:row r="533" ht="48" customHeight="1">
      <ns0:c r="A533" s="3" t="inlineStr">
        <ns0:is>
          <ns0:t>R13938</ns0:t>
        </ns0:is>
      </ns0:c>
      <ns0:c r="B533" s="3" t="inlineStr">
        <ns0:is>
          <ns0:t>Treatment of fresh leachate by microaeration pretreatment combined with IC-AO2 process: Performance and mechanistic insight</ns0:t>
        </ns0:is>
      </ns0:c>
      <ns0:c r="C533" s="3" t="inlineStr">
        <ns0:is>
          <ns0:t>10.1016/j.scitotenv.2021.147939</ns0:t>
        </ns0:is>
      </ns0:c>
      <ns0:c r="D533" s="3" t="inlineStr">
        <ns0:is>
          <ns0:t>supplementary</ns0:t>
        </ns0:is>
      </ns0:c>
      <ns0:c r="E533" s="3" t="inlineStr"/>
      <ns0:c r="F533" s="3" t="inlineStr">
        <ns0:is>
          <ns0:t>supplementary.docx</ns0:t>
        </ns0:is>
      </ns0:c>
      <ns0:c r="G533" s="3" t="inlineStr">
        <ns0:is>
          <ns0:t>original_files/R13938/supplementary/supplementary__cc38153f417509ba.docx</ns0:t>
        </ns0:is>
      </ns0:c>
      <ns0:c r="H533" s="3" t="inlineStr">
        <ns0:is>
          <ns0:t>local_upload</ns0:t>
        </ns0:is>
      </ns0:c>
      <ns0:c r="I533" s="3" t="inlineStr">
        <ns0:is>
          <ns0:t>localdownload/R13938/supplementary.docx</ns0:t>
        </ns0:is>
      </ns0:c>
      <ns0:c r="J533" s="3" t="n">
        <ns0:v>134329</ns0:v>
      </ns0:c>
      <ns0:c r="K533" s="3" t="inlineStr">
        <ns0:is>
          <ns0:t>cc38153f417509ba10fc41602cadd63157c40107c0160e95460e08dac9699cb2</ns0:t>
        </ns0:is>
      </ns0:c>
      <ns0:c r="L533" s="3" t="inlineStr">
        <ns0:is>
          <ns0:t>container_crc_verified</ns0:t>
        </ns0:is>
      </ns0:c>
      <ns0:c r="M533" s="3" t="inlineStr">
        <ns0:is>
          <ns0:t>title_in_attachment_verified</ns0:t>
        </ns0:is>
      </ns0:c>
      <ns0:c r="N533" s="3" t="inlineStr"/>
      <ns0:c r="O533" s="3" t="inlineStr">
        <ns0:is>
          <ns0:t>https://github.com/Colliam-Vermilion/FirstCodex/blob/results/ad-oxygen-literature-20261006/results/ad-oxygen-literature-20261006/original_files/R13938/supplementary/supplementary__cc38153f417509ba.docx</ns0:t>
        </ns0:is>
      </ns0:c>
    </ns0:row>
    <ns0:row r="534" ht="48" customHeight="1">
      <ns0:c r="A534" s="2" t="inlineStr">
        <ns0:is>
          <ns0:t>R13929</ns0:t>
        </ns0:is>
      </ns0:c>
      <ns0:c r="B534" s="2" t="inlineStr">
        <ns0:is>
          <ns0:t>Integrated aerobic-anaerobic digestion of highly solids-loaded corn stover and swine manure under dynamic aeration: Temperature rise, physicochemical characteristics, and methane production</ns0:t>
        </ns0:is>
      </ns0:c>
      <ns0:c r="C534" s="2" t="inlineStr">
        <ns0:is>
          <ns0:t>10.1016/j.jenvman.2024.121864</ns0:t>
        </ns0:is>
      </ns0:c>
      <ns0:c r="D534" s="2" t="inlineStr">
        <ns0:is>
          <ns0:t>fulltext</ns0:t>
        </ns0:is>
      </ns0:c>
      <ns0:c r="E534" s="2" t="inlineStr">
        <ns0:is>
          <ns0:t>出版版（版式及版权文字）</ns0:t>
        </ns0:is>
      </ns0:c>
      <ns0:c r="F534" s="2" t="inlineStr">
        <ns0:is>
          <ns0:t>fulltext.pdf</ns0:t>
        </ns0:is>
      </ns0:c>
      <ns0:c r="G534" s="2" t="inlineStr">
        <ns0:is>
          <ns0:t>original_files/R13929/fulltext/fulltext__published__cc387a412a99eed9.pdf</ns0:t>
        </ns0:is>
      </ns0:c>
      <ns0:c r="H534" s="2" t="inlineStr">
        <ns0:is>
          <ns0:t>local_upload</ns0:t>
        </ns0:is>
      </ns0:c>
      <ns0:c r="I534" s="2" t="inlineStr">
        <ns0:is>
          <ns0:t>localdownload/R13929/fulltext.pdf</ns0:t>
        </ns0:is>
      </ns0:c>
      <ns0:c r="J534" s="2" t="n">
        <ns0:v>7392417</ns0:v>
      </ns0:c>
      <ns0:c r="K534" s="2" t="inlineStr">
        <ns0:is>
          <ns0:t>cc387a412a99eed9e1ccfb1cc642d59e0c7d3ae3298ba6a52dd1b72d51ee1fd6</ns0:t>
        </ns0:is>
      </ns0:c>
      <ns0:c r="L534" s="2" t="inlineStr">
        <ns0:is>
          <ns0:t>identity_and_body_structure_verified</ns0:t>
        </ns0:is>
      </ns0:c>
      <ns0:c r="M534" s="2" t="inlineStr"/>
      <ns0:c r="N534" s="2" t="inlineStr">
        <ns0:is>
          <ns0:t>首页/前两页题名作者或目标DOI核对，全部页面解析及正文结构检查；不据文件名判全文。</ns0:t>
        </ns0:is>
      </ns0:c>
      <ns0:c r="O534" s="2" t="inlineStr">
        <ns0:is>
          <ns0:t>https://github.com/Colliam-Vermilion/FirstCodex/blob/results/ad-oxygen-literature-20261006/results/ad-oxygen-literature-20261006/original_files/R13929/fulltext/fulltext__published__cc387a412a99eed9.pdf</ns0:t>
        </ns0:is>
      </ns0:c>
    </ns0:row>
    <ns0:row r="535" ht="48" customHeight="1">
      <ns0:c r="A535" s="3" t="inlineStr">
        <ns0:is>
          <ns0:t>R13969</ns0:t>
        </ns0:is>
      </ns0:c>
      <ns0:c r="B535" s="3" t="inlineStr">
        <ns0:is>
          <ns0:t>Effects of microaeration on hydrogen and methane production from cassava wastewater using a two-stage UASB system</ns0:t>
        </ns0:is>
      </ns0:c>
      <ns0:c r="C535" s="3" t="inlineStr">
        <ns0:is>
          <ns0:t>10.58837/chula.the.2015.1953</ns0:t>
        </ns0:is>
      </ns0:c>
      <ns0:c r="D535" s="3" t="inlineStr">
        <ns0:is>
          <ns0:t>fulltext</ns0:t>
        </ns0:is>
      </ns0:c>
      <ns0:c r="E535" s="3" t="inlineStr">
        <ns0:is>
          <ns0:t>学位/学生报告原稿（分章节者按组）</ns0:t>
        </ns0:is>
      </ns0:c>
      <ns0:c r="F535" s="3" t="inlineStr">
        <ns0:is>
          <ns0:t>R13969_Pairin_tu_back_p.pdf</ns0:t>
        </ns0:is>
      </ns0:c>
      <ns0:c r="G535" s="3" t="inlineStr">
        <ns0:is>
          <ns0:t>original_files/R13969/fulltext/fulltext__thesis__cd34536c2889613d.pdf</ns0:t>
        </ns0:is>
      </ns0:c>
      <ns0:c r="H535" s="3" t="inlineStr">
        <ns0:is>
          <ns0:t>cloud_existing</ns0:t>
        </ns0:is>
      </ns0:c>
      <ns0:c r="I535" s="3" t="inlineStr">
        <ns0:is>
          <ns0:t>original_files/fulltext/R13969_Pairin_tu_back_p.pdf</ns0:t>
        </ns0:is>
      </ns0:c>
      <ns0:c r="J535" s="3" t="n">
        <ns0:v>1314955</ns0:v>
      </ns0:c>
      <ns0:c r="K535" s="3" t="inlineStr">
        <ns0:is>
          <ns0:t>cd34536c2889613d83052b35c5557bc57988c12cf3c36642ceb2df5752712ce8</ns0:t>
        </ns0:is>
      </ns0:c>
      <ns0:c r="L535" s="3" t="inlineStr">
        <ns0:is>
          <ns0:t>complete_multipart_thesis_group_verified</ns0:t>
        </ns0:is>
      </ns0:c>
      <ns0:c r="M535" s="3" t="inlineStr"/>
      <ns0:c r="N535" s="3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535" s="3" t="inlineStr">
        <ns0:is>
          <ns0:t>https://github.com/Colliam-Vermilion/FirstCodex/blob/results/ad-oxygen-literature-20261006/results/ad-oxygen-literature-20261006/original_files/R13969/fulltext/fulltext__thesis__cd34536c2889613d.pdf</ns0:t>
        </ns0:is>
      </ns0:c>
    </ns0:row>
    <ns0:row r="536" ht="48" customHeight="1">
      <ns0:c r="A536" s="2" t="inlineStr">
        <ns0:is>
          <ns0:t>R01505</ns0:t>
        </ns0:is>
      </ns0:c>
      <ns0:c r="B536" s="2" t="inlineStr">
        <ns0:is>
          <ns0:t>The headspace of microaerobic reactors: Sulphide-oxidising population and the impact of cleaning on the efficiency of biogas desulphurisation</ns0:t>
        </ns0:is>
      </ns0:c>
      <ns0:c r="C536" s="2" t="inlineStr">
        <ns0:is>
          <ns0:t>10.1016/j.biortech.2014.02.001</ns0:t>
        </ns0:is>
      </ns0:c>
      <ns0:c r="D536" s="2" t="inlineStr">
        <ns0:is>
          <ns0:t>fulltext</ns0:t>
        </ns0:is>
      </ns0:c>
      <ns0:c r="E536" s="2" t="inlineStr">
        <ns0:is>
          <ns0:t>出版版（版式及版权文字）</ns0:t>
        </ns0:is>
      </ns0:c>
      <ns0:c r="F536" s="2" t="inlineStr">
        <ns0:is>
          <ns0:t>fulltext.pdf</ns0:t>
        </ns0:is>
      </ns0:c>
      <ns0:c r="G536" s="2" t="inlineStr">
        <ns0:is>
          <ns0:t>original_files/R01505/fulltext/fulltext__published__cd661b225d80e30c.pdf</ns0:t>
        </ns0:is>
      </ns0:c>
      <ns0:c r="H536" s="2" t="inlineStr">
        <ns0:is>
          <ns0:t>local_upload</ns0:t>
        </ns0:is>
      </ns0:c>
      <ns0:c r="I536" s="2" t="inlineStr">
        <ns0:is>
          <ns0:t>localdownload/R01505/fulltext.pdf</ns0:t>
        </ns0:is>
      </ns0:c>
      <ns0:c r="J536" s="2" t="n">
        <ns0:v>1070007</ns0:v>
      </ns0:c>
      <ns0:c r="K536" s="2" t="inlineStr">
        <ns0:is>
          <ns0:t>cd661b225d80e30ccb3aaa4cd9ae50c21071f26bbf31dfe4b1fb013483710b66</ns0:t>
        </ns0:is>
      </ns0:c>
      <ns0:c r="L536" s="2" t="inlineStr">
        <ns0:is>
          <ns0:t>identity_and_body_structure_verified</ns0:t>
        </ns0:is>
      </ns0:c>
      <ns0:c r="M536" s="2" t="inlineStr"/>
      <ns0:c r="N536" s="2" t="inlineStr">
        <ns0:is>
          <ns0:t>首页/前两页题名作者或目标DOI核对，全部页面解析及正文结构检查；不据文件名判全文。</ns0:t>
        </ns0:is>
      </ns0:c>
      <ns0:c r="O536" s="2" t="inlineStr">
        <ns0:is>
          <ns0:t>https://github.com/Colliam-Vermilion/FirstCodex/blob/results/ad-oxygen-literature-20261006/results/ad-oxygen-literature-20261006/original_files/R01505/fulltext/fulltext__published__cd661b225d80e30c.pdf</ns0:t>
        </ns0:is>
      </ns0:c>
    </ns0:row>
    <ns0:row r="537" ht="48" customHeight="1">
      <ns0:c r="A537" s="3" t="inlineStr">
        <ns0:is>
          <ns0:t>R13860</ns0:t>
        </ns0:is>
      </ns0:c>
      <ns0:c r="B537" s="3" t="inlineStr">
        <ns0:is>
          <ns0:t>Unveiling the influence of microaeration and sludge recirculation on enhancement of pharmaceutical removal and microbial community change of the novel anaerobic baffled biofilm - membrane bioreactor in treating building wastewater.</ns0:t>
        </ns0:is>
      </ns0:c>
      <ns0:c r="C537" s="3" t="inlineStr">
        <ns0:is>
          <ns0:t>10.1016/j.scitotenv.2024.172420</ns0:t>
        </ns0:is>
      </ns0:c>
      <ns0:c r="D537" s="3" t="inlineStr">
        <ns0:is>
          <ns0:t>fulltext</ns0:t>
        </ns0:is>
      </ns0:c>
      <ns0:c r="E537" s="3" t="inlineStr">
        <ns0:is>
          <ns0:t>出版版（版式及版权文字）</ns0:t>
        </ns0:is>
      </ns0:c>
      <ns0:c r="F537" s="3" t="inlineStr">
        <ns0:is>
          <ns0:t>fulltext.pdf</ns0:t>
        </ns0:is>
      </ns0:c>
      <ns0:c r="G537" s="3" t="inlineStr">
        <ns0:is>
          <ns0:t>original_files/R13860/fulltext/fulltext__published__cdd2bf71ee1f07c8.pdf</ns0:t>
        </ns0:is>
      </ns0:c>
      <ns0:c r="H537" s="3" t="inlineStr">
        <ns0:is>
          <ns0:t>local_upload</ns0:t>
        </ns0:is>
      </ns0:c>
      <ns0:c r="I537" s="3" t="inlineStr">
        <ns0:is>
          <ns0:t>localdownload/R13860/fulltext.pdf</ns0:t>
        </ns0:is>
      </ns0:c>
      <ns0:c r="J537" s="3" t="n">
        <ns0:v>10523302</ns0:v>
      </ns0:c>
      <ns0:c r="K537" s="3" t="inlineStr">
        <ns0:is>
          <ns0:t>cdd2bf71ee1f07c813c0d81429fec802e59c7a87f9c964f88507b9fb45b0928a</ns0:t>
        </ns0:is>
      </ns0:c>
      <ns0:c r="L537" s="3" t="inlineStr">
        <ns0:is>
          <ns0:t>identity_and_body_structure_verified</ns0:t>
        </ns0:is>
      </ns0:c>
      <ns0:c r="M537" s="3" t="inlineStr"/>
      <ns0:c r="N537" s="3" t="inlineStr">
        <ns0:is>
          <ns0:t>首页/前两页题名作者或目标DOI核对，全部页面解析及正文结构检查；不据文件名判全文。</ns0:t>
        </ns0:is>
      </ns0:c>
      <ns0:c r="O537" s="3" t="inlineStr">
        <ns0:is>
          <ns0:t>https://github.com/Colliam-Vermilion/FirstCodex/blob/results/ad-oxygen-literature-20261006/results/ad-oxygen-literature-20261006/original_files/R13860/fulltext/fulltext__published__cdd2bf71ee1f07c8.pdf</ns0:t>
        </ns0:is>
      </ns0:c>
    </ns0:row>
    <ns0:row r="538" ht="48" customHeight="1">
      <ns0:c r="A538" s="2" t="inlineStr">
        <ns0:is>
          <ns0:t>R10386</ns0:t>
        </ns0:is>
      </ns0:c>
      <ns0:c r="B538" s="2" t="inlineStr">
        <ns0:is>
          <ns0:t>Influential factors in anaerobic digestion of rice-derived food waste and animal manure: A comprehensive review</ns0:t>
        </ns0:is>
      </ns0:c>
      <ns0:c r="C538" s="2" t="inlineStr">
        <ns0:is>
          <ns0:t>10.1016/j.biortech.2024.131398</ns0:t>
        </ns0:is>
      </ns0:c>
      <ns0:c r="D538" s="2" t="inlineStr">
        <ns0:is>
          <ns0:t>fulltext</ns0:t>
        </ns0:is>
      </ns0:c>
      <ns0:c r="E538" s="2" t="inlineStr">
        <ns0:is>
          <ns0:t>出版版（版式及版权文字）</ns0:t>
        </ns0:is>
      </ns0:c>
      <ns0:c r="F538" s="2" t="inlineStr">
        <ns0:is>
          <ns0:t>fulltext.pdf</ns0:t>
        </ns0:is>
      </ns0:c>
      <ns0:c r="G538" s="2" t="inlineStr">
        <ns0:is>
          <ns0:t>original_files/R10386/fulltext/fulltext__published__ce0e9413a6fb2f3f.pdf</ns0:t>
        </ns0:is>
      </ns0:c>
      <ns0:c r="H538" s="2" t="inlineStr">
        <ns0:is>
          <ns0:t>local_upload</ns0:t>
        </ns0:is>
      </ns0:c>
      <ns0:c r="I538" s="2" t="inlineStr">
        <ns0:is>
          <ns0:t>localdownload/R10386/fulltext.pdf</ns0:t>
        </ns0:is>
      </ns0:c>
      <ns0:c r="J538" s="2" t="n">
        <ns0:v>4308901</ns0:v>
      </ns0:c>
      <ns0:c r="K538" s="2" t="inlineStr">
        <ns0:is>
          <ns0:t>ce0e9413a6fb2f3f64e60d4fa241bc9788e3ba2b7fc5a3fa2f87310611053ace</ns0:t>
        </ns0:is>
      </ns0:c>
      <ns0:c r="L538" s="2" t="inlineStr">
        <ns0:is>
          <ns0:t>identity_and_body_structure_verified</ns0:t>
        </ns0:is>
      </ns0:c>
      <ns0:c r="M538" s="2" t="inlineStr"/>
      <ns0:c r="N538" s="2" t="inlineStr">
        <ns0:is>
          <ns0:t>首页/前两页题名作者或目标DOI核对，全部页面解析及正文结构检查；不据文件名判全文。</ns0:t>
        </ns0:is>
      </ns0:c>
      <ns0:c r="O538" s="2" t="inlineStr">
        <ns0:is>
          <ns0:t>https://github.com/Colliam-Vermilion/FirstCodex/blob/results/ad-oxygen-literature-20261006/results/ad-oxygen-literature-20261006/original_files/R10386/fulltext/fulltext__published__ce0e9413a6fb2f3f.pdf</ns0:t>
        </ns0:is>
      </ns0:c>
    </ns0:row>
    <ns0:row r="539" ht="48" customHeight="1">
      <ns0:c r="A539" s="3" t="inlineStr">
        <ns0:is>
          <ns0:t>R10605</ns0:t>
        </ns0:is>
      </ns0:c>
      <ns0:c r="B539" s="3" t="inlineStr">
        <ns0:is>
          <ns0:t>Non-targeted facilitation of primary sludge anaerobic fermentation by micro-aeration and the simultaneous nutrients transformations</ns0:t>
        </ns0:is>
      </ns0:c>
      <ns0:c r="C539" s="3" t="inlineStr">
        <ns0:is>
          <ns0:t>10.1016/j.cej.2024.151930</ns0:t>
        </ns0:is>
      </ns0:c>
      <ns0:c r="D539" s="3" t="inlineStr">
        <ns0:is>
          <ns0:t>fulltext</ns0:t>
        </ns0:is>
      </ns0:c>
      <ns0:c r="E539" s="3" t="inlineStr">
        <ns0:is>
          <ns0:t>出版版（版式及版权文字）</ns0:t>
        </ns0:is>
      </ns0:c>
      <ns0:c r="F539" s="3" t="inlineStr">
        <ns0:is>
          <ns0:t>fulltext.pdf</ns0:t>
        </ns0:is>
      </ns0:c>
      <ns0:c r="G539" s="3" t="inlineStr">
        <ns0:is>
          <ns0:t>original_files/R10605/fulltext/fulltext__published__ce70e58c92e62619.pdf</ns0:t>
        </ns0:is>
      </ns0:c>
      <ns0:c r="H539" s="3" t="inlineStr">
        <ns0:is>
          <ns0:t>local_upload</ns0:t>
        </ns0:is>
      </ns0:c>
      <ns0:c r="I539" s="3" t="inlineStr">
        <ns0:is>
          <ns0:t>localdownload/R10605/fulltext.pdf</ns0:t>
        </ns0:is>
      </ns0:c>
      <ns0:c r="J539" s="3" t="n">
        <ns0:v>5149518</ns0:v>
      </ns0:c>
      <ns0:c r="K539" s="3" t="inlineStr">
        <ns0:is>
          <ns0:t>ce70e58c92e626194b520d643587503037c69df49edd863db8a2a6d7fa67baea</ns0:t>
        </ns0:is>
      </ns0:c>
      <ns0:c r="L539" s="3" t="inlineStr">
        <ns0:is>
          <ns0:t>identity_and_body_structure_verified</ns0:t>
        </ns0:is>
      </ns0:c>
      <ns0:c r="M539" s="3" t="inlineStr"/>
      <ns0:c r="N539" s="3" t="inlineStr">
        <ns0:is>
          <ns0:t>首页/前两页题名作者或目标DOI核对，全部页面解析及正文结构检查；不据文件名判全文。</ns0:t>
        </ns0:is>
      </ns0:c>
      <ns0:c r="O539" s="3" t="inlineStr">
        <ns0:is>
          <ns0:t>https://github.com/Colliam-Vermilion/FirstCodex/blob/results/ad-oxygen-literature-20261006/results/ad-oxygen-literature-20261006/original_files/R10605/fulltext/fulltext__published__ce70e58c92e62619.pdf</ns0:t>
        </ns0:is>
      </ns0:c>
    </ns0:row>
    <ns0:row r="540" ht="48" customHeight="1">
      <ns0:c r="A540" s="2" t="inlineStr">
        <ns0:is>
          <ns0:t>R01727</ns0:t>
        </ns0:is>
      </ns0:c>
      <ns0:c r="B540" s="2" t="inlineStr">
        <ns0:is>
          <ns0:t>Comparison of thermophilic microaerobic and alkali pretreatment of sugarcane bagasse for anaerobic digestion</ns0:t>
        </ns0:is>
      </ns0:c>
      <ns0:c r="C540" s="2" t="inlineStr">
        <ns0:is>
          <ns0:t>10.1039/c5ra10717b</ns0:t>
        </ns0:is>
      </ns0:c>
      <ns0:c r="D540" s="2" t="inlineStr">
        <ns0:is>
          <ns0:t>fulltext</ns0:t>
        </ns0:is>
      </ns0:c>
      <ns0:c r="E540" s="2" t="inlineStr">
        <ns0:is>
          <ns0:t>出版版（版式及版权文字）</ns0:t>
        </ns0:is>
      </ns0:c>
      <ns0:c r="F540" s="2" t="inlineStr">
        <ns0:is>
          <ns0:t>fulltext.pdf</ns0:t>
        </ns0:is>
      </ns0:c>
      <ns0:c r="G540" s="2" t="inlineStr">
        <ns0:is>
          <ns0:t>original_files/R01727/fulltext/fulltext__published__cf60070671c880d0.pdf</ns0:t>
        </ns0:is>
      </ns0:c>
      <ns0:c r="H540" s="2" t="inlineStr">
        <ns0:is>
          <ns0:t>local_upload</ns0:t>
        </ns0:is>
      </ns0:c>
      <ns0:c r="I540" s="2" t="inlineStr">
        <ns0:is>
          <ns0:t>localdownload/R01727/fulltext.pdf</ns0:t>
        </ns0:is>
      </ns0:c>
      <ns0:c r="J540" s="2" t="n">
        <ns0:v>672810</ns0:v>
      </ns0:c>
      <ns0:c r="K540" s="2" t="inlineStr">
        <ns0:is>
          <ns0:t>cf60070671c880d0eec8957e9b2b2f8d68cc83429c0c3eb7504a2d7f8e2381b3</ns0:t>
        </ns0:is>
      </ns0:c>
      <ns0:c r="L540" s="2" t="inlineStr">
        <ns0:is>
          <ns0:t>identity_and_body_structure_verified</ns0:t>
        </ns0:is>
      </ns0:c>
      <ns0:c r="M540" s="2" t="inlineStr"/>
      <ns0:c r="N540" s="2" t="inlineStr">
        <ns0:is>
          <ns0:t>首页/前两页题名作者或目标DOI核对，全部页面解析及正文结构检查；不据文件名判全文。</ns0:t>
        </ns0:is>
      </ns0:c>
      <ns0:c r="O540" s="2" t="inlineStr">
        <ns0:is>
          <ns0:t>https://github.com/Colliam-Vermilion/FirstCodex/blob/results/ad-oxygen-literature-20261006/results/ad-oxygen-literature-20261006/original_files/R01727/fulltext/fulltext__published__cf60070671c880d0.pdf</ns0:t>
        </ns0:is>
      </ns0:c>
    </ns0:row>
    <ns0:row r="541" ht="48" customHeight="1">
      <ns0:c r="A541" s="3" t="inlineStr">
        <ns0:is>
          <ns0:t>R11393</ns0:t>
        </ns0:is>
      </ns0:c>
      <ns0:c r="B541" s="3" t="inlineStr">
        <ns0:is>
          <ns0:t>Effect of microaeration combined with ferric chloride pretreatment on anaerobic digestion of corn stalk</ns0:t>
        </ns0:is>
      </ns0:c>
      <ns0:c r="C541" s="3" t="inlineStr">
        <ns0:is>
          <ns0:t>10.1080/15567036.2022.2039330</ns0:t>
        </ns0:is>
      </ns0:c>
      <ns0:c r="D541" s="3" t="inlineStr">
        <ns0:is>
          <ns0:t>fulltext</ns0:t>
        </ns0:is>
      </ns0:c>
      <ns0:c r="E541" s="3" t="inlineStr">
        <ns0:is>
          <ns0:t>出版版（版式及版权文字）</ns0:t>
        </ns0:is>
      </ns0:c>
      <ns0:c r="F541" s="3" t="inlineStr">
        <ns0:is>
          <ns0:t>fulltext.pdf</ns0:t>
        </ns0:is>
      </ns0:c>
      <ns0:c r="G541" s="3" t="inlineStr">
        <ns0:is>
          <ns0:t>original_files/R11393/fulltext/fulltext__published__cf913d38796a4a9c.pdf</ns0:t>
        </ns0:is>
      </ns0:c>
      <ns0:c r="H541" s="3" t="inlineStr">
        <ns0:is>
          <ns0:t>local_upload</ns0:t>
        </ns0:is>
      </ns0:c>
      <ns0:c r="I541" s="3" t="inlineStr">
        <ns0:is>
          <ns0:t>localdownload/R11393/fulltext.pdf</ns0:t>
        </ns0:is>
      </ns0:c>
      <ns0:c r="J541" s="3" t="n">
        <ns0:v>1530923</ns0:v>
      </ns0:c>
      <ns0:c r="K541" s="3" t="inlineStr">
        <ns0:is>
          <ns0:t>cf913d38796a4a9cefa38c1cdddcc3ac5ae6975464a12a0330f3fa2974524f81</ns0:t>
        </ns0:is>
      </ns0:c>
      <ns0:c r="L541" s="3" t="inlineStr">
        <ns0:is>
          <ns0:t>identity_and_body_structure_verified</ns0:t>
        </ns0:is>
      </ns0:c>
      <ns0:c r="M541" s="3" t="inlineStr"/>
      <ns0:c r="N541" s="3" t="inlineStr">
        <ns0:is>
          <ns0:t>首页/前两页题名作者或目标DOI核对，全部页面解析及正文结构检查；不据文件名判全文。</ns0:t>
        </ns0:is>
      </ns0:c>
      <ns0:c r="O541" s="3" t="inlineStr">
        <ns0:is>
          <ns0:t>https://github.com/Colliam-Vermilion/FirstCodex/blob/results/ad-oxygen-literature-20261006/results/ad-oxygen-literature-20261006/original_files/R11393/fulltext/fulltext__published__cf913d38796a4a9c.pdf</ns0:t>
        </ns0:is>
      </ns0:c>
    </ns0:row>
    <ns0:row r="542" ht="48" customHeight="1">
      <ns0:c r="A542" s="2" t="inlineStr">
        <ns0:is>
          <ns0:t>R06895</ns0:t>
        </ns0:is>
      </ns0:c>
      <ns0:c r="B542" s="2" t="inlineStr">
        <ns0:is>
          <ns0:t>Microaerobic Digestion of Low-Biodegradable Sewage Sludge: Effect of Air Dosing in Batch Reactors</ns0:t>
        </ns0:is>
      </ns0:c>
      <ns0:c r="C542" s="2" t="inlineStr">
        <ns0:is>
          <ns0:t>10.3390/su13179869</ns0:t>
        </ns0:is>
      </ns0:c>
      <ns0:c r="D542" s="2" t="inlineStr">
        <ns0:is>
          <ns0:t>source_evidence</ns0:t>
        </ns0:is>
      </ns0:c>
      <ns0:c r="E542" s="2" t="inlineStr"/>
      <ns0:c r="F542" s="2" t="inlineStr">
        <ns0:is>
          <ns0:t>publisher_article_page_20261017.html</ns0:t>
        </ns0:is>
      </ns0:c>
      <ns0:c r="G542" s="2" t="inlineStr">
        <ns0:is>
          <ns0:t>original_files/R06895/evidence/source_evidence__cfd6ae01f31ce35e.html</ns0:t>
        </ns0:is>
      </ns0:c>
      <ns0:c r="H542" s="2" t="inlineStr">
        <ns0:is>
          <ns0:t>cloud_existing</ns0:t>
        </ns0:is>
      </ns0:c>
      <ns0:c r="I542" s="2" t="inlineStr">
        <ns0:is>
          <ns0:t>original_files/source_evidence/R06895/publisher_article_page_20261017.html</ns0:t>
        </ns0:is>
      </ns0:c>
      <ns0:c r="J542" s="2" t="n">
        <ns0:v>412501</ns0:v>
      </ns0:c>
      <ns0:c r="K542" s="2" t="inlineStr">
        <ns0:is>
          <ns0:t>cfd6ae01f31ce35eea7721ea0e9fe9e36e2d9f3f13ce0905d8f5375592237339</ns0:t>
        </ns0:is>
      </ns0:c>
      <ns0:c r="L542" s="2" t="inlineStr">
        <ns0:is>
          <ns0:t>text_readable</ns0:t>
        </ns0:is>
      </ns0:c>
      <ns0:c r="M542" s="2" t="inlineStr"/>
      <ns0:c r="N542" s="2" t="inlineStr"/>
      <ns0:c r="O542" s="2" t="inlineStr">
        <ns0:is>
          <ns0:t>https://github.com/Colliam-Vermilion/FirstCodex/blob/results/ad-oxygen-literature-20261006/results/ad-oxygen-literature-20261006/original_files/R06895/evidence/source_evidence__cfd6ae01f31ce35e.html</ns0:t>
        </ns0:is>
      </ns0:c>
    </ns0:row>
    <ns0:row r="543" ht="48" customHeight="1">
      <ns0:c r="A543" s="3" t="inlineStr">
        <ns0:is>
          <ns0:t>R08646</ns0:t>
        </ns0:is>
      </ns0:c>
      <ns0:c r="B543" s="3" t="inlineStr">
        <ns0:is>
          <ns0:t>Approaches to mitigation of hydrogen sulfide during anaerobic digestion process – A review</ns0:t>
        </ns0:is>
      </ns0:c>
      <ns0:c r="C543" s="3" t="inlineStr">
        <ns0:is>
          <ns0:t>10.1016/j.heliyon.2023.e19768</ns0:t>
        </ns0:is>
      </ns0:c>
      <ns0:c r="D543" s="3" t="inlineStr">
        <ns0:is>
          <ns0:t>supplementary</ns0:t>
        </ns0:is>
      </ns0:c>
      <ns0:c r="E543" s="3" t="inlineStr"/>
      <ns0:c r="F543" s="3" t="inlineStr">
        <ns0:is>
          <ns0:t>mmc1.docx</ns0:t>
        </ns0:is>
      </ns0:c>
      <ns0:c r="G543" s="3" t="inlineStr">
        <ns0:is>
          <ns0:t>original_files/R08646/supplementary/supplementary__cfda7e29b12b9784.docx</ns0:t>
        </ns0:is>
      </ns0:c>
      <ns0:c r="H543" s="3" t="inlineStr">
        <ns0:is>
          <ns0:t>cloud_existing</ns0:t>
        </ns0:is>
      </ns0:c>
      <ns0:c r="I543" s="3" t="inlineStr">
        <ns0:is>
          <ns0:t>original_files/supplementary/R08646/mmc1.docx</ns0:t>
        </ns0:is>
      </ns0:c>
      <ns0:c r="J543" s="3" t="n">
        <ns0:v>42279</ns0:v>
      </ns0:c>
      <ns0:c r="K543" s="3" t="inlineStr">
        <ns0:is>
          <ns0:t>cfda7e29b12b97846343963f9f3b64e784bc79644fb1ee1ca31170be78d75327</ns0:t>
        </ns0:is>
      </ns0:c>
      <ns0:c r="L543" s="3" t="inlineStr">
        <ns0:is>
          <ns0:t>container_crc_verified</ns0:t>
        </ns0:is>
      </ns0:c>
      <ns0:c r="M543" s="3" t="inlineStr">
        <ns0:is>
          <ns0:t>existing_official_attachment_evidence_retained</ns0:t>
        </ns0:is>
      </ns0:c>
      <ns0:c r="N543" s="3" t="inlineStr"/>
      <ns0:c r="O543" s="3" t="inlineStr">
        <ns0:is>
          <ns0:t>https://github.com/Colliam-Vermilion/FirstCodex/blob/results/ad-oxygen-literature-20261006/results/ad-oxygen-literature-20261006/original_files/R08646/supplementary/supplementary__cfda7e29b12b9784.docx</ns0:t>
        </ns0:is>
      </ns0:c>
    </ns0:row>
    <ns0:row r="544" ht="48" customHeight="1">
      <ns0:c r="A544" s="2" t="inlineStr">
        <ns0:is>
          <ns0:t>R10724</ns0:t>
        </ns0:is>
      </ns0:c>
      <ns0:c r="B544" s="2" t="inlineStr">
        <ns0:is>
          <ns0:t>Protection of the Purification Station Thermal Engines Against the Effects of Hydrogen Sulfide by the Coupling of a Chemical and Biological Treatment of the Produced Biogas</ns0:t>
        </ns0:is>
      </ns0:c>
      <ns0:c r="C544" s="2" t="inlineStr">
        <ns0:is>
          <ns0:t>10.12912/27197050/181210</ns0:t>
        </ns0:is>
      </ns0:c>
      <ns0:c r="D544" s="2" t="inlineStr">
        <ns0:is>
          <ns0:t>fulltext</ns0:t>
        </ns0:is>
      </ns0:c>
      <ns0:c r="E544" s="2" t="inlineStr">
        <ns0:is>
          <ns0:t>出版版本（原页出版信息）</ns0:t>
        </ns0:is>
      </ns0:c>
      <ns0:c r="F544" s="2" t="inlineStr">
        <ns0:is>
          <ns0:t>R10724_2024_Protection_of_the_Purification_Station_Thermal_Engines_Against_the.pdf</ns0:t>
        </ns0:is>
      </ns0:c>
      <ns0:c r="G544" s="2" t="inlineStr">
        <ns0:is>
          <ns0:t>original_files/R10724/fulltext/fulltext__published__cfdc1bcb235acdd7.pdf</ns0:t>
        </ns0:is>
      </ns0:c>
      <ns0:c r="H544" s="2" t="inlineStr">
        <ns0:is>
          <ns0:t>cloud_existing</ns0:t>
        </ns0:is>
      </ns0:c>
      <ns0:c r="I544" s="2" t="inlineStr">
        <ns0:is>
          <ns0:t>original_files/fulltext/R10724_2024_Protection_of_the_Purification_Station_Thermal_Engines_Against_the.pdf</ns0:t>
        </ns0:is>
      </ns0:c>
      <ns0:c r="J544" s="2" t="n">
        <ns0:v>2366242</ns0:v>
      </ns0:c>
      <ns0:c r="K544" s="2" t="inlineStr">
        <ns0:is>
          <ns0:t>cfdc1bcb235acdd703e58447b30b31cb8c4e8d53d1c86999ee8ecdafbba1e8aa</ns0:t>
        </ns0:is>
      </ns0:c>
      <ns0:c r="L544" s="2" t="inlineStr">
        <ns0:is>
          <ns0:t>identity_and_body_structure_verified</ns0:t>
        </ns0:is>
      </ns0:c>
      <ns0:c r="M544" s="2" t="inlineStr"/>
      <ns0:c r="N544" s="2" t="inlineStr">
        <ns0:is>
          <ns0:t>首页/前两页题名作者或目标DOI核对，全部页面解析及正文结构检查；不据文件名判全文。</ns0:t>
        </ns0:is>
      </ns0:c>
      <ns0:c r="O544" s="2" t="inlineStr">
        <ns0:is>
          <ns0:t>https://github.com/Colliam-Vermilion/FirstCodex/blob/results/ad-oxygen-literature-20261006/results/ad-oxygen-literature-20261006/original_files/R10724/fulltext/fulltext__published__cfdc1bcb235acdd7.pdf</ns0:t>
        </ns0:is>
      </ns0:c>
    </ns0:row>
    <ns0:row r="545" ht="48" customHeight="1">
      <ns0:c r="A545" s="3" t="inlineStr">
        <ns0:is>
          <ns0:t>R12923</ns0:t>
        </ns0:is>
      </ns0:c>
      <ns0:c r="B545" s="3" t="inlineStr">
        <ns0:is>
          <ns0:t>Enhanced anaerobic digestion of rice straw by using microbial pretreatment augmented with micro-nano bubble water</ns0:t>
        </ns0:is>
      </ns0:c>
      <ns0:c r="C545" s="3" t="inlineStr">
        <ns0:is>
          <ns0:t>10.1016/j.biteb.2025.102484</ns0:t>
        </ns0:is>
      </ns0:c>
      <ns0:c r="D545" s="3" t="inlineStr">
        <ns0:is>
          <ns0:t>supplementary</ns0:t>
        </ns0:is>
      </ns0:c>
      <ns0:c r="E545" s="3" t="inlineStr"/>
      <ns0:c r="F545" s="3" t="inlineStr">
        <ns0:is>
          <ns0:t>supplementary.docx</ns0:t>
        </ns0:is>
      </ns0:c>
      <ns0:c r="G545" s="3" t="inlineStr">
        <ns0:is>
          <ns0:t>original_files/R12923/supplementary/supplementary__d07750b920619855.docx</ns0:t>
        </ns0:is>
      </ns0:c>
      <ns0:c r="H545" s="3" t="inlineStr">
        <ns0:is>
          <ns0:t>local_upload</ns0:t>
        </ns0:is>
      </ns0:c>
      <ns0:c r="I545" s="3" t="inlineStr">
        <ns0:is>
          <ns0:t>localdownload/R12923/supplementary.docx</ns0:t>
        </ns0:is>
      </ns0:c>
      <ns0:c r="J545" s="3" t="n">
        <ns0:v>1087886</ns0:v>
      </ns0:c>
      <ns0:c r="K545" s="3" t="inlineStr">
        <ns0:is>
          <ns0:t>d07750b92061985525ab37c93642572af958b5d51e28c25859a0bafa94168776</ns0:t>
        </ns0:is>
      </ns0:c>
      <ns0:c r="L545" s="3" t="inlineStr">
        <ns0:is>
          <ns0:t>container_crc_verified</ns0:t>
        </ns0:is>
      </ns0:c>
      <ns0:c r="M545" s="3" t="inlineStr">
        <ns0:is>
          <ns0:t>directory_and_content_consistent_identity_pending</ns0:t>
        </ns0:is>
      </ns0:c>
      <ns0:c r="N545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45" s="3" t="inlineStr">
        <ns0:is>
          <ns0:t>https://github.com/Colliam-Vermilion/FirstCodex/blob/results/ad-oxygen-literature-20261006/results/ad-oxygen-literature-20261006/original_files/R12923/supplementary/supplementary__d07750b920619855.docx</ns0:t>
        </ns0:is>
      </ns0:c>
    </ns0:row>
    <ns0:row r="546" ht="48" customHeight="1">
      <ns0:c r="A546" s="2" t="inlineStr">
        <ns0:is>
          <ns0:t>R11843</ns0:t>
        </ns0:is>
      </ns0:c>
      <ns0:c r="B546" s="2" t="inlineStr">
        <ns0:is>
          <ns0:t>Micro-aeration for hydrogen sulfide reduction in full-scale anaerobic digesters with limited headspace: Performance and sulfide reduction kinetics</ns0:t>
        </ns0:is>
      </ns0:c>
      <ns0:c r="C546" s="2" t="inlineStr">
        <ns0:is>
          <ns0:t>10.1016/j.psep.2025.106911</ns0:t>
        </ns0:is>
      </ns0:c>
      <ns0:c r="D546" s="2" t="inlineStr">
        <ns0:is>
          <ns0:t>fulltext</ns0:t>
        </ns0:is>
      </ns0:c>
      <ns0:c r="E546" s="2" t="inlineStr">
        <ns0:is>
          <ns0:t>出版版（版式及版权文字）</ns0:t>
        </ns0:is>
      </ns0:c>
      <ns0:c r="F546" s="2" t="inlineStr">
        <ns0:is>
          <ns0:t>fulltext.pdf</ns0:t>
        </ns0:is>
      </ns0:c>
      <ns0:c r="G546" s="2" t="inlineStr">
        <ns0:is>
          <ns0:t>original_files/R11843/fulltext/fulltext__published__d0799750cc24301f.pdf</ns0:t>
        </ns0:is>
      </ns0:c>
      <ns0:c r="H546" s="2" t="inlineStr">
        <ns0:is>
          <ns0:t>local_upload</ns0:t>
        </ns0:is>
      </ns0:c>
      <ns0:c r="I546" s="2" t="inlineStr">
        <ns0:is>
          <ns0:t>localdownload/R11843/fulltext.pdf</ns0:t>
        </ns0:is>
      </ns0:c>
      <ns0:c r="J546" s="2" t="n">
        <ns0:v>6792581</ns0:v>
      </ns0:c>
      <ns0:c r="K546" s="2" t="inlineStr">
        <ns0:is>
          <ns0:t>d0799750cc24301f78fdd3645102eeaf243c1237f7ef499f742bf77665686da2</ns0:t>
        </ns0:is>
      </ns0:c>
      <ns0:c r="L546" s="2" t="inlineStr">
        <ns0:is>
          <ns0:t>identity_and_body_structure_verified</ns0:t>
        </ns0:is>
      </ns0:c>
      <ns0:c r="M546" s="2" t="inlineStr"/>
      <ns0:c r="N546" s="2" t="inlineStr">
        <ns0:is>
          <ns0:t>首页/前两页题名作者或目标DOI核对，全部页面解析及正文结构检查；不据文件名判全文。</ns0:t>
        </ns0:is>
      </ns0:c>
      <ns0:c r="O546" s="2" t="inlineStr">
        <ns0:is>
          <ns0:t>https://github.com/Colliam-Vermilion/FirstCodex/blob/results/ad-oxygen-literature-20261006/results/ad-oxygen-literature-20261006/original_files/R11843/fulltext/fulltext__published__d0799750cc24301f.pdf</ns0:t>
        </ns0:is>
      </ns0:c>
    </ns0:row>
    <ns0:row r="547" ht="48" customHeight="1">
      <ns0:c r="A547" s="3" t="inlineStr">
        <ns0:is>
          <ns0:t>R13916</ns0:t>
        </ns0:is>
      </ns0:c>
      <ns0:c r="B547" s="3" t="inlineStr">
        <ns0:is>
          <ns0:t>Kinetics of air mixing–anaerobic digestion: High organic substrate concentrations enhance system resistance to oxygen stress</ns0:t>
        </ns0:is>
      </ns0:c>
      <ns0:c r="C547" s="3" t="inlineStr">
        <ns0:is>
          <ns0:t>10.1016/j.cej.2026.172771</ns0:t>
        </ns0:is>
      </ns0:c>
      <ns0:c r="D547" s="3" t="inlineStr">
        <ns0:is>
          <ns0:t>supplementary</ns0:t>
        </ns0:is>
      </ns0:c>
      <ns0:c r="E547" s="3" t="inlineStr"/>
      <ns0:c r="F547" s="3" t="inlineStr">
        <ns0:is>
          <ns0:t>supplementary.docx</ns0:t>
        </ns0:is>
      </ns0:c>
      <ns0:c r="G547" s="3" t="inlineStr">
        <ns0:is>
          <ns0:t>original_files/R13916/supplementary/supplementary__d0df45a2aee53016.docx</ns0:t>
        </ns0:is>
      </ns0:c>
      <ns0:c r="H547" s="3" t="inlineStr">
        <ns0:is>
          <ns0:t>local_upload</ns0:t>
        </ns0:is>
      </ns0:c>
      <ns0:c r="I547" s="3" t="inlineStr">
        <ns0:is>
          <ns0:t>localdownload/R13916/supplementary.docx</ns0:t>
        </ns0:is>
      </ns0:c>
      <ns0:c r="J547" s="3" t="n">
        <ns0:v>4127164</ns0:v>
      </ns0:c>
      <ns0:c r="K547" s="3" t="inlineStr">
        <ns0:is>
          <ns0:t>d0df45a2aee5301690b830d192cdd9c9d80658e60cf20e6dee0bb3bd1a387bec</ns0:t>
        </ns0:is>
      </ns0:c>
      <ns0:c r="L547" s="3" t="inlineStr">
        <ns0:is>
          <ns0:t>container_crc_verified</ns0:t>
        </ns0:is>
      </ns0:c>
      <ns0:c r="M547" s="3" t="inlineStr">
        <ns0:is>
          <ns0:t>title_in_attachment_verified</ns0:t>
        </ns0:is>
      </ns0:c>
      <ns0:c r="N547" s="3" t="inlineStr"/>
      <ns0:c r="O547" s="3" t="inlineStr">
        <ns0:is>
          <ns0:t>https://github.com/Colliam-Vermilion/FirstCodex/blob/results/ad-oxygen-literature-20261006/results/ad-oxygen-literature-20261006/original_files/R13916/supplementary/supplementary__d0df45a2aee53016.docx</ns0:t>
        </ns0:is>
      </ns0:c>
    </ns0:row>
    <ns0:row r="548" ht="48" customHeight="1">
      <ns0:c r="A548" s="2" t="inlineStr">
        <ns0:is>
          <ns0:t>R13834</ns0:t>
        </ns0:is>
      </ns0:c>
      <ns0:c r="B548" s="2" t="inlineStr">
        <ns0:is>
          <ns0:t>Microaeration improves the removal/biotransformation of organic micropollutants in anaerobic wastewater treatment systems.</ns0:t>
        </ns0:is>
      </ns0:c>
      <ns0:c r="C548" s="2" t="inlineStr">
        <ns0:is>
          <ns0:t>10.1016/j.envres.2021.111313</ns0:t>
        </ns0:is>
      </ns0:c>
      <ns0:c r="D548" s="2" t="inlineStr">
        <ns0:is>
          <ns0:t>supplementary</ns0:t>
        </ns0:is>
      </ns0:c>
      <ns0:c r="E548" s="2" t="inlineStr"/>
      <ns0:c r="F548" s="2" t="inlineStr">
        <ns0:is>
          <ns0:t>supplementary.docx</ns0:t>
        </ns0:is>
      </ns0:c>
      <ns0:c r="G548" s="2" t="inlineStr">
        <ns0:is>
          <ns0:t>original_files/R13834/supplementary/supplementary__d29034513104ea94.docx</ns0:t>
        </ns0:is>
      </ns0:c>
      <ns0:c r="H548" s="2" t="inlineStr">
        <ns0:is>
          <ns0:t>local_upload</ns0:t>
        </ns0:is>
      </ns0:c>
      <ns0:c r="I548" s="2" t="inlineStr">
        <ns0:is>
          <ns0:t>localdownload/R13964/supplementary.docx; localdownload/R13834/supplementary.docx</ns0:t>
        </ns0:is>
      </ns0:c>
      <ns0:c r="J548" s="2" t="n">
        <ns0:v>1261953</ns0:v>
      </ns0:c>
      <ns0:c r="K548" s="2" t="inlineStr">
        <ns0:is>
          <ns0:t>d29034513104ea94ee48e59cc6ac7e4aec289b7ede54906d5cdeca1170efa9bc</ns0:t>
        </ns0:is>
      </ns0:c>
      <ns0:c r="L548" s="2" t="inlineStr">
        <ns0:is>
          <ns0:t>supplement_identity_resolved_by_content</ns0:t>
        </ns0:is>
      </ns0:c>
      <ns0:c r="M548" s="2" t="inlineStr">
        <ns0:is>
          <ns0:t>content_linkage_verified_misfile_resolved</ns0:t>
        </ns0:is>
      </ns0:c>
      <ns0:c r="N548" s="2" t="inlineStr">
        <ns0:is>
          <ns0:t>R13964与R13834上传同字节附件。附件为7种微污染物HPLC及GC-BID/GC-TCD色谱图、periods I–VII；与R13834实验对象/检测方法及Appendix A补充链接相符；R13964为H2S综述且不含该组实验。规范归R13834；R13964的错误来源关联保留，R13964不计此附件。</ns0:t>
        </ns0:is>
      </ns0:c>
      <ns0:c r="O548" s="2" t="inlineStr">
        <ns0:is>
          <ns0:t>https://github.com/Colliam-Vermilion/FirstCodex/blob/results/ad-oxygen-literature-20261006/results/ad-oxygen-literature-20261006/original_files/R13834/supplementary/supplementary__d29034513104ea94.docx</ns0:t>
        </ns0:is>
      </ns0:c>
    </ns0:row>
    <ns0:row r="549" ht="48" customHeight="1">
      <ns0:c r="A549" s="3" t="inlineStr">
        <ns0:is>
          <ns0:t>R06227</ns0:t>
        </ns0:is>
      </ns0:c>
      <ns0:c r="B549" s="3" t="inlineStr">
        <ns0:is>
          <ns0:t>Using air instead of biogas for mixing and its effect on anaerobic digestion of animal wastewater with high suspended solids</ns0:t>
        </ns0:is>
      </ns0:c>
      <ns0:c r="C549" s="3" t="inlineStr">
        <ns0:is>
          <ns0:t>10.1016/j.biortech.2020.124047</ns0:t>
        </ns0:is>
      </ns0:c>
      <ns0:c r="D549" s="3" t="inlineStr">
        <ns0:is>
          <ns0:t>fulltext</ns0:t>
        </ns0:is>
      </ns0:c>
      <ns0:c r="E549" s="3" t="inlineStr">
        <ns0:is>
          <ns0:t>出版版（版式及版权文字）</ns0:t>
        </ns0:is>
      </ns0:c>
      <ns0:c r="F549" s="3" t="inlineStr">
        <ns0:is>
          <ns0:t>fulltext.pdf</ns0:t>
        </ns0:is>
      </ns0:c>
      <ns0:c r="G549" s="3" t="inlineStr">
        <ns0:is>
          <ns0:t>original_files/R06227/fulltext/fulltext__published__d44e962b4032daef.pdf</ns0:t>
        </ns0:is>
      </ns0:c>
      <ns0:c r="H549" s="3" t="inlineStr">
        <ns0:is>
          <ns0:t>local_upload</ns0:t>
        </ns0:is>
      </ns0:c>
      <ns0:c r="I549" s="3" t="inlineStr">
        <ns0:is>
          <ns0:t>localdownload/R06227/fulltext.pdf</ns0:t>
        </ns0:is>
      </ns0:c>
      <ns0:c r="J549" s="3" t="n">
        <ns0:v>1287250</ns0:v>
      </ns0:c>
      <ns0:c r="K549" s="3" t="inlineStr">
        <ns0:is>
          <ns0:t>d44e962b4032daefeca3c8e2788a4c6adc0836116748dc6436b985586a48132d</ns0:t>
        </ns0:is>
      </ns0:c>
      <ns0:c r="L549" s="3" t="inlineStr">
        <ns0:is>
          <ns0:t>identity_and_body_structure_verified</ns0:t>
        </ns0:is>
      </ns0:c>
      <ns0:c r="M549" s="3" t="inlineStr"/>
      <ns0:c r="N549" s="3" t="inlineStr">
        <ns0:is>
          <ns0:t>首页/前两页题名作者或目标DOI核对，全部页面解析及正文结构检查；不据文件名判全文。</ns0:t>
        </ns0:is>
      </ns0:c>
      <ns0:c r="O549" s="3" t="inlineStr">
        <ns0:is>
          <ns0:t>https://github.com/Colliam-Vermilion/FirstCodex/blob/results/ad-oxygen-literature-20261006/results/ad-oxygen-literature-20261006/original_files/R06227/fulltext/fulltext__published__d44e962b4032daef.pdf</ns0:t>
        </ns0:is>
      </ns0:c>
    </ns0:row>
    <ns0:row r="550" ht="48" customHeight="1">
      <ns0:c r="A550" s="2" t="inlineStr">
        <ns0:is>
          <ns0:t>R05611</ns0:t>
        </ns0:is>
      </ns0:c>
      <ns0:c r="B550" s="2" t="inlineStr">
        <ns0:is>
          <ns0:t>Enhanced hydrolysis and acidification of cellulose at high loading for methane production via anaerobic digestion supplemented with high mobility nanobubble water</ns0:t>
        </ns0:is>
      </ns0:c>
      <ns0:c r="C550" s="2" t="inlineStr">
        <ns0:is>
          <ns0:t>10.1016/j.biortech.2019.122499</ns0:t>
        </ns0:is>
      </ns0:c>
      <ns0:c r="D550" s="2" t="inlineStr">
        <ns0:is>
          <ns0:t>supplementary</ns0:t>
        </ns0:is>
      </ns0:c>
      <ns0:c r="E550" s="2" t="inlineStr"/>
      <ns0:c r="F550" s="2" t="inlineStr">
        <ns0:is>
          <ns0:t>supplementary.docx</ns0:t>
        </ns0:is>
      </ns0:c>
      <ns0:c r="G550" s="2" t="inlineStr">
        <ns0:is>
          <ns0:t>original_files/R05611/supplementary/supplementary__d47beca0f3a51c5b.docx</ns0:t>
        </ns0:is>
      </ns0:c>
      <ns0:c r="H550" s="2" t="inlineStr">
        <ns0:is>
          <ns0:t>local_upload</ns0:t>
        </ns0:is>
      </ns0:c>
      <ns0:c r="I550" s="2" t="inlineStr">
        <ns0:is>
          <ns0:t>localdownload/R05611/supplementary.docx</ns0:t>
        </ns0:is>
      </ns0:c>
      <ns0:c r="J550" s="2" t="n">
        <ns0:v>691633</ns0:v>
      </ns0:c>
      <ns0:c r="K550" s="2" t="inlineStr">
        <ns0:is>
          <ns0:t>d47beca0f3a51c5bdd289f8b8e1ec9bbdff16960300c574efae92129b1cbc62c</ns0:t>
        </ns0:is>
      </ns0:c>
      <ns0:c r="L550" s="2" t="inlineStr">
        <ns0:is>
          <ns0:t>container_crc_verified</ns0:t>
        </ns0:is>
      </ns0:c>
      <ns0:c r="M550" s="2" t="inlineStr">
        <ns0:is>
          <ns0:t>title_in_attachment_verified</ns0:t>
        </ns0:is>
      </ns0:c>
      <ns0:c r="N550" s="2" t="inlineStr"/>
      <ns0:c r="O550" s="2" t="inlineStr">
        <ns0:is>
          <ns0:t>https://github.com/Colliam-Vermilion/FirstCodex/blob/results/ad-oxygen-literature-20261006/results/ad-oxygen-literature-20261006/original_files/R05611/supplementary/supplementary__d47beca0f3a51c5b.docx</ns0:t>
        </ns0:is>
      </ns0:c>
    </ns0:row>
    <ns0:row r="551" ht="48" customHeight="1">
      <ns0:c r="A551" s="3" t="inlineStr">
        <ns0:is>
          <ns0:t>R07919</ns0:t>
        </ns0:is>
      </ns0:c>
      <ns0:c r="B551" s="3" t="inlineStr">
        <ns0:is>
          <ns0:t>In-situ microaeration of anaerobic digester treating buffalo manure for enhanced biogas yield</ns0:t>
        </ns0:is>
      </ns0:c>
      <ns0:c r="C551" s="3" t="inlineStr">
        <ns0:is>
          <ns0:t>10.1016/j.renene.2021.09.089</ns0:t>
        </ns0:is>
      </ns0:c>
      <ns0:c r="D551" s="3" t="inlineStr">
        <ns0:is>
          <ns0:t>fulltext</ns0:t>
        </ns0:is>
      </ns0:c>
      <ns0:c r="E551" s="3" t="inlineStr">
        <ns0:is>
          <ns0:t>出版版（版式及版权文字）</ns0:t>
        </ns0:is>
      </ns0:c>
      <ns0:c r="F551" s="3" t="inlineStr">
        <ns0:is>
          <ns0:t>fulltext.pdf</ns0:t>
        </ns0:is>
      </ns0:c>
      <ns0:c r="G551" s="3" t="inlineStr">
        <ns0:is>
          <ns0:t>original_files/R07919/fulltext/fulltext__published__d4adef397549abc7.pdf</ns0:t>
        </ns0:is>
      </ns0:c>
      <ns0:c r="H551" s="3" t="inlineStr">
        <ns0:is>
          <ns0:t>local_upload</ns0:t>
        </ns0:is>
      </ns0:c>
      <ns0:c r="I551" s="3" t="inlineStr">
        <ns0:is>
          <ns0:t>localdownload/R07919/fulltext.pdf</ns0:t>
        </ns0:is>
      </ns0:c>
      <ns0:c r="J551" s="3" t="n">
        <ns0:v>1404077</ns0:v>
      </ns0:c>
      <ns0:c r="K551" s="3" t="inlineStr">
        <ns0:is>
          <ns0:t>d4adef397549abc715c77847c836f185f92b3b6403243cf29f80be138eb3efdd</ns0:t>
        </ns0:is>
      </ns0:c>
      <ns0:c r="L551" s="3" t="inlineStr">
        <ns0:is>
          <ns0:t>identity_and_body_structure_verified</ns0:t>
        </ns0:is>
      </ns0:c>
      <ns0:c r="M551" s="3" t="inlineStr"/>
      <ns0:c r="N551" s="3" t="inlineStr">
        <ns0:is>
          <ns0:t>首页/前两页题名作者或目标DOI核对，全部页面解析及正文结构检查；不据文件名判全文。</ns0:t>
        </ns0:is>
      </ns0:c>
      <ns0:c r="O551" s="3" t="inlineStr">
        <ns0:is>
          <ns0:t>https://github.com/Colliam-Vermilion/FirstCodex/blob/results/ad-oxygen-literature-20261006/results/ad-oxygen-literature-20261006/original_files/R07919/fulltext/fulltext__published__d4adef397549abc7.pdf</ns0:t>
        </ns0:is>
      </ns0:c>
    </ns0:row>
    <ns0:row r="552" ht="48" customHeight="1">
      <ns0:c r="A552" s="2" t="inlineStr">
        <ns0:is>
          <ns0:t>R04922</ns0:t>
        </ns0:is>
      </ns0:c>
      <ns0:c r="B552" s="2" t="inlineStr">
        <ns0:is>
          <ns0:t>Long-term biogas desulfurization under different microaerobic conditions in full-scale thermophilic digesters co-digesting high-solid sewage sludge</ns0:t>
        </ns0:is>
      </ns0:c>
      <ns0:c r="C552" s="2" t="inlineStr">
        <ns0:is>
          <ns0:t>10.1016/j.ibiod.2019.05.017</ns0:t>
        </ns0:is>
      </ns0:c>
      <ns0:c r="D552" s="2" t="inlineStr">
        <ns0:is>
          <ns0:t>fulltext</ns0:t>
        </ns0:is>
      </ns0:c>
      <ns0:c r="E552" s="2" t="inlineStr">
        <ns0:is>
          <ns0:t>出版版（版式及版权文字）</ns0:t>
        </ns0:is>
      </ns0:c>
      <ns0:c r="F552" s="2" t="inlineStr">
        <ns0:is>
          <ns0:t>fulltext.pdf</ns0:t>
        </ns0:is>
      </ns0:c>
      <ns0:c r="G552" s="2" t="inlineStr">
        <ns0:is>
          <ns0:t>original_files/R04922/fulltext/fulltext__published__d4f609c42961a5d2.pdf</ns0:t>
        </ns0:is>
      </ns0:c>
      <ns0:c r="H552" s="2" t="inlineStr">
        <ns0:is>
          <ns0:t>local_upload</ns0:t>
        </ns0:is>
      </ns0:c>
      <ns0:c r="I552" s="2" t="inlineStr">
        <ns0:is>
          <ns0:t>localdownload/R04922/fulltext.pdf</ns0:t>
        </ns0:is>
      </ns0:c>
      <ns0:c r="J552" s="2" t="n">
        <ns0:v>2378045</ns0:v>
      </ns0:c>
      <ns0:c r="K552" s="2" t="inlineStr">
        <ns0:is>
          <ns0:t>d4f609c42961a5d25218af73e99fcc5ae1f02a5018337ec964fe076fc1addcbf</ns0:t>
        </ns0:is>
      </ns0:c>
      <ns0:c r="L552" s="2" t="inlineStr">
        <ns0:is>
          <ns0:t>identity_and_body_structure_verified</ns0:t>
        </ns0:is>
      </ns0:c>
      <ns0:c r="M552" s="2" t="inlineStr"/>
      <ns0:c r="N552" s="2" t="inlineStr">
        <ns0:is>
          <ns0:t>首页/前两页题名作者或目标DOI核对，全部页面解析及正文结构检查；不据文件名判全文。</ns0:t>
        </ns0:is>
      </ns0:c>
      <ns0:c r="O552" s="2" t="inlineStr">
        <ns0:is>
          <ns0:t>https://github.com/Colliam-Vermilion/FirstCodex/blob/results/ad-oxygen-literature-20261006/results/ad-oxygen-literature-20261006/original_files/R04922/fulltext/fulltext__published__d4f609c42961a5d2.pdf</ns0:t>
        </ns0:is>
      </ns0:c>
    </ns0:row>
    <ns0:row r="553" ht="48" customHeight="1">
      <ns0:c r="A553" s="3" t="inlineStr">
        <ns0:is>
          <ns0:t>R08462</ns0:t>
        </ns0:is>
      </ns0:c>
      <ns0:c r="B553" s="3" t="inlineStr">
        <ns0:is>
          <ns0:t>Upgrade the high-load anaerobic digestion and relieve acid stress through the strategy of side-stream micro-aeration: biochemical performances, microbial response and intrinsic mechanisms</ns0:t>
        </ns0:is>
      </ns0:c>
      <ns0:c r="C553" s="3" t="inlineStr">
        <ns0:is>
          <ns0:t>10.1016/j.watres.2022.118850</ns0:t>
        </ns0:is>
      </ns0:c>
      <ns0:c r="D553" s="3" t="inlineStr">
        <ns0:is>
          <ns0:t>fulltext</ns0:t>
        </ns0:is>
      </ns0:c>
      <ns0:c r="E553" s="3" t="inlineStr">
        <ns0:is>
          <ns0:t>出版版（版式及版权文字）</ns0:t>
        </ns0:is>
      </ns0:c>
      <ns0:c r="F553" s="3" t="inlineStr">
        <ns0:is>
          <ns0:t>fulltext.pdf</ns0:t>
        </ns0:is>
      </ns0:c>
      <ns0:c r="G553" s="3" t="inlineStr">
        <ns0:is>
          <ns0:t>original_files/R08462/fulltext/fulltext__published__d5f9765b6923adab.pdf</ns0:t>
        </ns0:is>
      </ns0:c>
      <ns0:c r="H553" s="3" t="inlineStr">
        <ns0:is>
          <ns0:t>local_upload</ns0:t>
        </ns0:is>
      </ns0:c>
      <ns0:c r="I553" s="3" t="inlineStr">
        <ns0:is>
          <ns0:t>localdownload/R08462/fulltext.pdf</ns0:t>
        </ns0:is>
      </ns0:c>
      <ns0:c r="J553" s="3" t="n">
        <ns0:v>10079502</ns0:v>
      </ns0:c>
      <ns0:c r="K553" s="3" t="inlineStr">
        <ns0:is>
          <ns0:t>d5f9765b6923adabfda081bf961d137fce46a2bf28f96d02a6a243341fe01e1c</ns0:t>
        </ns0:is>
      </ns0:c>
      <ns0:c r="L553" s="3" t="inlineStr">
        <ns0:is>
          <ns0:t>identity_and_body_structure_verified</ns0:t>
        </ns0:is>
      </ns0:c>
      <ns0:c r="M553" s="3" t="inlineStr"/>
      <ns0:c r="N553" s="3" t="inlineStr">
        <ns0:is>
          <ns0:t>首页/前两页题名作者或目标DOI核对，全部页面解析及正文结构检查；不据文件名判全文。</ns0:t>
        </ns0:is>
      </ns0:c>
      <ns0:c r="O553" s="3" t="inlineStr">
        <ns0:is>
          <ns0:t>https://github.com/Colliam-Vermilion/FirstCodex/blob/results/ad-oxygen-literature-20261006/results/ad-oxygen-literature-20261006/original_files/R08462/fulltext/fulltext__published__d5f9765b6923adab.pdf</ns0:t>
        </ns0:is>
      </ns0:c>
    </ns0:row>
    <ns0:row r="554" ht="48" customHeight="1">
      <ns0:c r="A554" s="2" t="inlineStr">
        <ns0:is>
          <ns0:t>R06129</ns0:t>
        </ns0:is>
      </ns0:c>
      <ns0:c r="B554" s="2" t="inlineStr">
        <ns0:is>
          <ns0:t>Supplementation of O2-containing gas nanobubble water to enhance methane production from anaerobic digestion of cellulose</ns0:t>
        </ns0:is>
      </ns0:c>
      <ns0:c r="C554" s="2" t="inlineStr">
        <ns0:is>
          <ns0:t>10.1016/j.cej.2020.125652</ns0:t>
        </ns0:is>
      </ns0:c>
      <ns0:c r="D554" s="2" t="inlineStr">
        <ns0:is>
          <ns0:t>fulltext</ns0:t>
        </ns0:is>
      </ns0:c>
      <ns0:c r="E554" s="2" t="inlineStr">
        <ns0:is>
          <ns0:t>出版版（版式及版权文字）</ns0:t>
        </ns0:is>
      </ns0:c>
      <ns0:c r="F554" s="2" t="inlineStr">
        <ns0:is>
          <ns0:t>fulltext.pdf</ns0:t>
        </ns0:is>
      </ns0:c>
      <ns0:c r="G554" s="2" t="inlineStr">
        <ns0:is>
          <ns0:t>original_files/R06129/fulltext/fulltext__published__d61967d4ec559e33.pdf</ns0:t>
        </ns0:is>
      </ns0:c>
      <ns0:c r="H554" s="2" t="inlineStr">
        <ns0:is>
          <ns0:t>local_upload</ns0:t>
        </ns0:is>
      </ns0:c>
      <ns0:c r="I554" s="2" t="inlineStr">
        <ns0:is>
          <ns0:t>localdownload/R06129/fulltext.pdf</ns0:t>
        </ns0:is>
      </ns0:c>
      <ns0:c r="J554" s="2" t="n">
        <ns0:v>931276</ns0:v>
      </ns0:c>
      <ns0:c r="K554" s="2" t="inlineStr">
        <ns0:is>
          <ns0:t>d61967d4ec559e33ae8e9e56adc37d7f964210dc821febdf94ce7e8bf11adb7b</ns0:t>
        </ns0:is>
      </ns0:c>
      <ns0:c r="L554" s="2" t="inlineStr">
        <ns0:is>
          <ns0:t>identity_and_body_structure_verified</ns0:t>
        </ns0:is>
      </ns0:c>
      <ns0:c r="M554" s="2" t="inlineStr"/>
      <ns0:c r="N554" s="2" t="inlineStr">
        <ns0:is>
          <ns0:t>首页/前两页题名作者或目标DOI核对，全部页面解析及正文结构检查；不据文件名判全文。</ns0:t>
        </ns0:is>
      </ns0:c>
      <ns0:c r="O554" s="2" t="inlineStr">
        <ns0:is>
          <ns0:t>https://github.com/Colliam-Vermilion/FirstCodex/blob/results/ad-oxygen-literature-20261006/results/ad-oxygen-literature-20261006/original_files/R06129/fulltext/fulltext__published__d61967d4ec559e33.pdf</ns0:t>
        </ns0:is>
      </ns0:c>
    </ns0:row>
    <ns0:row r="555" ht="48" customHeight="1">
      <ns0:c r="A555" s="3" t="inlineStr">
        <ns0:is>
          <ns0:t>R13691</ns0:t>
        </ns0:is>
      </ns0:c>
      <ns0:c r="B555" s="3" t="inlineStr">
        <ns0:is>
          <ns0:t>Synergistic promotion of straw anaerobic digestion by a composite microbial consortium and micro-aeration: Enhancing lignocellulose decomposition and methanogenesis</ns0:t>
        </ns0:is>
      </ns0:c>
      <ns0:c r="C555" s="3" t="inlineStr">
        <ns0:is>
          <ns0:t>10.1016/j.cej.2025.172265</ns0:t>
        </ns0:is>
      </ns0:c>
      <ns0:c r="D555" s="3" t="inlineStr">
        <ns0:is>
          <ns0:t>supplementary</ns0:t>
        </ns0:is>
      </ns0:c>
      <ns0:c r="E555" s="3" t="inlineStr"/>
      <ns0:c r="F555" s="3" t="inlineStr">
        <ns0:is>
          <ns0:t>supplementary.docx</ns0:t>
        </ns0:is>
      </ns0:c>
      <ns0:c r="G555" s="3" t="inlineStr">
        <ns0:is>
          <ns0:t>original_files/R13691/supplementary/supplementary__d629b8eb96ca8565.docx</ns0:t>
        </ns0:is>
      </ns0:c>
      <ns0:c r="H555" s="3" t="inlineStr">
        <ns0:is>
          <ns0:t>local_upload</ns0:t>
        </ns0:is>
      </ns0:c>
      <ns0:c r="I555" s="3" t="inlineStr">
        <ns0:is>
          <ns0:t>localdownload/R13691/supplementary.docx</ns0:t>
        </ns0:is>
      </ns0:c>
      <ns0:c r="J555" s="3" t="n">
        <ns0:v>1944717</ns0:v>
      </ns0:c>
      <ns0:c r="K555" s="3" t="inlineStr">
        <ns0:is>
          <ns0:t>d629b8eb96ca856597078edf80c140a0a382c08b008730b0c446d27840a4ccdb</ns0:t>
        </ns0:is>
      </ns0:c>
      <ns0:c r="L555" s="3" t="inlineStr">
        <ns0:is>
          <ns0:t>container_crc_verified</ns0:t>
        </ns0:is>
      </ns0:c>
      <ns0:c r="M555" s="3" t="inlineStr">
        <ns0:is>
          <ns0:t>title_in_attachment_verified</ns0:t>
        </ns0:is>
      </ns0:c>
      <ns0:c r="N555" s="3" t="inlineStr"/>
      <ns0:c r="O555" s="3" t="inlineStr">
        <ns0:is>
          <ns0:t>https://github.com/Colliam-Vermilion/FirstCodex/blob/results/ad-oxygen-literature-20261006/results/ad-oxygen-literature-20261006/original_files/R13691/supplementary/supplementary__d629b8eb96ca8565.docx</ns0:t>
        </ns0:is>
      </ns0:c>
    </ns0:row>
    <ns0:row r="556" ht="48" customHeight="1">
      <ns0:c r="A556" s="2" t="inlineStr">
        <ns0:is>
          <ns0:t>R10300</ns0:t>
        </ns0:is>
      </ns0:c>
      <ns0:c r="B556" s="2" t="inlineStr">
        <ns0:is>
          <ns0:t>Headspace micro-oxygenation as a strategy for efficient biogas desulfurization and biomethane generation in a centralized sewage sludge digestion plant</ns0:t>
        </ns0:is>
      </ns0:c>
      <ns0:c r="C556" s="2" t="inlineStr">
        <ns0:is>
          <ns0:t>10.1016/j.biombioe.2024.107151</ns0:t>
        </ns0:is>
      </ns0:c>
      <ns0:c r="D556" s="2" t="inlineStr">
        <ns0:is>
          <ns0:t>supplementary</ns0:t>
        </ns0:is>
      </ns0:c>
      <ns0:c r="E556" s="2" t="inlineStr"/>
      <ns0:c r="F556" s="2" t="inlineStr">
        <ns0:is>
          <ns0:t>supplementary.docx</ns0:t>
        </ns0:is>
      </ns0:c>
      <ns0:c r="G556" s="2" t="inlineStr">
        <ns0:is>
          <ns0:t>original_files/R10300/supplementary/supplementary__d65851889e37319b.docx</ns0:t>
        </ns0:is>
      </ns0:c>
      <ns0:c r="H556" s="2" t="inlineStr">
        <ns0:is>
          <ns0:t>local_upload</ns0:t>
        </ns0:is>
      </ns0:c>
      <ns0:c r="I556" s="2" t="inlineStr">
        <ns0:is>
          <ns0:t>localdownload/R10300/supplementary.docx</ns0:t>
        </ns0:is>
      </ns0:c>
      <ns0:c r="J556" s="2" t="n">
        <ns0:v>78244</ns0:v>
      </ns0:c>
      <ns0:c r="K556" s="2" t="inlineStr">
        <ns0:is>
          <ns0:t>d65851889e37319b243b6fbc845d31f7526d286ea80c3379d75e05c9db65d22f</ns0:t>
        </ns0:is>
      </ns0:c>
      <ns0:c r="L556" s="2" t="inlineStr">
        <ns0:is>
          <ns0:t>container_crc_verified</ns0:t>
        </ns0:is>
      </ns0:c>
      <ns0:c r="M556" s="2" t="inlineStr">
        <ns0:is>
          <ns0:t>title_in_attachment_verified</ns0:t>
        </ns0:is>
      </ns0:c>
      <ns0:c r="N556" s="2" t="inlineStr"/>
      <ns0:c r="O556" s="2" t="inlineStr">
        <ns0:is>
          <ns0:t>https://github.com/Colliam-Vermilion/FirstCodex/blob/results/ad-oxygen-literature-20261006/results/ad-oxygen-literature-20261006/original_files/R10300/supplementary/supplementary__d65851889e37319b.docx</ns0:t>
        </ns0:is>
      </ns0:c>
    </ns0:row>
    <ns0:row r="557" ht="48" customHeight="1">
      <ns0:c r="A557" s="3" t="inlineStr">
        <ns0:is>
          <ns0:t>R02188</ns0:t>
        </ns0:is>
      </ns0:c>
      <ns0:c r="B557" s="3" t="inlineStr">
        <ns0:is>
          <ns0:t>The thermophilic (55 °C) microaerobic pretreatment of corn straw for anaerobic digestion</ns0:t>
        </ns0:is>
      </ns0:c>
      <ns0:c r="C557" s="3" t="inlineStr">
        <ns0:is>
          <ns0:t>10.1016/j.biortech.2014.10.072</ns0:t>
        </ns0:is>
      </ns0:c>
      <ns0:c r="D557" s="3" t="inlineStr">
        <ns0:is>
          <ns0:t>fulltext</ns0:t>
        </ns0:is>
      </ns0:c>
      <ns0:c r="E557" s="3" t="inlineStr">
        <ns0:is>
          <ns0:t>出版版（版式及版权文字）</ns0:t>
        </ns0:is>
      </ns0:c>
      <ns0:c r="F557" s="3" t="inlineStr">
        <ns0:is>
          <ns0:t>fulltext.pdf</ns0:t>
        </ns0:is>
      </ns0:c>
      <ns0:c r="G557" s="3" t="inlineStr">
        <ns0:is>
          <ns0:t>original_files/R02188/fulltext/fulltext__published__d71a021f92b210cb.pdf</ns0:t>
        </ns0:is>
      </ns0:c>
      <ns0:c r="H557" s="3" t="inlineStr">
        <ns0:is>
          <ns0:t>local_upload</ns0:t>
        </ns0:is>
      </ns0:c>
      <ns0:c r="I557" s="3" t="inlineStr">
        <ns0:is>
          <ns0:t>localdownload/R02188/fulltext.pdf</ns0:t>
        </ns0:is>
      </ns0:c>
      <ns0:c r="J557" s="3" t="n">
        <ns0:v>1478936</ns0:v>
      </ns0:c>
      <ns0:c r="K557" s="3" t="inlineStr">
        <ns0:is>
          <ns0:t>d71a021f92b210cbd2a3d7894b5267e2bfcc894c5827aef0474e58aa0436a38f</ns0:t>
        </ns0:is>
      </ns0:c>
      <ns0:c r="L557" s="3" t="inlineStr">
        <ns0:is>
          <ns0:t>identity_and_body_structure_verified</ns0:t>
        </ns0:is>
      </ns0:c>
      <ns0:c r="M557" s="3" t="inlineStr"/>
      <ns0:c r="N557" s="3" t="inlineStr">
        <ns0:is>
          <ns0:t>首页/前两页题名作者或目标DOI核对，全部页面解析及正文结构检查；不据文件名判全文。</ns0:t>
        </ns0:is>
      </ns0:c>
      <ns0:c r="O557" s="3" t="inlineStr">
        <ns0:is>
          <ns0:t>https://github.com/Colliam-Vermilion/FirstCodex/blob/results/ad-oxygen-literature-20261006/results/ad-oxygen-literature-20261006/original_files/R02188/fulltext/fulltext__published__d71a021f92b210cb.pdf</ns0:t>
        </ns0:is>
      </ns0:c>
    </ns0:row>
    <ns0:row r="558" ht="48" customHeight="1">
      <ns0:c r="A558" s="2" t="inlineStr">
        <ns0:is>
          <ns0:t>R03161</ns0:t>
        </ns0:is>
      </ns0:c>
      <ns0:c r="B558" s="2" t="inlineStr">
        <ns0:is>
          <ns0:t>Effect of liquid surface area on hydrogen sulfide oxidation during micro-aeration in dairy manure digesters</ns0:t>
        </ns0:is>
      </ns0:c>
      <ns0:c r="C558" s="2" t="inlineStr">
        <ns0:is>
          <ns0:t>10.1371/journal.pone.0185738</ns0:t>
        </ns0:is>
      </ns0:c>
      <ns0:c r="D558" s="2" t="inlineStr">
        <ns0:is>
          <ns0:t>supplementary</ns0:t>
        </ns0:is>
      </ns0:c>
      <ns0:c r="E558" s="2" t="inlineStr"/>
      <ns0:c r="F558" s="2" t="inlineStr">
        <ns0:is>
          <ns0:t>pone.0185738.s001.xlsx</ns0:t>
        </ns0:is>
      </ns0:c>
      <ns0:c r="G558" s="2" t="inlineStr">
        <ns0:is>
          <ns0:t>original_files/R03161/supplementary/supplementary__d7cc276f64fa4c14.xlsx</ns0:t>
        </ns0:is>
      </ns0:c>
      <ns0:c r="H558" s="2" t="inlineStr">
        <ns0:is>
          <ns0:t>cloud_existing</ns0:t>
        </ns0:is>
      </ns0:c>
      <ns0:c r="I558" s="2" t="inlineStr">
        <ns0:is>
          <ns0:t>original_files/supplementary/R03161/pone.0185738.s001.xlsx</ns0:t>
        </ns0:is>
      </ns0:c>
      <ns0:c r="J558" s="2" t="n">
        <ns0:v>18038</ns0:v>
      </ns0:c>
      <ns0:c r="K558" s="2" t="inlineStr">
        <ns0:is>
          <ns0:t>d7cc276f64fa4c14cae6112225870bf2a5daabbfd3ed1243c5cebba459e320f9</ns0:t>
        </ns0:is>
      </ns0:c>
      <ns0:c r="L558" s="2" t="inlineStr">
        <ns0:is>
          <ns0:t>xlsx_open_and_zip_crc_verified</ns0:t>
        </ns0:is>
      </ns0:c>
      <ns0:c r="M558" s="2" t="inlineStr">
        <ns0:is>
          <ns0:t>existing_official_attachment_evidence_retained</ns0:t>
        </ns0:is>
      </ns0:c>
      <ns0:c r="N558" s="2" t="inlineStr"/>
      <ns0:c r="O558" s="2" t="inlineStr">
        <ns0:is>
          <ns0:t>https://github.com/Colliam-Vermilion/FirstCodex/blob/results/ad-oxygen-literature-20261006/results/ad-oxygen-literature-20261006/original_files/R03161/supplementary/supplementary__d7cc276f64fa4c14.xlsx</ns0:t>
        </ns0:is>
      </ns0:c>
    </ns0:row>
    <ns0:row r="559" ht="48" customHeight="1">
      <ns0:c r="A559" s="3" t="inlineStr">
        <ns0:is>
          <ns0:t>R12562</ns0:t>
        </ns0:is>
      </ns0:c>
      <ns0:c r="B559" s="3" t="inlineStr">
        <ns0:is>
          <ns0:t>Air nanobubble effectively enhances tetracycline degradation and antibiotic resistance genes reduction in sludge anaerobic digestion</ns0:t>
        </ns0:is>
      </ns0:c>
      <ns0:c r="C559" s="3" t="inlineStr">
        <ns0:is>
          <ns0:t>10.1016/j.biortech.2026.134703</ns0:t>
        </ns0:is>
      </ns0:c>
      <ns0:c r="D559" s="3" t="inlineStr">
        <ns0:is>
          <ns0:t>supplementary</ns0:t>
        </ns0:is>
      </ns0:c>
      <ns0:c r="E559" s="3" t="inlineStr"/>
      <ns0:c r="F559" s="3" t="inlineStr">
        <ns0:is>
          <ns0:t>supplementary.docx</ns0:t>
        </ns0:is>
      </ns0:c>
      <ns0:c r="G559" s="3" t="inlineStr">
        <ns0:is>
          <ns0:t>original_files/R12562/supplementary/supplementary__d8042dfe135f9cf5.docx</ns0:t>
        </ns0:is>
      </ns0:c>
      <ns0:c r="H559" s="3" t="inlineStr">
        <ns0:is>
          <ns0:t>local_upload</ns0:t>
        </ns0:is>
      </ns0:c>
      <ns0:c r="I559" s="3" t="inlineStr">
        <ns0:is>
          <ns0:t>localdownload/R12562/supplementary.docx</ns0:t>
        </ns0:is>
      </ns0:c>
      <ns0:c r="J559" s="3" t="n">
        <ns0:v>2191197</ns0:v>
      </ns0:c>
      <ns0:c r="K559" s="3" t="inlineStr">
        <ns0:is>
          <ns0:t>d8042dfe135f9cf5e0f89ce323d5376bcce07061600a70bc1dc6a973b38e6c67</ns0:t>
        </ns0:is>
      </ns0:c>
      <ns0:c r="L559" s="3" t="inlineStr">
        <ns0:is>
          <ns0:t>container_crc_verified</ns0:t>
        </ns0:is>
      </ns0:c>
      <ns0:c r="M559" s="3" t="inlineStr">
        <ns0:is>
          <ns0:t>title_in_attachment_verified</ns0:t>
        </ns0:is>
      </ns0:c>
      <ns0:c r="N559" s="3" t="inlineStr"/>
      <ns0:c r="O559" s="3" t="inlineStr">
        <ns0:is>
          <ns0:t>https://github.com/Colliam-Vermilion/FirstCodex/blob/results/ad-oxygen-literature-20261006/results/ad-oxygen-literature-20261006/original_files/R12562/supplementary/supplementary__d8042dfe135f9cf5.docx</ns0:t>
        </ns0:is>
      </ns0:c>
    </ns0:row>
    <ns0:row r="560" ht="48" customHeight="1">
      <ns0:c r="A560" s="2" t="inlineStr">
        <ns0:is>
          <ns0:t>R11094</ns0:t>
        </ns0:is>
      </ns0:c>
      <ns0:c r="B560" s="2" t="inlineStr">
        <ns0:is>
          <ns0:t>Aeration promotes Proteobacteria over Firmicutes in macerated food waste, resulting in superior anaerobic digestion efficiency</ns0:t>
        </ns0:is>
      </ns0:c>
      <ns0:c r="C560" s="2" t="inlineStr">
        <ns0:is>
          <ns0:t>10.1093/femsle/fnaf001</ns0:t>
        </ns0:is>
      </ns0:c>
      <ns0:c r="D560" s="2" t="inlineStr">
        <ns0:is>
          <ns0:t>fulltext</ns0:t>
        </ns0:is>
      </ns0:c>
      <ns0:c r="E560" s="2" t="inlineStr">
        <ns0:is>
          <ns0:t>出版版（版式及版权文字）</ns0:t>
        </ns0:is>
      </ns0:c>
      <ns0:c r="F560" s="2" t="inlineStr">
        <ns0:is>
          <ns0:t>fulltext.pdf</ns0:t>
        </ns0:is>
      </ns0:c>
      <ns0:c r="G560" s="2" t="inlineStr">
        <ns0:is>
          <ns0:t>original_files/R11094/fulltext/fulltext__published__d958eb121e895b70.pdf</ns0:t>
        </ns0:is>
      </ns0:c>
      <ns0:c r="H560" s="2" t="inlineStr">
        <ns0:is>
          <ns0:t>local_upload</ns0:t>
        </ns0:is>
      </ns0:c>
      <ns0:c r="I560" s="2" t="inlineStr">
        <ns0:is>
          <ns0:t>localdownload/R11094/fulltext.pdf</ns0:t>
        </ns0:is>
      </ns0:c>
      <ns0:c r="J560" s="2" t="n">
        <ns0:v>805966</ns0:v>
      </ns0:c>
      <ns0:c r="K560" s="2" t="inlineStr">
        <ns0:is>
          <ns0:t>d958eb121e895b705e8ba38b0556e3aaa61adf55db424aa9506b80e46b16d549</ns0:t>
        </ns0:is>
      </ns0:c>
      <ns0:c r="L560" s="2" t="inlineStr">
        <ns0:is>
          <ns0:t>identity_and_body_structure_verified</ns0:t>
        </ns0:is>
      </ns0:c>
      <ns0:c r="M560" s="2" t="inlineStr"/>
      <ns0:c r="N560" s="2" t="inlineStr">
        <ns0:is>
          <ns0:t>首页/前两页题名作者或目标DOI核对，全部页面解析及正文结构检查；不据文件名判全文。</ns0:t>
        </ns0:is>
      </ns0:c>
      <ns0:c r="O560" s="2" t="inlineStr">
        <ns0:is>
          <ns0:t>https://github.com/Colliam-Vermilion/FirstCodex/blob/results/ad-oxygen-literature-20261006/results/ad-oxygen-literature-20261006/original_files/R11094/fulltext/fulltext__published__d958eb121e895b70.pdf</ns0:t>
        </ns0:is>
      </ns0:c>
    </ns0:row>
    <ns0:row r="561" ht="48" customHeight="1">
      <ns0:c r="A561" s="3" t="inlineStr">
        <ns0:is>
          <ns0:t>R08554</ns0:t>
        </ns0:is>
      </ns0:c>
      <ns0:c r="B561" s="3" t="inlineStr">
        <ns0:is>
          <ns0:t>ANALYSIS AND EVALUATION OF THE BIOGAS PURIFICATION TECHNOLOGIES FROM H2S</ns0:t>
        </ns0:is>
      </ns0:c>
      <ns0:c r="C561" s="3" t="inlineStr">
        <ns0:is>
          <ns0:t>10.3846/mla.2023.17242</ns0:t>
        </ns0:is>
      </ns0:c>
      <ns0:c r="D561" s="3" t="inlineStr">
        <ns0:is>
          <ns0:t>source_evidence</ns0:t>
        </ns0:is>
      </ns0:c>
      <ns0:c r="E561" s="3" t="inlineStr"/>
      <ns0:c r="F561" s="3" t="inlineStr">
        <ns0:is>
          <ns0:t>publisher_article_page_20261017.html</ns0:t>
        </ns0:is>
      </ns0:c>
      <ns0:c r="G561" s="3" t="inlineStr">
        <ns0:is>
          <ns0:t>original_files/R08554/evidence/source_evidence__da5e35b1ee181ce1.html</ns0:t>
        </ns0:is>
      </ns0:c>
      <ns0:c r="H561" s="3" t="inlineStr">
        <ns0:is>
          <ns0:t>cloud_existing</ns0:t>
        </ns0:is>
      </ns0:c>
      <ns0:c r="I561" s="3" t="inlineStr">
        <ns0:is>
          <ns0:t>original_files/source_evidence/R08554/publisher_article_page_20261017.html</ns0:t>
        </ns0:is>
      </ns0:c>
      <ns0:c r="J561" s="3" t="n">
        <ns0:v>94474</ns0:v>
      </ns0:c>
      <ns0:c r="K561" s="3" t="inlineStr">
        <ns0:is>
          <ns0:t>da5e35b1ee181ce1ae577a7e161c10d7a621920a4274915443411e044797838e</ns0:t>
        </ns0:is>
      </ns0:c>
      <ns0:c r="L561" s="3" t="inlineStr">
        <ns0:is>
          <ns0:t>text_readable</ns0:t>
        </ns0:is>
      </ns0:c>
      <ns0:c r="M561" s="3" t="inlineStr"/>
      <ns0:c r="N561" s="3" t="inlineStr"/>
      <ns0:c r="O561" s="3" t="inlineStr">
        <ns0:is>
          <ns0:t>https://github.com/Colliam-Vermilion/FirstCodex/blob/results/ad-oxygen-literature-20261006/results/ad-oxygen-literature-20261006/original_files/R08554/evidence/source_evidence__da5e35b1ee181ce1.html</ns0:t>
        </ns0:is>
      </ns0:c>
    </ns0:row>
    <ns0:row r="562" ht="48" customHeight="1">
      <ns0:c r="A562" s="2" t="inlineStr">
        <ns0:is>
          <ns0:t>R09240</ns0:t>
        </ns0:is>
      </ns0:c>
      <ns0:c r="B562" s="2" t="inlineStr">
        <ns0:is>
          <ns0:t>Microbubble Intensification of Bioprocessing</ns0:t>
        </ns0:is>
      </ns0:c>
      <ns0:c r="C562" s="2" t="inlineStr">
        <ns0:is>
          <ns0:t>10.1595/205651323x16778518231554</ns0:t>
        </ns0:is>
      </ns0:c>
      <ns0:c r="D562" s="2" t="inlineStr">
        <ns0:is>
          <ns0:t>fulltext</ns0:t>
        </ns0:is>
      </ns0:c>
      <ns0:c r="E562" s="2" t="inlineStr">
        <ns0:is>
          <ns0:t>Version of record; Johnson Matthey Technology Review 67(4), 2023, pp371–401</ns0:t>
        </ns0:is>
      </ns0:c>
      <ns0:c r="F562" s="2" t="inlineStr">
        <ns0:is>
          <ns0:t>R09240_2023_Microbubble_Intensification_of_Bioprocessing.pdf</ns0:t>
        </ns0:is>
      </ns0:c>
      <ns0:c r="G562" s="2" t="inlineStr">
        <ns0:is>
          <ns0:t>original_files/R09240/fulltext/fulltext__version_unverified__da8dbeb874b19b59.pdf</ns0:t>
        </ns0:is>
      </ns0:c>
      <ns0:c r="H562" s="2" t="inlineStr">
        <ns0:is>
          <ns0:t>cloud_existing</ns0:t>
        </ns0:is>
      </ns0:c>
      <ns0:c r="I562" s="2" t="inlineStr">
        <ns0:is>
          <ns0:t>original_files/fulltext/R09240_2023_Microbubble_Intensification_of_Bioprocessing.pdf</ns0:t>
        </ns0:is>
      </ns0:c>
      <ns0:c r="J562" s="2" t="n">
        <ns0:v>1315227</ns0:v>
      </ns0:c>
      <ns0:c r="K562" s="2" t="inlineStr">
        <ns0:is>
          <ns0:t>da8dbeb874b19b59dbea53c11766a209aaa0b0bc319e2128c94340ae78cecfaf</ns0:t>
        </ns0:is>
      </ns0:c>
      <ns0:c r="L562" s="2" t="inlineStr">
        <ns0:is>
          <ns0:t>identity_and_body_structure_verified</ns0:t>
        </ns0:is>
      </ns0:c>
      <ns0:c r="M562" s="2" t="inlineStr"/>
      <ns0:c r="N562" s="2" t="inlineStr">
        <ns0:is>
          <ns0:t>首页/前两页题名作者或目标DOI核对，全部页面解析及正文结构检查；不据文件名判全文。</ns0:t>
        </ns0:is>
      </ns0:c>
      <ns0:c r="O562" s="2" t="inlineStr">
        <ns0:is>
          <ns0:t>https://github.com/Colliam-Vermilion/FirstCodex/blob/results/ad-oxygen-literature-20261006/results/ad-oxygen-literature-20261006/original_files/R09240/fulltext/fulltext__version_unverified__da8dbeb874b19b59.pdf</ns0:t>
        </ns0:is>
      </ns0:c>
    </ns0:row>
    <ns0:row r="563" ht="48" customHeight="1">
      <ns0:c r="A563" s="3" t="inlineStr">
        <ns0:is>
          <ns0:t>R13737</ns0:t>
        </ns0:is>
      </ns0:c>
      <ns0:c r="B563" s="3" t="inlineStr">
        <ns0:is>
          <ns0:t>Three-stage integrated co-digestion of pig manure and rice straw combined with biogas slurry reflux: Performance and application evaluation</ns0:t>
        </ns0:is>
      </ns0:c>
      <ns0:c r="C563" s="3" t="inlineStr">
        <ns0:is>
          <ns0:t>10.1016/j.biortech.2026.135455</ns0:t>
        </ns0:is>
      </ns0:c>
      <ns0:c r="D563" s="3" t="inlineStr">
        <ns0:is>
          <ns0:t>supplementary</ns0:t>
        </ns0:is>
      </ns0:c>
      <ns0:c r="E563" s="3" t="inlineStr"/>
      <ns0:c r="F563" s="3" t="inlineStr">
        <ns0:is>
          <ns0:t>supplementary.docx</ns0:t>
        </ns0:is>
      </ns0:c>
      <ns0:c r="G563" s="3" t="inlineStr">
        <ns0:is>
          <ns0:t>original_files/R13737/supplementary/supplementary__daaa5785fce4f181.docx</ns0:t>
        </ns0:is>
      </ns0:c>
      <ns0:c r="H563" s="3" t="inlineStr">
        <ns0:is>
          <ns0:t>local_upload</ns0:t>
        </ns0:is>
      </ns0:c>
      <ns0:c r="I563" s="3" t="inlineStr">
        <ns0:is>
          <ns0:t>localdownload/R13737/supplementary.docx</ns0:t>
        </ns0:is>
      </ns0:c>
      <ns0:c r="J563" s="3" t="n">
        <ns0:v>19606</ns0:v>
      </ns0:c>
      <ns0:c r="K563" s="3" t="inlineStr">
        <ns0:is>
          <ns0:t>daaa5785fce4f181c30054b5effe2b72fffbe14f47cf6e31e335a823c443fc57</ns0:t>
        </ns0:is>
      </ns0:c>
      <ns0:c r="L563" s="3" t="inlineStr">
        <ns0:is>
          <ns0:t>container_crc_verified</ns0:t>
        </ns0:is>
      </ns0:c>
      <ns0:c r="M563" s="3" t="inlineStr">
        <ns0:is>
          <ns0:t>title_in_attachment_verified</ns0:t>
        </ns0:is>
      </ns0:c>
      <ns0:c r="N563" s="3" t="inlineStr"/>
      <ns0:c r="O563" s="3" t="inlineStr">
        <ns0:is>
          <ns0:t>https://github.com/Colliam-Vermilion/FirstCodex/blob/results/ad-oxygen-literature-20261006/results/ad-oxygen-literature-20261006/original_files/R13737/supplementary/supplementary__daaa5785fce4f181.docx</ns0:t>
        </ns0:is>
      </ns0:c>
    </ns0:row>
    <ns0:row r="564" ht="48" customHeight="1">
      <ns0:c r="A564" s="2" t="inlineStr">
        <ns0:is>
          <ns0:t>R09217</ns0:t>
        </ns0:is>
      </ns0:c>
      <ns0:c r="B564" s="2" t="inlineStr">
        <ns0:is>
          <ns0:t>Micro-aeration and leachate recirculation for the acceleration of landfill stabilization: Enhanced hydrolytic acidification by facultative bacteria</ns0:t>
        </ns0:is>
      </ns0:c>
      <ns0:c r="C564" s="2" t="inlineStr">
        <ns0:is>
          <ns0:t>10.1016/j.biortech.2023.129615</ns0:t>
        </ns0:is>
      </ns0:c>
      <ns0:c r="D564" s="2" t="inlineStr">
        <ns0:is>
          <ns0:t>fulltext</ns0:t>
        </ns0:is>
      </ns0:c>
      <ns0:c r="E564" s="2" t="inlineStr">
        <ns0:is>
          <ns0:t>出版版（版式及版权文字）</ns0:t>
        </ns0:is>
      </ns0:c>
      <ns0:c r="F564" s="2" t="inlineStr">
        <ns0:is>
          <ns0:t>fulltext.pdf</ns0:t>
        </ns0:is>
      </ns0:c>
      <ns0:c r="G564" s="2" t="inlineStr">
        <ns0:is>
          <ns0:t>original_files/R09217/fulltext/fulltext__published__dafa2d18d12dbc0d.pdf</ns0:t>
        </ns0:is>
      </ns0:c>
      <ns0:c r="H564" s="2" t="inlineStr">
        <ns0:is>
          <ns0:t>local_upload</ns0:t>
        </ns0:is>
      </ns0:c>
      <ns0:c r="I564" s="2" t="inlineStr">
        <ns0:is>
          <ns0:t>localdownload/R09217/fulltext.pdf</ns0:t>
        </ns0:is>
      </ns0:c>
      <ns0:c r="J564" s="2" t="n">
        <ns0:v>6119260</ns0:v>
      </ns0:c>
      <ns0:c r="K564" s="2" t="inlineStr">
        <ns0:is>
          <ns0:t>dafa2d18d12dbc0d52637953a120d9a5d2c4fe3d0a5e1d6d0d5aaf00204efeff</ns0:t>
        </ns0:is>
      </ns0:c>
      <ns0:c r="L564" s="2" t="inlineStr">
        <ns0:is>
          <ns0:t>identity_and_body_structure_verified</ns0:t>
        </ns0:is>
      </ns0:c>
      <ns0:c r="M564" s="2" t="inlineStr"/>
      <ns0:c r="N564" s="2" t="inlineStr">
        <ns0:is>
          <ns0:t>首页/前两页题名作者或目标DOI核对，全部页面解析及正文结构检查；不据文件名判全文。</ns0:t>
        </ns0:is>
      </ns0:c>
      <ns0:c r="O564" s="2" t="inlineStr">
        <ns0:is>
          <ns0:t>https://github.com/Colliam-Vermilion/FirstCodex/blob/results/ad-oxygen-literature-20261006/results/ad-oxygen-literature-20261006/original_files/R09217/fulltext/fulltext__published__dafa2d18d12dbc0d.pdf</ns0:t>
        </ns0:is>
      </ns0:c>
    </ns0:row>
    <ns0:row r="565" ht="48" customHeight="1">
      <ns0:c r="A565" s="3" t="inlineStr">
        <ns0:is>
          <ns0:t>R13968</ns0:t>
        </ns0:is>
      </ns0:c>
      <ns0:c r="B565" s="3" t="inlineStr">
        <ns0:is>
          <ns0:t>Enhancement of separate hydrogen and methane production from ethanol wastewater by Microaeration</ns0:t>
        </ns0:is>
      </ns0:c>
      <ns0:c r="C565" s="3" t="inlineStr">
        <ns0:is>
          <ns0:t>10.58837/chula.the.2015.1957</ns0:t>
        </ns0:is>
      </ns0:c>
      <ns0:c r="D565" s="3" t="inlineStr">
        <ns0:is>
          <ns0:t>fulltext</ns0:t>
        </ns0:is>
      </ns0:c>
      <ns0:c r="E565" s="3" t="inlineStr">
        <ns0:is>
          <ns0:t>学位/学生报告原稿（分章节者按组）</ns0:t>
        </ns0:is>
      </ns0:c>
      <ns0:c r="F565" s="3" t="inlineStr">
        <ns0:is>
          <ns0:t>R13968_Nhatthaphon_sr_ch2_p.pdf</ns0:t>
        </ns0:is>
      </ns0:c>
      <ns0:c r="G565" s="3" t="inlineStr">
        <ns0:is>
          <ns0:t>original_files/R13968/fulltext/fulltext__thesis__db164a7cb44673e9.pdf</ns0:t>
        </ns0:is>
      </ns0:c>
      <ns0:c r="H565" s="3" t="inlineStr">
        <ns0:is>
          <ns0:t>cloud_existing</ns0:t>
        </ns0:is>
      </ns0:c>
      <ns0:c r="I565" s="3" t="inlineStr">
        <ns0:is>
          <ns0:t>original_files/fulltext/R13968_Nhatthaphon_sr_ch2_p.pdf</ns0:t>
        </ns0:is>
      </ns0:c>
      <ns0:c r="J565" s="3" t="n">
        <ns0:v>2222750</ns0:v>
      </ns0:c>
      <ns0:c r="K565" s="3" t="inlineStr">
        <ns0:is>
          <ns0:t>db164a7cb44673e94b3023ccb7d02eb60ee91282cc7e6fcd89e31ae859b8ad75</ns0:t>
        </ns0:is>
      </ns0:c>
      <ns0:c r="L565" s="3" t="inlineStr">
        <ns0:is>
          <ns0:t>complete_multipart_thesis_group_verified</ns0:t>
        </ns0:is>
      </ns0:c>
      <ns0:c r="M565" s="3" t="inlineStr"/>
      <ns0:c r="N565" s="3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565" s="3" t="inlineStr">
        <ns0:is>
          <ns0:t>https://github.com/Colliam-Vermilion/FirstCodex/blob/results/ad-oxygen-literature-20261006/results/ad-oxygen-literature-20261006/original_files/R13968/fulltext/fulltext__thesis__db164a7cb44673e9.pdf</ns0:t>
        </ns0:is>
      </ns0:c>
    </ns0:row>
    <ns0:row r="566" ht="48" customHeight="1">
      <ns0:c r="A566" s="2" t="inlineStr">
        <ns0:is>
          <ns0:t>R03853</ns0:t>
        </ns0:is>
      </ns0:c>
      <ns0:c r="B566" s="2" t="inlineStr">
        <ns0:is>
          <ns0:t>Effect of Aeration Applied During Different Phases of Anaerobic Digestion</ns0:t>
        </ns0:is>
      </ns0:c>
      <ns0:c r="C566" s="2" t="inlineStr">
        <ns0:is>
          <ns0:t>10.1007/s12649-016-9785-9</ns0:t>
        </ns0:is>
      </ns0:c>
      <ns0:c r="D566" s="2" t="inlineStr">
        <ns0:is>
          <ns0:t>fulltext</ns0:t>
        </ns0:is>
      </ns0:c>
      <ns0:c r="E566" s="2" t="inlineStr">
        <ns0:is>
          <ns0:t>出版版（版式及版权文字）</ns0:t>
        </ns0:is>
      </ns0:c>
      <ns0:c r="F566" s="2" t="inlineStr">
        <ns0:is>
          <ns0:t>fulltext.pdf</ns0:t>
        </ns0:is>
      </ns0:c>
      <ns0:c r="G566" s="2" t="inlineStr">
        <ns0:is>
          <ns0:t>original_files/R03853/fulltext/fulltext__published__db4333af1eda5b33.pdf</ns0:t>
        </ns0:is>
      </ns0:c>
      <ns0:c r="H566" s="2" t="inlineStr">
        <ns0:is>
          <ns0:t>local_upload</ns0:t>
        </ns0:is>
      </ns0:c>
      <ns0:c r="I566" s="2" t="inlineStr">
        <ns0:is>
          <ns0:t>localdownload/R03853/fulltext.pdf</ns0:t>
        </ns0:is>
      </ns0:c>
      <ns0:c r="J566" s="2" t="n">
        <ns0:v>528795</ns0:v>
      </ns0:c>
      <ns0:c r="K566" s="2" t="inlineStr">
        <ns0:is>
          <ns0:t>db4333af1eda5b3376d33ae5dc84677d3a878cb8b7029e885dc26baac96e2e42</ns0:t>
        </ns0:is>
      </ns0:c>
      <ns0:c r="L566" s="2" t="inlineStr">
        <ns0:is>
          <ns0:t>identity_and_body_structure_verified</ns0:t>
        </ns0:is>
      </ns0:c>
      <ns0:c r="M566" s="2" t="inlineStr"/>
      <ns0:c r="N566" s="2" t="inlineStr">
        <ns0:is>
          <ns0:t>首页/前两页题名作者或目标DOI核对，全部页面解析及正文结构检查；不据文件名判全文。</ns0:t>
        </ns0:is>
      </ns0:c>
      <ns0:c r="O566" s="2" t="inlineStr">
        <ns0:is>
          <ns0:t>https://github.com/Colliam-Vermilion/FirstCodex/blob/results/ad-oxygen-literature-20261006/results/ad-oxygen-literature-20261006/original_files/R03853/fulltext/fulltext__published__db4333af1eda5b33.pdf</ns0:t>
        </ns0:is>
      </ns0:c>
    </ns0:row>
    <ns0:row r="567" ht="48" customHeight="1">
      <ns0:c r="A567" s="3" t="inlineStr">
        <ns0:is>
          <ns0:t>R11606</ns0:t>
        </ns0:is>
      </ns0:c>
      <ns0:c r="B567" s="3" t="inlineStr">
        <ns0:is>
          <ns0:t>Food Waste Anaerobic Digestion Under High Organic Loading Rate: Inhibiting Factors, Mechanisms, and Mitigation Strategies</ns0:t>
        </ns0:is>
      </ns0:c>
      <ns0:c r="C567" s="3" t="inlineStr">
        <ns0:is>
          <ns0:t>10.3390/pr13072090</ns0:t>
        </ns0:is>
      </ns0:c>
      <ns0:c r="D567" s="3" t="inlineStr">
        <ns0:is>
          <ns0:t>fulltext</ns0:t>
        </ns0:is>
      </ns0:c>
      <ns0:c r="E567" s="3" t="inlineStr">
        <ns0:is>
          <ns0:t>出版版本（原页出版信息）</ns0:t>
        </ns0:is>
      </ns0:c>
      <ns0:c r="F567" s="3" t="inlineStr">
        <ns0:is>
          <ns0:t>R11606_2025_Food_Waste_Anaerobic_Digestion_Under_High_Organic_Loading_Rate.pdf</ns0:t>
        </ns0:is>
      </ns0:c>
      <ns0:c r="G567" s="3" t="inlineStr">
        <ns0:is>
          <ns0:t>original_files/R11606/fulltext/fulltext__published__db6e9b90ba74622e.pdf</ns0:t>
        </ns0:is>
      </ns0:c>
      <ns0:c r="H567" s="3" t="inlineStr">
        <ns0:is>
          <ns0:t>cloud_existing</ns0:t>
        </ns0:is>
      </ns0:c>
      <ns0:c r="I567" s="3" t="inlineStr">
        <ns0:is>
          <ns0:t>original_files/fulltext/R11606_2025_Food_Waste_Anaerobic_Digestion_Under_High_Organic_Loading_Rate.pdf</ns0:t>
        </ns0:is>
      </ns0:c>
      <ns0:c r="J567" s="3" t="n">
        <ns0:v>2010812</ns0:v>
      </ns0:c>
      <ns0:c r="K567" s="3" t="inlineStr">
        <ns0:is>
          <ns0:t>db6e9b90ba74622ec43b2b56060487aaf22452e436907332f4ede63c830a6175</ns0:t>
        </ns0:is>
      </ns0:c>
      <ns0:c r="L567" s="3" t="inlineStr">
        <ns0:is>
          <ns0:t>identity_and_body_structure_verified</ns0:t>
        </ns0:is>
      </ns0:c>
      <ns0:c r="M567" s="3" t="inlineStr"/>
      <ns0:c r="N567" s="3" t="inlineStr">
        <ns0:is>
          <ns0:t>首页/前两页题名作者或目标DOI核对，全部页面解析及正文结构检查；不据文件名判全文。</ns0:t>
        </ns0:is>
      </ns0:c>
      <ns0:c r="O567" s="3" t="inlineStr">
        <ns0:is>
          <ns0:t>https://github.com/Colliam-Vermilion/FirstCodex/blob/results/ad-oxygen-literature-20261006/results/ad-oxygen-literature-20261006/original_files/R11606/fulltext/fulltext__published__db6e9b90ba74622e.pdf</ns0:t>
        </ns0:is>
      </ns0:c>
    </ns0:row>
    <ns0:row r="568" ht="48" customHeight="1">
      <ns0:c r="A568" s="2" t="inlineStr">
        <ns0:is>
          <ns0:t>R07184</ns0:t>
        </ns0:is>
      </ns0:c>
      <ns0:c r="B568" s="2" t="inlineStr">
        <ns0:is>
          <ns0:t>Stirring-based control strategy for microaerobic H2S removal in sequencing batch anaerobic digesters</ns0:t>
        </ns0:is>
      </ns0:c>
      <ns0:c r="C568" s="2" t="inlineStr">
        <ns0:is>
          <ns0:t>10.1016/j.fuel.2021.121696</ns0:t>
        </ns0:is>
      </ns0:c>
      <ns0:c r="D568" s="2" t="inlineStr">
        <ns0:is>
          <ns0:t>fulltext</ns0:t>
        </ns0:is>
      </ns0:c>
      <ns0:c r="E568" s="2" t="inlineStr">
        <ns0:is>
          <ns0:t>出版版（版式及版权文字）</ns0:t>
        </ns0:is>
      </ns0:c>
      <ns0:c r="F568" s="2" t="inlineStr">
        <ns0:is>
          <ns0:t>fulltext.pdf</ns0:t>
        </ns0:is>
      </ns0:c>
      <ns0:c r="G568" s="2" t="inlineStr">
        <ns0:is>
          <ns0:t>original_files/R07184/fulltext/fulltext__published__dbc19544004625c7.pdf</ns0:t>
        </ns0:is>
      </ns0:c>
      <ns0:c r="H568" s="2" t="inlineStr">
        <ns0:is>
          <ns0:t>local_upload</ns0:t>
        </ns0:is>
      </ns0:c>
      <ns0:c r="I568" s="2" t="inlineStr">
        <ns0:is>
          <ns0:t>localdownload/R07184/fulltext.pdf</ns0:t>
        </ns0:is>
      </ns0:c>
      <ns0:c r="J568" s="2" t="n">
        <ns0:v>1124171</ns0:v>
      </ns0:c>
      <ns0:c r="K568" s="2" t="inlineStr">
        <ns0:is>
          <ns0:t>dbc19544004625c74ae56e1a0e5cf2c352f53cd05d0e3fa37543a4df564ab891</ns0:t>
        </ns0:is>
      </ns0:c>
      <ns0:c r="L568" s="2" t="inlineStr">
        <ns0:is>
          <ns0:t>identity_and_body_structure_verified</ns0:t>
        </ns0:is>
      </ns0:c>
      <ns0:c r="M568" s="2" t="inlineStr"/>
      <ns0:c r="N568" s="2" t="inlineStr">
        <ns0:is>
          <ns0:t>首页/前两页题名作者或目标DOI核对，全部页面解析及正文结构检查；不据文件名判全文。</ns0:t>
        </ns0:is>
      </ns0:c>
      <ns0:c r="O568" s="2" t="inlineStr">
        <ns0:is>
          <ns0:t>https://github.com/Colliam-Vermilion/FirstCodex/blob/results/ad-oxygen-literature-20261006/results/ad-oxygen-literature-20261006/original_files/R07184/fulltext/fulltext__published__dbc19544004625c7.pdf</ns0:t>
        </ns0:is>
      </ns0:c>
    </ns0:row>
    <ns0:row r="569" ht="48" customHeight="1">
      <ns0:c r="A569" s="3" t="inlineStr">
        <ns0:is>
          <ns0:t>R13886</ns0:t>
        </ns0:is>
      </ns0:c>
      <ns0:c r="B569" s="3" t="inlineStr">
        <ns0:is>
          <ns0:t>Effect of air mixing on high-solids anaerobic digestion of cow manure: Performance and mechanism.</ns0:t>
        </ns0:is>
      </ns0:c>
      <ns0:c r="C569" s="3" t="inlineStr">
        <ns0:is>
          <ns0:t>10.1016/j.biortech.2022.128545</ns0:t>
        </ns0:is>
      </ns0:c>
      <ns0:c r="D569" s="3" t="inlineStr">
        <ns0:is>
          <ns0:t>supplementary</ns0:t>
        </ns0:is>
      </ns0:c>
      <ns0:c r="E569" s="3" t="inlineStr"/>
      <ns0:c r="F569" s="3" t="inlineStr">
        <ns0:is>
          <ns0:t>supplementary.docx</ns0:t>
        </ns0:is>
      </ns0:c>
      <ns0:c r="G569" s="3" t="inlineStr">
        <ns0:is>
          <ns0:t>original_files/R13886/supplementary/supplementary__dbcb001df0c98d90.docx</ns0:t>
        </ns0:is>
      </ns0:c>
      <ns0:c r="H569" s="3" t="inlineStr">
        <ns0:is>
          <ns0:t>local_upload</ns0:t>
        </ns0:is>
      </ns0:c>
      <ns0:c r="I569" s="3" t="inlineStr">
        <ns0:is>
          <ns0:t>localdownload/R13886/supplementary.docx</ns0:t>
        </ns0:is>
      </ns0:c>
      <ns0:c r="J569" s="3" t="n">
        <ns0:v>211855</ns0:v>
      </ns0:c>
      <ns0:c r="K569" s="3" t="inlineStr">
        <ns0:is>
          <ns0:t>dbcb001df0c98d90a90cd593838fb8643ece2dc7853ca446e5f566d4f4f2fc93</ns0:t>
        </ns0:is>
      </ns0:c>
      <ns0:c r="L569" s="3" t="inlineStr">
        <ns0:is>
          <ns0:t>container_crc_verified</ns0:t>
        </ns0:is>
      </ns0:c>
      <ns0:c r="M569" s="3" t="inlineStr">
        <ns0:is>
          <ns0:t>title_in_attachment_verified</ns0:t>
        </ns0:is>
      </ns0:c>
      <ns0:c r="N569" s="3" t="inlineStr"/>
      <ns0:c r="O569" s="3" t="inlineStr">
        <ns0:is>
          <ns0:t>https://github.com/Colliam-Vermilion/FirstCodex/blob/results/ad-oxygen-literature-20261006/results/ad-oxygen-literature-20261006/original_files/R13886/supplementary/supplementary__dbcb001df0c98d90.docx</ns0:t>
        </ns0:is>
      </ns0:c>
    </ns0:row>
    <ns0:row r="570" ht="48" customHeight="1">
      <ns0:c r="A570" s="2" t="inlineStr">
        <ns0:is>
          <ns0:t>R13928</ns0:t>
        </ns0:is>
      </ns0:c>
      <ns0:c r="B570" s="2" t="inlineStr">
        <ns0:is>
          <ns0:t>The impact of aerobic pretreatment of agro and industrial wastes on their biomethanation potential in Nisargruna technology</ns0:t>
        </ns0:is>
      </ns0:c>
      <ns0:c r="C570" s="2" t="inlineStr">
        <ns0:is>
          <ns0:t>10.38150/sajeb.11(5).p548-556</ns0:t>
        </ns0:is>
      </ns0:c>
      <ns0:c r="D570" s="2" t="inlineStr">
        <ns0:is>
          <ns0:t>uncertain</ns0:t>
        </ns0:is>
      </ns0:c>
      <ns0:c r="E570" s="2" t="inlineStr"/>
      <ns0:c r="F570" s="2" t="inlineStr">
        <ns0:is>
          <ns0:t>R13928_2021_The_impact_of_aerobic_pretreatment_of_agro_and_industrial_wastes_on_their_biomethanation_potential_i_dbd72771dcf3.pdf</ns0:t>
        </ns0:is>
      </ns0:c>
      <ns0:c r="G570" s="2" t="inlineStr">
        <ns0:is>
          <ns0:t>original_files/R13928/uncertain/uncertain__dbd72771dcf34508.pdf</ns0:t>
        </ns0:is>
      </ns0:c>
      <ns0:c r="H570" s="2" t="inlineStr">
        <ns0:is>
          <ns0:t>cloud_existing</ns0:t>
        </ns0:is>
      </ns0:c>
      <ns0:c r="I570" s="2" t="inlineStr">
        <ns0:is>
          <ns0:t>original_files/continuation_20261017/candidates/R13928_2021_The_impact_of_aerobic_pretreatment_of_agro_and_industrial_wastes_on_their_biomethanation_potential_i_dbd72771dcf3.pdf</ns0:t>
        </ns0:is>
      </ns0:c>
      <ns0:c r="J570" s="2" t="n">
        <ns0:v>72908</ns0:v>
      </ns0:c>
      <ns0:c r="K570" s="2" t="inlineStr">
        <ns0:is>
          <ns0:t>dbd72771dcf3450887ddc247426a0a4b90deb42cad6ba151afc43ecf83a33152</ns0:t>
        </ns0:is>
      </ns0:c>
      <ns0:c r="L570" s="2" t="inlineStr">
        <ns0:is>
          <ns0:t>historical_candidate_not_target_fulltext</ns0:t>
        </ns0:is>
      </ns0:c>
      <ns0:c r="M570" s="2" t="inlineStr"/>
      <ns0:c r="N570" s="2" t="inlineStr">
        <ns0:is>
          <ns0:t>历史候选抓取物：出版商目录/广告、期刊索引或检索页等，目标身份及正文不成立；原件保留，不计全文或科研补充材料。</ns0:t>
        </ns0:is>
      </ns0:c>
      <ns0:c r="O570" s="2" t="inlineStr">
        <ns0:is>
          <ns0:t>https://github.com/Colliam-Vermilion/FirstCodex/blob/results/ad-oxygen-literature-20261006/results/ad-oxygen-literature-20261006/original_files/R13928/uncertain/uncertain__dbd72771dcf34508.pdf</ns0:t>
        </ns0:is>
      </ns0:c>
    </ns0:row>
    <ns0:row r="571" ht="48" customHeight="1">
      <ns0:c r="A571" s="3" t="inlineStr">
        <ns0:is>
          <ns0:t>R04477</ns0:t>
        </ns0:is>
      </ns0:c>
      <ns0:c r="B571" s="3" t="inlineStr">
        <ns0:is>
          <ns0:t>Aeration to Improve Biogas Production by Recalcitrant Feedstock</ns0:t>
        </ns0:is>
      </ns0:c>
      <ns0:c r="C571" s="3" t="inlineStr">
        <ns0:is>
          <ns0:t>10.3390/environments6040044</ns0:t>
        </ns0:is>
      </ns0:c>
      <ns0:c r="D571" s="3" t="inlineStr">
        <ns0:is>
          <ns0:t>fulltext</ns0:t>
        </ns0:is>
      </ns0:c>
      <ns0:c r="E571" s="3" t="inlineStr">
        <ns0:is>
          <ns0:t>出版版本（原页出版信息）</ns0:t>
        </ns0:is>
      </ns0:c>
      <ns0:c r="F571" s="3" t="inlineStr">
        <ns0:is>
          <ns0:t>R04477_2019_Aeration_to_Improve_Biogas_Production_by_Recalcitrant_Feedstock.pdf</ns0:t>
        </ns0:is>
      </ns0:c>
      <ns0:c r="G571" s="3" t="inlineStr">
        <ns0:is>
          <ns0:t>original_files/R04477/fulltext/fulltext__published__dc52821c42ce8476.pdf</ns0:t>
        </ns0:is>
      </ns0:c>
      <ns0:c r="H571" s="3" t="inlineStr">
        <ns0:is>
          <ns0:t>cloud_existing</ns0:t>
        </ns0:is>
      </ns0:c>
      <ns0:c r="I571" s="3" t="inlineStr">
        <ns0:is>
          <ns0:t>original_files/fulltext/R04477_2019_Aeration_to_Improve_Biogas_Production_by_Recalcitrant_Feedstock.pdf</ns0:t>
        </ns0:is>
      </ns0:c>
      <ns0:c r="J571" s="3" t="n">
        <ns0:v>1304041</ns0:v>
      </ns0:c>
      <ns0:c r="K571" s="3" t="inlineStr">
        <ns0:is>
          <ns0:t>dc52821c42ce84765057b8c1aba951d40c1eb338df462600a5aaadc8659d073d</ns0:t>
        </ns0:is>
      </ns0:c>
      <ns0:c r="L571" s="3" t="inlineStr">
        <ns0:is>
          <ns0:t>identity_and_body_structure_verified</ns0:t>
        </ns0:is>
      </ns0:c>
      <ns0:c r="M571" s="3" t="inlineStr"/>
      <ns0:c r="N571" s="3" t="inlineStr">
        <ns0:is>
          <ns0:t>首页/前两页题名作者或目标DOI核对，全部页面解析及正文结构检查；不据文件名判全文。</ns0:t>
        </ns0:is>
      </ns0:c>
      <ns0:c r="O571" s="3" t="inlineStr">
        <ns0:is>
          <ns0:t>https://github.com/Colliam-Vermilion/FirstCodex/blob/results/ad-oxygen-literature-20261006/results/ad-oxygen-literature-20261006/original_files/R04477/fulltext/fulltext__published__dc52821c42ce8476.pdf</ns0:t>
        </ns0:is>
      </ns0:c>
    </ns0:row>
    <ns0:row r="572" ht="48" customHeight="1">
      <ns0:c r="A572" s="2" t="inlineStr">
        <ns0:is>
          <ns0:t>R08462</ns0:t>
        </ns0:is>
      </ns0:c>
      <ns0:c r="B572" s="2" t="inlineStr">
        <ns0:is>
          <ns0:t>Upgrade the high-load anaerobic digestion and relieve acid stress through the strategy of side-stream micro-aeration: biochemical performances, microbial response and intrinsic mechanisms</ns0:t>
        </ns0:is>
      </ns0:c>
      <ns0:c r="C572" s="2" t="inlineStr">
        <ns0:is>
          <ns0:t>10.1016/j.watres.2022.118850</ns0:t>
        </ns0:is>
      </ns0:c>
      <ns0:c r="D572" s="2" t="inlineStr">
        <ns0:is>
          <ns0:t>supplementary</ns0:t>
        </ns0:is>
      </ns0:c>
      <ns0:c r="E572" s="2" t="inlineStr"/>
      <ns0:c r="F572" s="2" t="inlineStr">
        <ns0:is>
          <ns0:t>supplementary.xlsx</ns0:t>
        </ns0:is>
      </ns0:c>
      <ns0:c r="G572" s="2" t="inlineStr">
        <ns0:is>
          <ns0:t>original_files/R08462/supplementary/supplementary__dc9b581bc0cb167a.xlsx</ns0:t>
        </ns0:is>
      </ns0:c>
      <ns0:c r="H572" s="2" t="inlineStr">
        <ns0:is>
          <ns0:t>local_upload</ns0:t>
        </ns0:is>
      </ns0:c>
      <ns0:c r="I572" s="2" t="inlineStr">
        <ns0:is>
          <ns0:t>localdownload/R08462/supplementary.xlsx</ns0:t>
        </ns0:is>
      </ns0:c>
      <ns0:c r="J572" s="2" t="n">
        <ns0:v>23692</ns0:v>
      </ns0:c>
      <ns0:c r="K572" s="2" t="inlineStr">
        <ns0:is>
          <ns0:t>dc9b581bc0cb167a0ed47bc838bcb775b672641e1c8412a1bfeb0fe986314f0f</ns0:t>
        </ns0:is>
      </ns0:c>
      <ns0:c r="L572" s="2" t="inlineStr">
        <ns0:is>
          <ns0:t>xlsx_open_and_zip_crc_verified</ns0:t>
        </ns0:is>
      </ns0:c>
      <ns0:c r="M572" s="2" t="inlineStr">
        <ns0:is>
          <ns0:t>directory_and_content_consistent_identity_pending</ns0:t>
        </ns0:is>
      </ns0:c>
      <ns0:c r="N572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72" s="2" t="inlineStr">
        <ns0:is>
          <ns0:t>https://github.com/Colliam-Vermilion/FirstCodex/blob/results/ad-oxygen-literature-20261006/results/ad-oxygen-literature-20261006/original_files/R08462/supplementary/supplementary__dc9b581bc0cb167a.xlsx</ns0:t>
        </ns0:is>
      </ns0:c>
    </ns0:row>
    <ns0:row r="573" ht="48" customHeight="1">
      <ns0:c r="A573" s="3" t="inlineStr">
        <ns0:is>
          <ns0:t>R10086</ns0:t>
        </ns0:is>
      </ns0:c>
      <ns0:c r="B573" s="3" t="inlineStr">
        <ns0:is>
          <ns0:t>Effect of micro-aeration on syntrophic and methanogenic activity in anaerobic sludge</ns0:t>
        </ns0:is>
      </ns0:c>
      <ns0:c r="C573" s="3" t="inlineStr">
        <ns0:is>
          <ns0:t>10.1007/s00253-023-12969-4</ns0:t>
        </ns0:is>
      </ns0:c>
      <ns0:c r="D573" s="3" t="inlineStr">
        <ns0:is>
          <ns0:t>supplementary</ns0:t>
        </ns0:is>
      </ns0:c>
      <ns0:c r="E573" s="3" t="inlineStr"/>
      <ns0:c r="F573" s="3" t="inlineStr">
        <ns0:is>
          <ns0:t>253_2023_12969_MOESM1_ESM.pdf</ns0:t>
        </ns0:is>
      </ns0:c>
      <ns0:c r="G573" s="3" t="inlineStr">
        <ns0:is>
          <ns0:t>original_files/R10086/supplementary/supplementary__dcdb70eb931fe44e.pdf</ns0:t>
        </ns0:is>
      </ns0:c>
      <ns0:c r="H573" s="3" t="inlineStr">
        <ns0:is>
          <ns0:t>cloud_existing</ns0:t>
        </ns0:is>
      </ns0:c>
      <ns0:c r="I573" s="3" t="inlineStr">
        <ns0:is>
          <ns0:t>original_files/supplementary/R10086/253_2023_12969_MOESM1_ESM.pdf</ns0:t>
        </ns0:is>
      </ns0:c>
      <ns0:c r="J573" s="3" t="n">
        <ns0:v>552207</ns0:v>
      </ns0:c>
      <ns0:c r="K573" s="3" t="inlineStr">
        <ns0:is>
          <ns0:t>dcdb70eb931fe44e27ae8b8b293b0815d1f623402cb43c296c6a3b568338a2fb</ns0:t>
        </ns0:is>
      </ns0:c>
      <ns0:c r="L573" s="3" t="inlineStr">
        <ns0:is>
          <ns0:t>pdf_readable_requires_role_review</ns0:t>
        </ns0:is>
      </ns0:c>
      <ns0:c r="M573" s="3" t="inlineStr">
        <ns0:is>
          <ns0:t>existing_official_attachment_evidence_retained</ns0:t>
        </ns0:is>
      </ns0:c>
      <ns0:c r="N573" s="3" t="inlineStr"/>
      <ns0:c r="O573" s="3" t="inlineStr">
        <ns0:is>
          <ns0:t>https://github.com/Colliam-Vermilion/FirstCodex/blob/results/ad-oxygen-literature-20261006/results/ad-oxygen-literature-20261006/original_files/R10086/supplementary/supplementary__dcdb70eb931fe44e.pdf</ns0:t>
        </ns0:is>
      </ns0:c>
    </ns0:row>
    <ns0:row r="574" ht="48" customHeight="1">
      <ns0:c r="A574" s="2" t="inlineStr">
        <ns0:is>
          <ns0:t>R07908</ns0:t>
        </ns0:is>
      </ns0:c>
      <ns0:c r="B574" s="2" t="inlineStr">
        <ns0:is>
          <ns0:t>Improving Anaerobic Digestion of Brewery and Distillery Spent Grains through Aeration across a Silicone Membrane</ns0:t>
        </ns0:is>
      </ns0:c>
      <ns0:c r="C574" s="2" t="inlineStr">
        <ns0:is>
          <ns0:t>10.3390/su14052755</ns0:t>
        </ns0:is>
      </ns0:c>
      <ns0:c r="D574" s="2" t="inlineStr">
        <ns0:is>
          <ns0:t>source_evidence</ns0:t>
        </ns0:is>
      </ns0:c>
      <ns0:c r="E574" s="2" t="inlineStr"/>
      <ns0:c r="F574" s="2" t="inlineStr">
        <ns0:is>
          <ns0:t>publisher_article_page_20261017.html</ns0:t>
        </ns0:is>
      </ns0:c>
      <ns0:c r="G574" s="2" t="inlineStr">
        <ns0:is>
          <ns0:t>original_files/R07908/evidence/source_evidence__de57de9b1760d62a.html</ns0:t>
        </ns0:is>
      </ns0:c>
      <ns0:c r="H574" s="2" t="inlineStr">
        <ns0:is>
          <ns0:t>cloud_existing</ns0:t>
        </ns0:is>
      </ns0:c>
      <ns0:c r="I574" s="2" t="inlineStr">
        <ns0:is>
          <ns0:t>original_files/source_evidence/R07908/publisher_article_page_20261017.html</ns0:t>
        </ns0:is>
      </ns0:c>
      <ns0:c r="J574" s="2" t="n">
        <ns0:v>486780</ns0:v>
      </ns0:c>
      <ns0:c r="K574" s="2" t="inlineStr">
        <ns0:is>
          <ns0:t>de57de9b1760d62a39a2f46a5faf5b67a73450b26dfae3688aab562435e03e3a</ns0:t>
        </ns0:is>
      </ns0:c>
      <ns0:c r="L574" s="2" t="inlineStr">
        <ns0:is>
          <ns0:t>text_readable</ns0:t>
        </ns0:is>
      </ns0:c>
      <ns0:c r="M574" s="2" t="inlineStr"/>
      <ns0:c r="N574" s="2" t="inlineStr"/>
      <ns0:c r="O574" s="2" t="inlineStr">
        <ns0:is>
          <ns0:t>https://github.com/Colliam-Vermilion/FirstCodex/blob/results/ad-oxygen-literature-20261006/results/ad-oxygen-literature-20261006/original_files/R07908/evidence/source_evidence__de57de9b1760d62a.html</ns0:t>
        </ns0:is>
      </ns0:c>
    </ns0:row>
    <ns0:row r="575" ht="48" customHeight="1">
      <ns0:c r="A575" s="3" t="inlineStr">
        <ns0:is>
          <ns0:t>R01297</ns0:t>
        </ns0:is>
      </ns0:c>
      <ns0:c r="B575" s="3" t="inlineStr">
        <ns0:is>
          <ns0:t>Improving products of anaerobic sludge digestion by microaeration</ns0:t>
        </ns0:is>
      </ns0:c>
      <ns0:c r="C575" s="3" t="inlineStr">
        <ns0:is>
          <ns0:t>10.2166/wst.2013.779</ns0:t>
        </ns0:is>
      </ns0:c>
      <ns0:c r="D575" s="3" t="inlineStr">
        <ns0:is>
          <ns0:t>fulltext</ns0:t>
        </ns0:is>
      </ns0:c>
      <ns0:c r="E575" s="3" t="inlineStr">
        <ns0:is>
          <ns0:t>出版版（版式及版权文字）</ns0:t>
        </ns0:is>
      </ns0:c>
      <ns0:c r="F575" s="3" t="inlineStr">
        <ns0:is>
          <ns0:t>fulltext.pdf</ns0:t>
        </ns0:is>
      </ns0:c>
      <ns0:c r="G575" s="3" t="inlineStr">
        <ns0:is>
          <ns0:t>original_files/R01297/fulltext/fulltext__published__de7ffcf910e42cc3.pdf</ns0:t>
        </ns0:is>
      </ns0:c>
      <ns0:c r="H575" s="3" t="inlineStr">
        <ns0:is>
          <ns0:t>local_upload</ns0:t>
        </ns0:is>
      </ns0:c>
      <ns0:c r="I575" s="3" t="inlineStr">
        <ns0:is>
          <ns0:t>localdownload/R01297/fulltext.pdf</ns0:t>
        </ns0:is>
      </ns0:c>
      <ns0:c r="J575" s="3" t="n">
        <ns0:v>334590</ns0:v>
      </ns0:c>
      <ns0:c r="K575" s="3" t="inlineStr">
        <ns0:is>
          <ns0:t>de7ffcf910e42cc340bb9d8ffd472e072ad5ec764323e88912c01b40f23d7b62</ns0:t>
        </ns0:is>
      </ns0:c>
      <ns0:c r="L575" s="3" t="inlineStr">
        <ns0:is>
          <ns0:t>identity_and_body_structure_verified</ns0:t>
        </ns0:is>
      </ns0:c>
      <ns0:c r="M575" s="3" t="inlineStr"/>
      <ns0:c r="N575" s="3" t="inlineStr">
        <ns0:is>
          <ns0:t>首页/前两页题名作者或目标DOI核对，全部页面解析及正文结构检查；不据文件名判全文。</ns0:t>
        </ns0:is>
      </ns0:c>
      <ns0:c r="O575" s="3" t="inlineStr">
        <ns0:is>
          <ns0:t>https://github.com/Colliam-Vermilion/FirstCodex/blob/results/ad-oxygen-literature-20261006/results/ad-oxygen-literature-20261006/original_files/R01297/fulltext/fulltext__published__de7ffcf910e42cc3.pdf</ns0:t>
        </ns0:is>
      </ns0:c>
    </ns0:row>
    <ns0:row r="576" ht="48" customHeight="1">
      <ns0:c r="A576" s="2" t="inlineStr">
        <ns0:is>
          <ns0:t>R10512</ns0:t>
        </ns0:is>
      </ns0:c>
      <ns0:c r="B576" s="2" t="inlineStr">
        <ns0:is>
          <ns0:t>Micro-aeration based anaerobic digestion for food waste treatment: A review</ns0:t>
        </ns0:is>
      </ns0:c>
      <ns0:c r="C576" s="2" t="inlineStr">
        <ns0:is>
          <ns0:t>10.1016/j.jwpe.2024.104814</ns0:t>
        </ns0:is>
      </ns0:c>
      <ns0:c r="D576" s="2" t="inlineStr">
        <ns0:is>
          <ns0:t>fulltext</ns0:t>
        </ns0:is>
      </ns0:c>
      <ns0:c r="E576" s="2" t="inlineStr">
        <ns0:is>
          <ns0:t>出版版（版式及版权文字）</ns0:t>
        </ns0:is>
      </ns0:c>
      <ns0:c r="F576" s="2" t="inlineStr">
        <ns0:is>
          <ns0:t>fulltext.pdf</ns0:t>
        </ns0:is>
      </ns0:c>
      <ns0:c r="G576" s="2" t="inlineStr">
        <ns0:is>
          <ns0:t>original_files/R10512/fulltext/fulltext__published__deab3c9b11624def.pdf</ns0:t>
        </ns0:is>
      </ns0:c>
      <ns0:c r="H576" s="2" t="inlineStr">
        <ns0:is>
          <ns0:t>local_upload</ns0:t>
        </ns0:is>
      </ns0:c>
      <ns0:c r="I576" s="2" t="inlineStr">
        <ns0:is>
          <ns0:t>localdownload/R10512/fulltext.pdf</ns0:t>
        </ns0:is>
      </ns0:c>
      <ns0:c r="J576" s="2" t="n">
        <ns0:v>3400434</ns0:v>
      </ns0:c>
      <ns0:c r="K576" s="2" t="inlineStr">
        <ns0:is>
          <ns0:t>deab3c9b11624defdf82b849fc141f0ca57983b31417f5a83dded6d4ccea408f</ns0:t>
        </ns0:is>
      </ns0:c>
      <ns0:c r="L576" s="2" t="inlineStr">
        <ns0:is>
          <ns0:t>identity_and_body_structure_verified</ns0:t>
        </ns0:is>
      </ns0:c>
      <ns0:c r="M576" s="2" t="inlineStr"/>
      <ns0:c r="N576" s="2" t="inlineStr">
        <ns0:is>
          <ns0:t>首页/前两页题名作者或目标DOI核对，全部页面解析及正文结构检查；不据文件名判全文。</ns0:t>
        </ns0:is>
      </ns0:c>
      <ns0:c r="O576" s="2" t="inlineStr">
        <ns0:is>
          <ns0:t>https://github.com/Colliam-Vermilion/FirstCodex/blob/results/ad-oxygen-literature-20261006/results/ad-oxygen-literature-20261006/original_files/R10512/fulltext/fulltext__published__deab3c9b11624def.pdf</ns0:t>
        </ns0:is>
      </ns0:c>
    </ns0:row>
    <ns0:row r="577" ht="48" customHeight="1">
      <ns0:c r="A577" s="3" t="inlineStr">
        <ns0:is>
          <ns0:t>R05173</ns0:t>
        </ns0:is>
      </ns0:c>
      <ns0:c r="B577" s="3" t="inlineStr">
        <ns0:is>
          <ns0:t>Submicron magnetite‐enhanced tribromophenol removal and methanogenesis under microaerobic condition</ns0:t>
        </ns0:is>
      </ns0:c>
      <ns0:c r="C577" s="3" t="inlineStr">
        <ns0:is>
          <ns0:t>10.1002/jctb.5817</ns0:t>
        </ns0:is>
      </ns0:c>
      <ns0:c r="D577" s="3" t="inlineStr">
        <ns0:is>
          <ns0:t>fulltext</ns0:t>
        </ns0:is>
      </ns0:c>
      <ns0:c r="E577" s="3" t="inlineStr">
        <ns0:is>
          <ns0:t>出版版（版式及版权文字）</ns0:t>
        </ns0:is>
      </ns0:c>
      <ns0:c r="F577" s="3" t="inlineStr">
        <ns0:is>
          <ns0:t>fulltext.pdf</ns0:t>
        </ns0:is>
      </ns0:c>
      <ns0:c r="G577" s="3" t="inlineStr">
        <ns0:is>
          <ns0:t>original_files/R05173/fulltext/fulltext__published__dedf2d646e952ba0.pdf</ns0:t>
        </ns0:is>
      </ns0:c>
      <ns0:c r="H577" s="3" t="inlineStr">
        <ns0:is>
          <ns0:t>local_upload</ns0:t>
        </ns0:is>
      </ns0:c>
      <ns0:c r="I577" s="3" t="inlineStr">
        <ns0:is>
          <ns0:t>localdownload/R05173/fulltext.pdf</ns0:t>
        </ns0:is>
      </ns0:c>
      <ns0:c r="J577" s="3" t="n">
        <ns0:v>1106449</ns0:v>
      </ns0:c>
      <ns0:c r="K577" s="3" t="inlineStr">
        <ns0:is>
          <ns0:t>dedf2d646e952ba0f6c2e7326d6c8ceda5eac7f0c9485dba3a4a0d136a922526</ns0:t>
        </ns0:is>
      </ns0:c>
      <ns0:c r="L577" s="3" t="inlineStr">
        <ns0:is>
          <ns0:t>identity_and_body_structure_verified</ns0:t>
        </ns0:is>
      </ns0:c>
      <ns0:c r="M577" s="3" t="inlineStr"/>
      <ns0:c r="N577" s="3" t="inlineStr">
        <ns0:is>
          <ns0:t>首页/前两页题名作者或目标DOI核对，全部页面解析及正文结构检查；不据文件名判全文。</ns0:t>
        </ns0:is>
      </ns0:c>
      <ns0:c r="O577" s="3" t="inlineStr">
        <ns0:is>
          <ns0:t>https://github.com/Colliam-Vermilion/FirstCodex/blob/results/ad-oxygen-literature-20261006/results/ad-oxygen-literature-20261006/original_files/R05173/fulltext/fulltext__published__dedf2d646e952ba0.pdf</ns0:t>
        </ns0:is>
      </ns0:c>
    </ns0:row>
    <ns0:row r="578" ht="48" customHeight="1">
      <ns0:c r="A578" s="2" t="inlineStr">
        <ns0:is>
          <ns0:t>R05611</ns0:t>
        </ns0:is>
      </ns0:c>
      <ns0:c r="B578" s="2" t="inlineStr">
        <ns0:is>
          <ns0:t>Enhanced hydrolysis and acidification of cellulose at high loading for methane production via anaerobic digestion supplemented with high mobility nanobubble water</ns0:t>
        </ns0:is>
      </ns0:c>
      <ns0:c r="C578" s="2" t="inlineStr">
        <ns0:is>
          <ns0:t>10.1016/j.biortech.2019.122499</ns0:t>
        </ns0:is>
      </ns0:c>
      <ns0:c r="D578" s="2" t="inlineStr">
        <ns0:is>
          <ns0:t>fulltext</ns0:t>
        </ns0:is>
      </ns0:c>
      <ns0:c r="E578" s="2" t="inlineStr">
        <ns0:is>
          <ns0:t>出版版（版式及版权文字）</ns0:t>
        </ns0:is>
      </ns0:c>
      <ns0:c r="F578" s="2" t="inlineStr">
        <ns0:is>
          <ns0:t>fulltext.pdf</ns0:t>
        </ns0:is>
      </ns0:c>
      <ns0:c r="G578" s="2" t="inlineStr">
        <ns0:is>
          <ns0:t>original_files/R05611/fulltext/fulltext__published__df7f2fb583e2aa96.pdf</ns0:t>
        </ns0:is>
      </ns0:c>
      <ns0:c r="H578" s="2" t="inlineStr">
        <ns0:is>
          <ns0:t>local_upload</ns0:t>
        </ns0:is>
      </ns0:c>
      <ns0:c r="I578" s="2" t="inlineStr">
        <ns0:is>
          <ns0:t>localdownload/R05611/fulltext.pdf</ns0:t>
        </ns0:is>
      </ns0:c>
      <ns0:c r="J578" s="2" t="n">
        <ns0:v>942784</ns0:v>
      </ns0:c>
      <ns0:c r="K578" s="2" t="inlineStr">
        <ns0:is>
          <ns0:t>df7f2fb583e2aa96b537d489d7006e35edfa5ee31516ab466242a6f2e60c17c7</ns0:t>
        </ns0:is>
      </ns0:c>
      <ns0:c r="L578" s="2" t="inlineStr">
        <ns0:is>
          <ns0:t>identity_and_body_structure_verified</ns0:t>
        </ns0:is>
      </ns0:c>
      <ns0:c r="M578" s="2" t="inlineStr"/>
      <ns0:c r="N578" s="2" t="inlineStr">
        <ns0:is>
          <ns0:t>首页/前两页题名作者或目标DOI核对，全部页面解析及正文结构检查；不据文件名判全文。</ns0:t>
        </ns0:is>
      </ns0:c>
      <ns0:c r="O578" s="2" t="inlineStr">
        <ns0:is>
          <ns0:t>https://github.com/Colliam-Vermilion/FirstCodex/blob/results/ad-oxygen-literature-20261006/results/ad-oxygen-literature-20261006/original_files/R05611/fulltext/fulltext__published__df7f2fb583e2aa96.pdf</ns0:t>
        </ns0:is>
      </ns0:c>
    </ns0:row>
    <ns0:row r="579" ht="48" customHeight="1">
      <ns0:c r="A579" s="3" t="inlineStr">
        <ns0:is>
          <ns0:t>R11693</ns0:t>
        </ns0:is>
      </ns0:c>
      <ns0:c r="B579" s="3" t="inlineStr">
        <ns0:is>
          <ns0:t>In-situ intermittent micro-aeration in food waste and sewage sludge anaerobic co-digestion: Performance, stability, and microbial dynamics</ns0:t>
        </ns0:is>
      </ns0:c>
      <ns0:c r="C579" s="3" t="inlineStr">
        <ns0:is>
          <ns0:t>10.1016/j.biortech.2025.132398</ns0:t>
        </ns0:is>
      </ns0:c>
      <ns0:c r="D579" s="3" t="inlineStr">
        <ns0:is>
          <ns0:t>supplementary</ns0:t>
        </ns0:is>
      </ns0:c>
      <ns0:c r="E579" s="3" t="inlineStr"/>
      <ns0:c r="F579" s="3" t="inlineStr">
        <ns0:is>
          <ns0:t>supplementary.docx</ns0:t>
        </ns0:is>
      </ns0:c>
      <ns0:c r="G579" s="3" t="inlineStr">
        <ns0:is>
          <ns0:t>original_files/R11693/supplementary/supplementary__dfb29fe246ff8da4.docx</ns0:t>
        </ns0:is>
      </ns0:c>
      <ns0:c r="H579" s="3" t="inlineStr">
        <ns0:is>
          <ns0:t>local_upload</ns0:t>
        </ns0:is>
      </ns0:c>
      <ns0:c r="I579" s="3" t="inlineStr">
        <ns0:is>
          <ns0:t>localdownload/R11693/supplementary.docx</ns0:t>
        </ns0:is>
      </ns0:c>
      <ns0:c r="J579" s="3" t="n">
        <ns0:v>749805</ns0:v>
      </ns0:c>
      <ns0:c r="K579" s="3" t="inlineStr">
        <ns0:is>
          <ns0:t>dfb29fe246ff8da48aa304f447270932247f70add3e8035a29ac9fcd22cc88a6</ns0:t>
        </ns0:is>
      </ns0:c>
      <ns0:c r="L579" s="3" t="inlineStr">
        <ns0:is>
          <ns0:t>container_crc_verified</ns0:t>
        </ns0:is>
      </ns0:c>
      <ns0:c r="M579" s="3" t="inlineStr">
        <ns0:is>
          <ns0:t>title_in_attachment_verified</ns0:t>
        </ns0:is>
      </ns0:c>
      <ns0:c r="N579" s="3" t="inlineStr"/>
      <ns0:c r="O579" s="3" t="inlineStr">
        <ns0:is>
          <ns0:t>https://github.com/Colliam-Vermilion/FirstCodex/blob/results/ad-oxygen-literature-20261006/results/ad-oxygen-literature-20261006/original_files/R11693/supplementary/supplementary__dfb29fe246ff8da4.docx</ns0:t>
        </ns0:is>
      </ns0:c>
    </ns0:row>
    <ns0:row r="580" ht="48" customHeight="1">
      <ns0:c r="A580" s="2" t="inlineStr">
        <ns0:is>
          <ns0:t>R02386</ns0:t>
        </ns0:is>
      </ns0:c>
      <ns0:c r="B580" s="2" t="inlineStr">
        <ns0:is>
          <ns0:t>Comparison of micro-aerobic and anaerobic fermentative hydrogen production from corn straw</ns0:t>
        </ns0:is>
      </ns0:c>
      <ns0:c r="C580" s="2" t="inlineStr">
        <ns0:is>
          <ns0:t>10.1016/j.ijhydene.2016.01.141</ns0:t>
        </ns0:is>
      </ns0:c>
      <ns0:c r="D580" s="2" t="inlineStr">
        <ns0:is>
          <ns0:t>supplementary</ns0:t>
        </ns0:is>
      </ns0:c>
      <ns0:c r="E580" s="2" t="inlineStr"/>
      <ns0:c r="F580" s="2" t="inlineStr">
        <ns0:is>
          <ns0:t>supplementary-mmc4.txt</ns0:t>
        </ns0:is>
      </ns0:c>
      <ns0:c r="G580" s="2" t="inlineStr">
        <ns0:is>
          <ns0:t>original_files/R02386/supplementary/supplementary__e0166aff04eddaa4.txt</ns0:t>
        </ns0:is>
      </ns0:c>
      <ns0:c r="H580" t="inlineStr">
        <ns0:is>
          <ns0:t>local_upload; main@ab8353c误传副本</ns0:t>
        </ns0:is>
      </ns0:c>
      <ns0:c r="I580" t="inlineStr">
        <ns0:is>
          <ns0:t>localdownload/R02386/supplementary-mmc4.txt; main@ab8353c:R02386/supplementary-mmc4.txt</ns0:t>
        </ns0:is>
      </ns0:c>
      <ns0:c r="J580" s="2" t="n">
        <ns0:v>765</ns0:v>
      </ns0:c>
      <ns0:c r="K580" s="2" t="inlineStr">
        <ns0:is>
          <ns0:t>e0166aff04eddaa44c1b12a4358bbdf10153be8a6d1b3ec0b97cb8f22cb3008a</ns0:t>
        </ns0:is>
      </ns0:c>
      <ns0:c r="L580" s="2" t="inlineStr">
        <ns0:is>
          <ns0:t>text_readable</ns0:t>
        </ns0:is>
      </ns0:c>
      <ns0:c r="M580" s="2" t="inlineStr">
        <ns0:is>
          <ns0:t>directory_and_content_consistent_identity_pending</ns0:t>
        </ns0:is>
      </ns0:c>
      <ns0:c r="N580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80" s="2" t="inlineStr">
        <ns0:is>
          <ns0:t>https://github.com/Colliam-Vermilion/FirstCodex/blob/results/ad-oxygen-literature-20261006/results/ad-oxygen-literature-20261006/original_files/R02386/supplementary/supplementary__e0166aff04eddaa4.txt</ns0:t>
        </ns0:is>
      </ns0:c>
    </ns0:row>
    <ns0:row r="581" ht="48" customHeight="1">
      <ns0:c r="A581" s="3" t="inlineStr">
        <ns0:is>
          <ns0:t>R10833</ns0:t>
        </ns0:is>
      </ns0:c>
      <ns0:c r="B581" s="3" t="inlineStr">
        <ns0:is>
          <ns0:t>Synchronous improvement of methane production and digestate dewaterability in sludge anaerobic digestion by nanobubble</ns0:t>
        </ns0:is>
      </ns0:c>
      <ns0:c r="C581" s="3" t="inlineStr">
        <ns0:is>
          <ns0:t>10.1016/j.biortech.2024.130791</ns0:t>
        </ns0:is>
      </ns0:c>
      <ns0:c r="D581" s="3" t="inlineStr">
        <ns0:is>
          <ns0:t>fulltext</ns0:t>
        </ns0:is>
      </ns0:c>
      <ns0:c r="E581" s="3" t="inlineStr">
        <ns0:is>
          <ns0:t>出版版（版式及版权文字）</ns0:t>
        </ns0:is>
      </ns0:c>
      <ns0:c r="F581" s="3" t="inlineStr">
        <ns0:is>
          <ns0:t>fulltext.pdf</ns0:t>
        </ns0:is>
      </ns0:c>
      <ns0:c r="G581" s="3" t="inlineStr">
        <ns0:is>
          <ns0:t>original_files/R10833/fulltext/fulltext__published__e04a369444e929d4.pdf</ns0:t>
        </ns0:is>
      </ns0:c>
      <ns0:c r="H581" s="3" t="inlineStr">
        <ns0:is>
          <ns0:t>local_upload</ns0:t>
        </ns0:is>
      </ns0:c>
      <ns0:c r="I581" s="3" t="inlineStr">
        <ns0:is>
          <ns0:t>localdownload/R10833/fulltext.pdf</ns0:t>
        </ns0:is>
      </ns0:c>
      <ns0:c r="J581" s="3" t="n">
        <ns0:v>5091250</ns0:v>
      </ns0:c>
      <ns0:c r="K581" s="3" t="inlineStr">
        <ns0:is>
          <ns0:t>e04a369444e929d432f0cc95377c9c602f431b9163ff7c220332e9c9df5fc684</ns0:t>
        </ns0:is>
      </ns0:c>
      <ns0:c r="L581" s="3" t="inlineStr">
        <ns0:is>
          <ns0:t>identity_and_body_structure_verified</ns0:t>
        </ns0:is>
      </ns0:c>
      <ns0:c r="M581" s="3" t="inlineStr"/>
      <ns0:c r="N581" s="3" t="inlineStr">
        <ns0:is>
          <ns0:t>首页/前两页题名作者或目标DOI核对，全部页面解析及正文结构检查；不据文件名判全文。</ns0:t>
        </ns0:is>
      </ns0:c>
      <ns0:c r="O581" s="3" t="inlineStr">
        <ns0:is>
          <ns0:t>https://github.com/Colliam-Vermilion/FirstCodex/blob/results/ad-oxygen-literature-20261006/results/ad-oxygen-literature-20261006/original_files/R10833/fulltext/fulltext__published__e04a369444e929d4.pdf</ns0:t>
        </ns0:is>
      </ns0:c>
    </ns0:row>
    <ns0:row r="582" ht="48" customHeight="1">
      <ns0:c r="A582" s="2" t="inlineStr">
        <ns0:is>
          <ns0:t>R01349</ns0:t>
        </ns0:is>
      </ns0:c>
      <ns0:c r="B582" s="2" t="inlineStr">
        <ns0:is>
          <ns0:t>Microaerobic control of biogas sulphide content during sewage sludge digestion by using biogas production and hydrogen sulphide concentration</ns0:t>
        </ns0:is>
      </ns0:c>
      <ns0:c r="C582" s="2" t="inlineStr">
        <ns0:is>
          <ns0:t>10.1016/j.cej.2014.04.027</ns0:t>
        </ns0:is>
      </ns0:c>
      <ns0:c r="D582" s="2" t="inlineStr">
        <ns0:is>
          <ns0:t>fulltext</ns0:t>
        </ns0:is>
      </ns0:c>
      <ns0:c r="E582" s="2" t="inlineStr">
        <ns0:is>
          <ns0:t>出版版（版式及版权文字）</ns0:t>
        </ns0:is>
      </ns0:c>
      <ns0:c r="F582" s="2" t="inlineStr">
        <ns0:is>
          <ns0:t>fulltext.pdf</ns0:t>
        </ns0:is>
      </ns0:c>
      <ns0:c r="G582" s="2" t="inlineStr">
        <ns0:is>
          <ns0:t>original_files/R01349/fulltext/fulltext__published__e04b312bae2991a3.pdf</ns0:t>
        </ns0:is>
      </ns0:c>
      <ns0:c r="H582" s="2" t="inlineStr">
        <ns0:is>
          <ns0:t>local_upload</ns0:t>
        </ns0:is>
      </ns0:c>
      <ns0:c r="I582" s="2" t="inlineStr">
        <ns0:is>
          <ns0:t>localdownload/R01349/fulltext.pdf</ns0:t>
        </ns0:is>
      </ns0:c>
      <ns0:c r="J582" s="2" t="n">
        <ns0:v>1155815</ns0:v>
      </ns0:c>
      <ns0:c r="K582" s="2" t="inlineStr">
        <ns0:is>
          <ns0:t>e04b312bae2991a34789627d36e39976c7a69fd76928426f3c54a1432b95cac9</ns0:t>
        </ns0:is>
      </ns0:c>
      <ns0:c r="L582" s="2" t="inlineStr">
        <ns0:is>
          <ns0:t>identity_and_body_structure_verified</ns0:t>
        </ns0:is>
      </ns0:c>
      <ns0:c r="M582" s="2" t="inlineStr"/>
      <ns0:c r="N582" s="2" t="inlineStr">
        <ns0:is>
          <ns0:t>首页/前两页题名作者或目标DOI核对，全部页面解析及正文结构检查；不据文件名判全文。</ns0:t>
        </ns0:is>
      </ns0:c>
      <ns0:c r="O582" s="2" t="inlineStr">
        <ns0:is>
          <ns0:t>https://github.com/Colliam-Vermilion/FirstCodex/blob/results/ad-oxygen-literature-20261006/results/ad-oxygen-literature-20261006/original_files/R01349/fulltext/fulltext__published__e04b312bae2991a3.pdf</ns0:t>
        </ns0:is>
      </ns0:c>
    </ns0:row>
    <ns0:row r="583" ht="48" customHeight="1">
      <ns0:c r="A583" s="3" t="inlineStr">
        <ns0:is>
          <ns0:t>R03475</ns0:t>
        </ns0:is>
      </ns0:c>
      <ns0:c r="B583" s="3" t="inlineStr">
        <ns0:is>
          <ns0:t>Pre-aeration of food waste to augment acidogenic process at higher organic load: Valorizing biohydrogen, volatile fatty acids and biohythane</ns0:t>
        </ns0:is>
      </ns0:c>
      <ns0:c r="C583" s="3" t="inlineStr">
        <ns0:is>
          <ns0:t>10.1016/j.biortech.2017.05.053</ns0:t>
        </ns0:is>
      </ns0:c>
      <ns0:c r="D583" s="3" t="inlineStr">
        <ns0:is>
          <ns0:t>supplementary</ns0:t>
        </ns0:is>
      </ns0:c>
      <ns0:c r="E583" s="3" t="inlineStr"/>
      <ns0:c r="F583" s="3" t="inlineStr">
        <ns0:is>
          <ns0:t>supplementary.docx</ns0:t>
        </ns0:is>
      </ns0:c>
      <ns0:c r="G583" s="3" t="inlineStr">
        <ns0:is>
          <ns0:t>original_files/R03475/supplementary/supplementary__e076e49096bc6bd6.docx</ns0:t>
        </ns0:is>
      </ns0:c>
      <ns0:c r="H583" t="inlineStr">
        <ns0:is>
          <ns0:t>local_upload; main@ab8353c误传副本</ns0:t>
        </ns0:is>
      </ns0:c>
      <ns0:c r="I583" t="inlineStr">
        <ns0:is>
          <ns0:t>localdownload/R03475/supplementary.docx; main@ab8353c:R03475/supplementary.docx</ns0:t>
        </ns0:is>
      </ns0:c>
      <ns0:c r="J583" s="3" t="n">
        <ns0:v>30452</ns0:v>
      </ns0:c>
      <ns0:c r="K583" s="3" t="inlineStr">
        <ns0:is>
          <ns0:t>e076e49096bc6bd6044ca3d101f15ed36f99724ebe224f8bd571bcfdb4029a91</ns0:t>
        </ns0:is>
      </ns0:c>
      <ns0:c r="L583" s="3" t="inlineStr">
        <ns0:is>
          <ns0:t>container_crc_verified</ns0:t>
        </ns0:is>
      </ns0:c>
      <ns0:c r="M583" s="3" t="inlineStr">
        <ns0:is>
          <ns0:t>directory_and_content_consistent_identity_pending</ns0:t>
        </ns0:is>
      </ns0:c>
      <ns0:c r="N583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583" s="3" t="inlineStr">
        <ns0:is>
          <ns0:t>https://github.com/Colliam-Vermilion/FirstCodex/blob/results/ad-oxygen-literature-20261006/results/ad-oxygen-literature-20261006/original_files/R03475/supplementary/supplementary__e076e49096bc6bd6.docx</ns0:t>
        </ns0:is>
      </ns0:c>
    </ns0:row>
    <ns0:row r="584" ht="48" customHeight="1">
      <ns0:c r="A584" s="2" t="inlineStr">
        <ns0:is>
          <ns0:t>R02115</ns0:t>
        </ns0:is>
      </ns0:c>
      <ns0:c r="B584" s="2" t="inlineStr">
        <ns0:is>
          <ns0:t>Secondary thermophilic microaerobic treatment in the anaerobic digestion of corn straw</ns0:t>
        </ns0:is>
      </ns0:c>
      <ns0:c r="C584" s="2" t="inlineStr">
        <ns0:is>
          <ns0:t>10.1016/j.biortech.2015.03.053</ns0:t>
        </ns0:is>
      </ns0:c>
      <ns0:c r="D584" s="2" t="inlineStr">
        <ns0:is>
          <ns0:t>fulltext</ns0:t>
        </ns0:is>
      </ns0:c>
      <ns0:c r="E584" s="2" t="inlineStr">
        <ns0:is>
          <ns0:t>出版版（版式及版权文字）</ns0:t>
        </ns0:is>
      </ns0:c>
      <ns0:c r="F584" s="2" t="inlineStr">
        <ns0:is>
          <ns0:t>fulltext.pdf</ns0:t>
        </ns0:is>
      </ns0:c>
      <ns0:c r="G584" s="2" t="inlineStr">
        <ns0:is>
          <ns0:t>original_files/R02115/fulltext/fulltext__published__e07eece2b7522917.pdf</ns0:t>
        </ns0:is>
      </ns0:c>
      <ns0:c r="H584" s="2" t="inlineStr">
        <ns0:is>
          <ns0:t>local_upload</ns0:t>
        </ns0:is>
      </ns0:c>
      <ns0:c r="I584" s="2" t="inlineStr">
        <ns0:is>
          <ns0:t>localdownload/R02115/fulltext.pdf</ns0:t>
        </ns0:is>
      </ns0:c>
      <ns0:c r="J584" s="2" t="n">
        <ns0:v>618871</ns0:v>
      </ns0:c>
      <ns0:c r="K584" s="2" t="inlineStr">
        <ns0:is>
          <ns0:t>e07eece2b7522917c23b5c14d1a0d1f6dec0430ba43b5690e7a2ffde49d39671</ns0:t>
        </ns0:is>
      </ns0:c>
      <ns0:c r="L584" s="2" t="inlineStr">
        <ns0:is>
          <ns0:t>identity_and_body_structure_verified</ns0:t>
        </ns0:is>
      </ns0:c>
      <ns0:c r="M584" s="2" t="inlineStr"/>
      <ns0:c r="N584" s="2" t="inlineStr">
        <ns0:is>
          <ns0:t>首页/前两页题名作者或目标DOI核对，全部页面解析及正文结构检查；不据文件名判全文。</ns0:t>
        </ns0:is>
      </ns0:c>
      <ns0:c r="O584" s="2" t="inlineStr">
        <ns0:is>
          <ns0:t>https://github.com/Colliam-Vermilion/FirstCodex/blob/results/ad-oxygen-literature-20261006/results/ad-oxygen-literature-20261006/original_files/R02115/fulltext/fulltext__published__e07eece2b7522917.pdf</ns0:t>
        </ns0:is>
      </ns0:c>
    </ns0:row>
    <ns0:row r="585" ht="48" customHeight="1">
      <ns0:c r="A585" s="3" t="inlineStr">
        <ns0:is>
          <ns0:t>R04646</ns0:t>
        </ns0:is>
      </ns0:c>
      <ns0:c r="B585" s="3" t="inlineStr">
        <ns0:is>
          <ns0:t>Coupling intermittent micro-aeration to anaerobic digestion improves tetra-azo dye Direct Black 22 treatment in sequencing batch reactors</ns0:t>
        </ns0:is>
      </ns0:c>
      <ns0:c r="C585" s="3" t="inlineStr">
        <ns0:is>
          <ns0:t>10.1016/j.cherd.2019.04.020</ns0:t>
        </ns0:is>
      </ns0:c>
      <ns0:c r="D585" s="3" t="inlineStr">
        <ns0:is>
          <ns0:t>fulltext</ns0:t>
        </ns0:is>
      </ns0:c>
      <ns0:c r="E585" s="3" t="inlineStr">
        <ns0:is>
          <ns0:t>出版版（版式及版权文字）</ns0:t>
        </ns0:is>
      </ns0:c>
      <ns0:c r="F585" s="3" t="inlineStr">
        <ns0:is>
          <ns0:t>fulltext.pdf</ns0:t>
        </ns0:is>
      </ns0:c>
      <ns0:c r="G585" s="3" t="inlineStr">
        <ns0:is>
          <ns0:t>original_files/R04646/fulltext/fulltext__published__e1d4e0f3c97d519f.pdf</ns0:t>
        </ns0:is>
      </ns0:c>
      <ns0:c r="H585" s="3" t="inlineStr">
        <ns0:is>
          <ns0:t>local_upload</ns0:t>
        </ns0:is>
      </ns0:c>
      <ns0:c r="I585" s="3" t="inlineStr">
        <ns0:is>
          <ns0:t>localdownload/R04646/fulltext.pdf</ns0:t>
        </ns0:is>
      </ns0:c>
      <ns0:c r="J585" s="3" t="n">
        <ns0:v>1882876</ns0:v>
      </ns0:c>
      <ns0:c r="K585" s="3" t="inlineStr">
        <ns0:is>
          <ns0:t>e1d4e0f3c97d519f1a419d98a6493eec88f5ce98834b86c2c0831c2c96908766</ns0:t>
        </ns0:is>
      </ns0:c>
      <ns0:c r="L585" s="3" t="inlineStr">
        <ns0:is>
          <ns0:t>identity_and_body_structure_verified</ns0:t>
        </ns0:is>
      </ns0:c>
      <ns0:c r="M585" s="3" t="inlineStr"/>
      <ns0:c r="N585" s="3" t="inlineStr">
        <ns0:is>
          <ns0:t>首页/前两页题名作者或目标DOI核对，全部页面解析及正文结构检查；不据文件名判全文。</ns0:t>
        </ns0:is>
      </ns0:c>
      <ns0:c r="O585" s="3" t="inlineStr">
        <ns0:is>
          <ns0:t>https://github.com/Colliam-Vermilion/FirstCodex/blob/results/ad-oxygen-literature-20261006/results/ad-oxygen-literature-20261006/original_files/R04646/fulltext/fulltext__published__e1d4e0f3c97d519f.pdf</ns0:t>
        </ns0:is>
      </ns0:c>
    </ns0:row>
    <ns0:row r="586" ht="48" customHeight="1">
      <ns0:c r="A586" s="2" t="inlineStr">
        <ns0:is>
          <ns0:t>R08280</ns0:t>
        </ns0:is>
      </ns0:c>
      <ns0:c r="B586" s="2" t="inlineStr">
        <ns0:is>
          <ns0:t>Revealing mechanism of micro-aeration for enhancing volatile fatty acids production from swine manure</ns0:t>
        </ns0:is>
      </ns0:c>
      <ns0:c r="C586" s="2" t="inlineStr">
        <ns0:is>
          <ns0:t>10.1016/j.biortech.2022.128140</ns0:t>
        </ns0:is>
      </ns0:c>
      <ns0:c r="D586" s="2" t="inlineStr">
        <ns0:is>
          <ns0:t>fulltext</ns0:t>
        </ns0:is>
      </ns0:c>
      <ns0:c r="E586" s="2" t="inlineStr">
        <ns0:is>
          <ns0:t>出版版（版式及版权文字）</ns0:t>
        </ns0:is>
      </ns0:c>
      <ns0:c r="F586" s="2" t="inlineStr">
        <ns0:is>
          <ns0:t>fulltext.pdf</ns0:t>
        </ns0:is>
      </ns0:c>
      <ns0:c r="G586" s="2" t="inlineStr">
        <ns0:is>
          <ns0:t>original_files/R08280/fulltext/fulltext__published__e2022315e2e0cead.pdf</ns0:t>
        </ns0:is>
      </ns0:c>
      <ns0:c r="H586" s="2" t="inlineStr">
        <ns0:is>
          <ns0:t>local_upload</ns0:t>
        </ns0:is>
      </ns0:c>
      <ns0:c r="I586" s="2" t="inlineStr">
        <ns0:is>
          <ns0:t>localdownload/R08280/fulltext.pdf</ns0:t>
        </ns0:is>
      </ns0:c>
      <ns0:c r="J586" s="2" t="n">
        <ns0:v>6116882</ns0:v>
      </ns0:c>
      <ns0:c r="K586" s="2" t="inlineStr">
        <ns0:is>
          <ns0:t>e2022315e2e0ceada0079592a77726b5ed7c3b3d92448cb162dab8f634f4f456</ns0:t>
        </ns0:is>
      </ns0:c>
      <ns0:c r="L586" s="2" t="inlineStr">
        <ns0:is>
          <ns0:t>identity_and_body_structure_verified</ns0:t>
        </ns0:is>
      </ns0:c>
      <ns0:c r="M586" s="2" t="inlineStr"/>
      <ns0:c r="N586" s="2" t="inlineStr">
        <ns0:is>
          <ns0:t>首页/前两页题名作者或目标DOI核对，全部页面解析及正文结构检查；不据文件名判全文。</ns0:t>
        </ns0:is>
      </ns0:c>
      <ns0:c r="O586" s="2" t="inlineStr">
        <ns0:is>
          <ns0:t>https://github.com/Colliam-Vermilion/FirstCodex/blob/results/ad-oxygen-literature-20261006/results/ad-oxygen-literature-20261006/original_files/R08280/fulltext/fulltext__published__e2022315e2e0cead.pdf</ns0:t>
        </ns0:is>
      </ns0:c>
    </ns0:row>
    <ns0:row r="587" ht="48" customHeight="1">
      <ns0:c r="A587" s="3" t="inlineStr">
        <ns0:is>
          <ns0:t>R13969</ns0:t>
        </ns0:is>
      </ns0:c>
      <ns0:c r="B587" s="3" t="inlineStr">
        <ns0:is>
          <ns0:t>Effects of microaeration on hydrogen and methane production from cassava wastewater using a two-stage UASB system</ns0:t>
        </ns0:is>
      </ns0:c>
      <ns0:c r="C587" s="3" t="inlineStr">
        <ns0:is>
          <ns0:t>10.58837/chula.the.2015.1953</ns0:t>
        </ns0:is>
      </ns0:c>
      <ns0:c r="D587" s="3" t="inlineStr">
        <ns0:is>
          <ns0:t>fulltext</ns0:t>
        </ns0:is>
      </ns0:c>
      <ns0:c r="E587" s="3" t="inlineStr">
        <ns0:is>
          <ns0:t>学位/学生报告原稿（分章节者按组）</ns0:t>
        </ns0:is>
      </ns0:c>
      <ns0:c r="F587" s="3" t="inlineStr">
        <ns0:is>
          <ns0:t>R13969_Pairin_tu_ch2_p.pdf</ns0:t>
        </ns0:is>
      </ns0:c>
      <ns0:c r="G587" s="3" t="inlineStr">
        <ns0:is>
          <ns0:t>original_files/R13969/fulltext/fulltext__thesis__e243a1071df26efb.pdf</ns0:t>
        </ns0:is>
      </ns0:c>
      <ns0:c r="H587" s="3" t="inlineStr">
        <ns0:is>
          <ns0:t>cloud_existing</ns0:t>
        </ns0:is>
      </ns0:c>
      <ns0:c r="I587" s="3" t="inlineStr">
        <ns0:is>
          <ns0:t>original_files/fulltext/R13969_Pairin_tu_ch2_p.pdf</ns0:t>
        </ns0:is>
      </ns0:c>
      <ns0:c r="J587" s="3" t="n">
        <ns0:v>1666115</ns0:v>
      </ns0:c>
      <ns0:c r="K587" s="3" t="inlineStr">
        <ns0:is>
          <ns0:t>e243a1071df26efb7b0f26c3399c69d9312dd4c1be4278790cdab042b6ee13ed</ns0:t>
        </ns0:is>
      </ns0:c>
      <ns0:c r="L587" s="3" t="inlineStr">
        <ns0:is>
          <ns0:t>complete_multipart_thesis_group_verified</ns0:t>
        </ns0:is>
      </ns0:c>
      <ns0:c r="M587" s="3" t="inlineStr"/>
      <ns0:c r="N587" s="3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587" s="3" t="inlineStr">
        <ns0:is>
          <ns0:t>https://github.com/Colliam-Vermilion/FirstCodex/blob/results/ad-oxygen-literature-20261006/results/ad-oxygen-literature-20261006/original_files/R13969/fulltext/fulltext__thesis__e243a1071df26efb.pdf</ns0:t>
        </ns0:is>
      </ns0:c>
    </ns0:row>
    <ns0:row r="588" ht="48" customHeight="1">
      <ns0:c r="A588" s="2" t="inlineStr">
        <ns0:is>
          <ns0:t>R00608</ns0:t>
        </ns0:is>
      </ns0:c>
      <ns0:c r="B588" s="2" t="inlineStr">
        <ns0:is>
          <ns0:t>Comparative Study of Micro-aerobic and Anaerobic Hydrolysis Acidifications of Petrochemical Wastewater</ns0:t>
        </ns0:is>
      </ns0:c>
      <ns0:c r="C588" s="2" t="inlineStr"/>
      <ns0:c r="D588" s="2" t="inlineStr">
        <ns0:is>
          <ns0:t>fulltext</ns0:t>
        </ns0:is>
      </ns0:c>
      <ns0:c r="E588" s="2" t="inlineStr">
        <ns0:is>
          <ns0:t>版本待核实</ns0:t>
        </ns0:is>
      </ns0:c>
      <ns0:c r="F588" s="2" t="inlineStr">
        <ns0:is>
          <ns0:t>fulltext.pdf</ns0:t>
        </ns0:is>
      </ns0:c>
      <ns0:c r="G588" s="2" t="inlineStr">
        <ns0:is>
          <ns0:t>original_files/R00608/fulltext/fulltext__version_unverified__e2a20257638dab74.pdf</ns0:t>
        </ns0:is>
      </ns0:c>
      <ns0:c r="H588" s="2" t="inlineStr">
        <ns0:is>
          <ns0:t>local_upload</ns0:t>
        </ns0:is>
      </ns0:c>
      <ns0:c r="I588" s="2" t="inlineStr">
        <ns0:is>
          <ns0:t>localdownload/R00608/fulltext.pdf</ns0:t>
        </ns0:is>
      </ns0:c>
      <ns0:c r="J588" s="2" t="n">
        <ns0:v>717606</ns0:v>
      </ns0:c>
      <ns0:c r="K588" s="2" t="inlineStr">
        <ns0:is>
          <ns0:t>e2a20257638dab746d35e4b949c5caa1d031b0950096915640d2a446f8677e9f</ns0:t>
        </ns0:is>
      </ns0:c>
      <ns0:c r="L588" s="2" t="inlineStr">
        <ns0:is>
          <ns0:t>manual_identity_and_completeness_verified</ns0:t>
        </ns0:is>
      </ns0:c>
      <ns0:c r="M588" s="2" t="inlineStr"/>
      <ns0:c r="N588" s="2" t="inlineStr">
        <ns0:is>
          <ns0:t>扫描PDF共5页，逐页OCR核对；第1页中英文题名、王佩超等作者、环境工程技术学报3(5),386–390 (2013)，末页含结论及参考文献。原件不改写，OCR作为派生核验依据。</ns0:t>
        </ns0:is>
      </ns0:c>
      <ns0:c r="O588" s="2" t="inlineStr">
        <ns0:is>
          <ns0:t>https://github.com/Colliam-Vermilion/FirstCodex/blob/results/ad-oxygen-literature-20261006/results/ad-oxygen-literature-20261006/original_files/R00608/fulltext/fulltext__version_unverified__e2a20257638dab74.pdf</ns0:t>
        </ns0:is>
      </ns0:c>
    </ns0:row>
    <ns0:row r="589" ht="48" customHeight="1">
      <ns0:c r="A589" s="3" t="inlineStr">
        <ns0:is>
          <ns0:t>R01917</ns0:t>
        </ns0:is>
      </ns0:c>
      <ns0:c r="B589" s="3" t="inlineStr">
        <ns0:is>
          <ns0:t>Improving hydrolysis acidification by limited aeration in the pretreatment of petrochemical wastewater</ns0:t>
        </ns0:is>
      </ns0:c>
      <ns0:c r="C589" s="3" t="inlineStr">
        <ns0:is>
          <ns0:t>10.1016/j.biortech.2015.06.072</ns0:t>
        </ns0:is>
      </ns0:c>
      <ns0:c r="D589" s="3" t="inlineStr">
        <ns0:is>
          <ns0:t>fulltext</ns0:t>
        </ns0:is>
      </ns0:c>
      <ns0:c r="E589" s="3" t="inlineStr">
        <ns0:is>
          <ns0:t>出版版（版式及版权文字）</ns0:t>
        </ns0:is>
      </ns0:c>
      <ns0:c r="F589" s="3" t="inlineStr">
        <ns0:is>
          <ns0:t>fulltext.pdf</ns0:t>
        </ns0:is>
      </ns0:c>
      <ns0:c r="G589" s="3" t="inlineStr">
        <ns0:is>
          <ns0:t>original_files/R01917/fulltext/fulltext__published__e31cfc89134fbe8a.pdf</ns0:t>
        </ns0:is>
      </ns0:c>
      <ns0:c r="H589" s="3" t="inlineStr">
        <ns0:is>
          <ns0:t>local_upload</ns0:t>
        </ns0:is>
      </ns0:c>
      <ns0:c r="I589" s="3" t="inlineStr">
        <ns0:is>
          <ns0:t>localdownload/R01917/fulltext.pdf</ns0:t>
        </ns0:is>
      </ns0:c>
      <ns0:c r="J589" s="3" t="n">
        <ns0:v>1901322</ns0:v>
      </ns0:c>
      <ns0:c r="K589" s="3" t="inlineStr">
        <ns0:is>
          <ns0:t>e31cfc89134fbe8a1ec0d5fcb8a7bfabaec9dac86febd83fa661ee9a73b2e335</ns0:t>
        </ns0:is>
      </ns0:c>
      <ns0:c r="L589" s="3" t="inlineStr">
        <ns0:is>
          <ns0:t>identity_and_body_structure_verified</ns0:t>
        </ns0:is>
      </ns0:c>
      <ns0:c r="M589" s="3" t="inlineStr"/>
      <ns0:c r="N589" s="3" t="inlineStr">
        <ns0:is>
          <ns0:t>首页/前两页题名作者或目标DOI核对，全部页面解析及正文结构检查；不据文件名判全文。</ns0:t>
        </ns0:is>
      </ns0:c>
      <ns0:c r="O589" s="3" t="inlineStr">
        <ns0:is>
          <ns0:t>https://github.com/Colliam-Vermilion/FirstCodex/blob/results/ad-oxygen-literature-20261006/results/ad-oxygen-literature-20261006/original_files/R01917/fulltext/fulltext__published__e31cfc89134fbe8a.pdf</ns0:t>
        </ns0:is>
      </ns0:c>
    </ns0:row>
    <ns0:row r="590" ht="48" customHeight="1">
      <ns0:c r="A590" s="2" t="inlineStr">
        <ns0:is>
          <ns0:t>R03220</ns0:t>
        </ns0:is>
      </ns0:c>
      <ns0:c r="B590" s="2" t="inlineStr">
        <ns0:is>
          <ns0:t>Enhanced volatile fatty acids production during anaerobic digestion of lignocellulosic biomass via micro-oxygenation</ns0:t>
        </ns0:is>
      </ns0:c>
      <ns0:c r="C590" s="2" t="inlineStr">
        <ns0:is>
          <ns0:t>10.1016/j.biortech.2017.02.029</ns0:t>
        </ns0:is>
      </ns0:c>
      <ns0:c r="D590" s="2" t="inlineStr">
        <ns0:is>
          <ns0:t>fulltext</ns0:t>
        </ns0:is>
      </ns0:c>
      <ns0:c r="E590" s="2" t="inlineStr">
        <ns0:is>
          <ns0:t>出版版（版式及版权文字）</ns0:t>
        </ns0:is>
      </ns0:c>
      <ns0:c r="F590" s="2" t="inlineStr">
        <ns0:is>
          <ns0:t>fulltext.pdf</ns0:t>
        </ns0:is>
      </ns0:c>
      <ns0:c r="G590" s="2" t="inlineStr">
        <ns0:is>
          <ns0:t>original_files/R03220/fulltext/fulltext__published__e3a420e737821dfe.pdf</ns0:t>
        </ns0:is>
      </ns0:c>
      <ns0:c r="H590" t="inlineStr">
        <ns0:is>
          <ns0:t>local_upload; main@ab8353c误传副本</ns0:t>
        </ns0:is>
      </ns0:c>
      <ns0:c r="I590" t="inlineStr">
        <ns0:is>
          <ns0:t>localdownload/R03220/fulltext.pdf; main@ab8353c:R03220/fulltext.pdf</ns0:t>
        </ns0:is>
      </ns0:c>
      <ns0:c r="J590" s="2" t="n">
        <ns0:v>692310</ns0:v>
      </ns0:c>
      <ns0:c r="K590" s="2" t="inlineStr">
        <ns0:is>
          <ns0:t>e3a420e737821dfea7af915ed874babf5028acd2c2ac56810527678967b2b408</ns0:t>
        </ns0:is>
      </ns0:c>
      <ns0:c r="L590" s="2" t="inlineStr">
        <ns0:is>
          <ns0:t>identity_and_body_structure_verified</ns0:t>
        </ns0:is>
      </ns0:c>
      <ns0:c r="M590" s="2" t="inlineStr"/>
      <ns0:c r="N590" s="2" t="inlineStr">
        <ns0:is>
          <ns0:t>首页/前两页题名作者或目标DOI核对，全部页面解析及正文结构检查；不据文件名判全文。</ns0:t>
        </ns0:is>
      </ns0:c>
      <ns0:c r="O590" s="2" t="inlineStr">
        <ns0:is>
          <ns0:t>https://github.com/Colliam-Vermilion/FirstCodex/blob/results/ad-oxygen-literature-20261006/results/ad-oxygen-literature-20261006/original_files/R03220/fulltext/fulltext__published__e3a420e737821dfe.pdf</ns0:t>
        </ns0:is>
      </ns0:c>
    </ns0:row>
    <ns0:row r="591" ht="48" customHeight="1">
      <ns0:c r="A591" s="3" t="inlineStr">
        <ns0:is>
          <ns0:t>R03564</ns0:t>
        </ns0:is>
      </ns0:c>
      <ns0:c r="B591" s="3" t="inlineStr">
        <ns0:is>
          <ns0:t>The Influence of Micro-Oxygen Addition on Desulfurization Performance and Microbial Communities during Waste-Activated Sludge Digestion in a Rusty Scrap Iron-Loaded Anaerobic Digester</ns0:t>
        </ns0:is>
      </ns0:c>
      <ns0:c r="C591" s="3" t="inlineStr">
        <ns0:is>
          <ns0:t>10.3390/en10020258</ns0:t>
        </ns0:is>
      </ns0:c>
      <ns0:c r="D591" s="3" t="inlineStr">
        <ns0:is>
          <ns0:t>source_evidence</ns0:t>
        </ns0:is>
      </ns0:c>
      <ns0:c r="E591" s="3" t="inlineStr"/>
      <ns0:c r="F591" s="3" t="inlineStr">
        <ns0:is>
          <ns0:t>publisher_article_page_20261017.html</ns0:t>
        </ns0:is>
      </ns0:c>
      <ns0:c r="G591" s="3" t="inlineStr">
        <ns0:is>
          <ns0:t>original_files/R03564/evidence/source_evidence__e3a69b5338325eab.html</ns0:t>
        </ns0:is>
      </ns0:c>
      <ns0:c r="H591" s="3" t="inlineStr">
        <ns0:is>
          <ns0:t>cloud_existing</ns0:t>
        </ns0:is>
      </ns0:c>
      <ns0:c r="I591" s="3" t="inlineStr">
        <ns0:is>
          <ns0:t>original_files/source_evidence/R03564/publisher_article_page_20261017.html</ns0:t>
        </ns0:is>
      </ns0:c>
      <ns0:c r="J591" s="3" t="n">
        <ns0:v>634641</ns0:v>
      </ns0:c>
      <ns0:c r="K591" s="3" t="inlineStr">
        <ns0:is>
          <ns0:t>e3a69b5338325eabc9b744f1964752b926b8ab65022180d7e93fa512e1dc9e23</ns0:t>
        </ns0:is>
      </ns0:c>
      <ns0:c r="L591" s="3" t="inlineStr">
        <ns0:is>
          <ns0:t>text_readable</ns0:t>
        </ns0:is>
      </ns0:c>
      <ns0:c r="M591" s="3" t="inlineStr"/>
      <ns0:c r="N591" s="3" t="inlineStr"/>
      <ns0:c r="O591" s="3" t="inlineStr">
        <ns0:is>
          <ns0:t>https://github.com/Colliam-Vermilion/FirstCodex/blob/results/ad-oxygen-literature-20261006/results/ad-oxygen-literature-20261006/original_files/R03564/evidence/source_evidence__e3a69b5338325eab.html</ns0:t>
        </ns0:is>
      </ns0:c>
    </ns0:row>
    <ns0:row r="592" ht="48" customHeight="1">
      <ns0:c r="A592" s="2" t="inlineStr">
        <ns0:is>
          <ns0:t>R13914</ns0:t>
        </ns0:is>
      </ns0:c>
      <ns0:c r="B592" s="2" t="inlineStr">
        <ns0:is>
          <ns0:t>Development of aerobic methane oxidation, denitrification coupled to methanogenesis (AMODM) in a microaerophilic expanded granular sludge blanket biofilm reactor</ns0:t>
        </ns0:is>
      </ns0:c>
      <ns0:c r="C592" s="2" t="inlineStr">
        <ns0:is>
          <ns0:t>10.1016/j.jenvman.2020.111280</ns0:t>
        </ns0:is>
      </ns0:c>
      <ns0:c r="D592" s="2" t="inlineStr">
        <ns0:is>
          <ns0:t>fulltext</ns0:t>
        </ns0:is>
      </ns0:c>
      <ns0:c r="E592" s="2" t="inlineStr">
        <ns0:is>
          <ns0:t>出版版（版式及版权文字）</ns0:t>
        </ns0:is>
      </ns0:c>
      <ns0:c r="F592" s="2" t="inlineStr">
        <ns0:is>
          <ns0:t>fulltext.pdf</ns0:t>
        </ns0:is>
      </ns0:c>
      <ns0:c r="G592" s="2" t="inlineStr">
        <ns0:is>
          <ns0:t>original_files/R13914/fulltext/fulltext__published__e446cadeb17f6b9f.pdf</ns0:t>
        </ns0:is>
      </ns0:c>
      <ns0:c r="H592" s="2" t="inlineStr">
        <ns0:is>
          <ns0:t>local_upload</ns0:t>
        </ns0:is>
      </ns0:c>
      <ns0:c r="I592" s="2" t="inlineStr">
        <ns0:is>
          <ns0:t>localdownload/R13914/fulltext.pdf</ns0:t>
        </ns0:is>
      </ns0:c>
      <ns0:c r="J592" s="2" t="n">
        <ns0:v>2533147</ns0:v>
      </ns0:c>
      <ns0:c r="K592" s="2" t="inlineStr">
        <ns0:is>
          <ns0:t>e446cadeb17f6b9fdc984b76fd0e761578b235c1e8a8df0036e05555dfb42c54</ns0:t>
        </ns0:is>
      </ns0:c>
      <ns0:c r="L592" s="2" t="inlineStr">
        <ns0:is>
          <ns0:t>identity_and_body_structure_verified</ns0:t>
        </ns0:is>
      </ns0:c>
      <ns0:c r="M592" s="2" t="inlineStr"/>
      <ns0:c r="N592" s="2" t="inlineStr">
        <ns0:is>
          <ns0:t>首页/前两页题名作者或目标DOI核对，全部页面解析及正文结构检查；不据文件名判全文。</ns0:t>
        </ns0:is>
      </ns0:c>
      <ns0:c r="O592" s="2" t="inlineStr">
        <ns0:is>
          <ns0:t>https://github.com/Colliam-Vermilion/FirstCodex/blob/results/ad-oxygen-literature-20261006/results/ad-oxygen-literature-20261006/original_files/R13914/fulltext/fulltext__published__e446cadeb17f6b9f.pdf</ns0:t>
        </ns0:is>
      </ns0:c>
    </ns0:row>
    <ns0:row r="593" ht="48" customHeight="1">
      <ns0:c r="A593" s="3" t="inlineStr">
        <ns0:is>
          <ns0:t>R13965</ns0:t>
        </ns0:is>
      </ns0:c>
      <ns0:c r="B593" s="3" t="inlineStr">
        <ns0:is>
          <ns0:t>Investigating the Anaerobic Digestion of Water Hyacinth (Eichhornia crassipes) Sourced from Hartbeespoort Dam in South Africa</ns0:t>
        </ns0:is>
      </ns0:c>
      <ns0:c r="C593" s="3" t="inlineStr">
        <ns0:is>
          <ns0:t>10.3390/fermentation9070685</ns0:t>
        </ns0:is>
      </ns0:c>
      <ns0:c r="D593" s="3" t="inlineStr">
        <ns0:is>
          <ns0:t>source_evidence</ns0:t>
        </ns0:is>
      </ns0:c>
      <ns0:c r="E593" s="3" t="inlineStr"/>
      <ns0:c r="F593" s="3" t="inlineStr">
        <ns0:is>
          <ns0:t>publisher_article_page_20261017.html</ns0:t>
        </ns0:is>
      </ns0:c>
      <ns0:c r="G593" s="3" t="inlineStr">
        <ns0:is>
          <ns0:t>original_files/R13965/evidence/source_evidence__e463c8416778e583.html</ns0:t>
        </ns0:is>
      </ns0:c>
      <ns0:c r="H593" s="3" t="inlineStr">
        <ns0:is>
          <ns0:t>cloud_existing</ns0:t>
        </ns0:is>
      </ns0:c>
      <ns0:c r="I593" s="3" t="inlineStr">
        <ns0:is>
          <ns0:t>original_files/source_evidence/R13965/publisher_article_page_20261017.html</ns0:t>
        </ns0:is>
      </ns0:c>
      <ns0:c r="J593" s="3" t="n">
        <ns0:v>458070</ns0:v>
      </ns0:c>
      <ns0:c r="K593" s="3" t="inlineStr">
        <ns0:is>
          <ns0:t>e463c8416778e5830a69b06c3211b415767d80b131ff71d35e358ed9c84b6eb1</ns0:t>
        </ns0:is>
      </ns0:c>
      <ns0:c r="L593" s="3" t="inlineStr">
        <ns0:is>
          <ns0:t>text_readable</ns0:t>
        </ns0:is>
      </ns0:c>
      <ns0:c r="M593" s="3" t="inlineStr"/>
      <ns0:c r="N593" s="3" t="inlineStr"/>
      <ns0:c r="O593" s="3" t="inlineStr">
        <ns0:is>
          <ns0:t>https://github.com/Colliam-Vermilion/FirstCodex/blob/results/ad-oxygen-literature-20261006/results/ad-oxygen-literature-20261006/original_files/R13965/evidence/source_evidence__e463c8416778e583.html</ns0:t>
        </ns0:is>
      </ns0:c>
    </ns0:row>
    <ns0:row r="594" ht="48" customHeight="1">
      <ns0:c r="A594" s="2" t="inlineStr">
        <ns0:is>
          <ns0:t>R13924</ns0:t>
        </ns0:is>
      </ns0:c>
      <ns0:c r="B594" s="2" t="inlineStr">
        <ns0:is>
          <ns0:t>Review of micro-aeration hydrolysis acidification for the pretreatment of toxic and refractory organic wastewater</ns0:t>
        </ns0:is>
      </ns0:c>
      <ns0:c r="C594" s="2" t="inlineStr">
        <ns0:is>
          <ns0:t>10.1016/j.jclepro.2021.128343</ns0:t>
        </ns0:is>
      </ns0:c>
      <ns0:c r="D594" s="2" t="inlineStr">
        <ns0:is>
          <ns0:t>fulltext</ns0:t>
        </ns0:is>
      </ns0:c>
      <ns0:c r="E594" s="2" t="inlineStr">
        <ns0:is>
          <ns0:t>出版版（版式及版权文字）</ns0:t>
        </ns0:is>
      </ns0:c>
      <ns0:c r="F594" s="2" t="inlineStr">
        <ns0:is>
          <ns0:t>fulltext.pdf</ns0:t>
        </ns0:is>
      </ns0:c>
      <ns0:c r="G594" s="2" t="inlineStr">
        <ns0:is>
          <ns0:t>original_files/R13924/fulltext/fulltext__published__e54025c4711c8c79.pdf</ns0:t>
        </ns0:is>
      </ns0:c>
      <ns0:c r="H594" s="2" t="inlineStr">
        <ns0:is>
          <ns0:t>local_upload</ns0:t>
        </ns0:is>
      </ns0:c>
      <ns0:c r="I594" s="2" t="inlineStr">
        <ns0:is>
          <ns0:t>localdownload/R13924/fulltext.pdf</ns0:t>
        </ns0:is>
      </ns0:c>
      <ns0:c r="J594" s="2" t="n">
        <ns0:v>3891686</ns0:v>
      </ns0:c>
      <ns0:c r="K594" s="2" t="inlineStr">
        <ns0:is>
          <ns0:t>e54025c4711c8c79e28544874e533eacb882c170ec17dcc3881f127f0b6e6d3d</ns0:t>
        </ns0:is>
      </ns0:c>
      <ns0:c r="L594" s="2" t="inlineStr">
        <ns0:is>
          <ns0:t>identity_and_body_structure_verified</ns0:t>
        </ns0:is>
      </ns0:c>
      <ns0:c r="M594" s="2" t="inlineStr"/>
      <ns0:c r="N594" s="2" t="inlineStr">
        <ns0:is>
          <ns0:t>首页/前两页题名作者或目标DOI核对，全部页面解析及正文结构检查；不据文件名判全文。</ns0:t>
        </ns0:is>
      </ns0:c>
      <ns0:c r="O594" s="2" t="inlineStr">
        <ns0:is>
          <ns0:t>https://github.com/Colliam-Vermilion/FirstCodex/blob/results/ad-oxygen-literature-20261006/results/ad-oxygen-literature-20261006/original_files/R13924/fulltext/fulltext__published__e54025c4711c8c79.pdf</ns0:t>
        </ns0:is>
      </ns0:c>
    </ns0:row>
    <ns0:row r="595" ht="48" customHeight="1">
      <ns0:c r="A595" s="3" t="inlineStr">
        <ns0:is>
          <ns0:t>R10163</ns0:t>
        </ns0:is>
      </ns0:c>
      <ns0:c r="B595" s="3" t="inlineStr">
        <ns0:is>
          <ns0:t>Enhanced anaerobic digestion performance and sludge filterability by membrane microaeration for anaerobic membrane bioreactor application</ns0:t>
        </ns0:is>
      </ns0:c>
      <ns0:c r="C595" s="3" t="inlineStr">
        <ns0:is>
          <ns0:t>10.1016/j.biortech.2024.130787</ns0:t>
        </ns0:is>
      </ns0:c>
      <ns0:c r="D595" s="3" t="inlineStr">
        <ns0:is>
          <ns0:t>supplementary</ns0:t>
        </ns0:is>
      </ns0:c>
      <ns0:c r="E595" s="3" t="inlineStr"/>
      <ns0:c r="F595" s="3" t="inlineStr">
        <ns0:is>
          <ns0:t>supplementary.docx</ns0:t>
        </ns0:is>
      </ns0:c>
      <ns0:c r="G595" s="3" t="inlineStr">
        <ns0:is>
          <ns0:t>original_files/R10163/supplementary/supplementary__e5edc17a3420f86a.docx</ns0:t>
        </ns0:is>
      </ns0:c>
      <ns0:c r="H595" s="3" t="inlineStr">
        <ns0:is>
          <ns0:t>local_upload</ns0:t>
        </ns0:is>
      </ns0:c>
      <ns0:c r="I595" s="3" t="inlineStr">
        <ns0:is>
          <ns0:t>localdownload/R10163/supplementary.docx</ns0:t>
        </ns0:is>
      </ns0:c>
      <ns0:c r="J595" s="3" t="n">
        <ns0:v>7714901</ns0:v>
      </ns0:c>
      <ns0:c r="K595" s="3" t="inlineStr">
        <ns0:is>
          <ns0:t>e5edc17a3420f86a38c8b357b1825bb6f78f212bc90a7724dcf389ac15029c12</ns0:t>
        </ns0:is>
      </ns0:c>
      <ns0:c r="L595" s="3" t="inlineStr">
        <ns0:is>
          <ns0:t>container_crc_verified</ns0:t>
        </ns0:is>
      </ns0:c>
      <ns0:c r="M595" s="3" t="inlineStr">
        <ns0:is>
          <ns0:t>title_in_attachment_verified</ns0:t>
        </ns0:is>
      </ns0:c>
      <ns0:c r="N595" s="3" t="inlineStr"/>
      <ns0:c r="O595" s="3" t="inlineStr">
        <ns0:is>
          <ns0:t>https://github.com/Colliam-Vermilion/FirstCodex/blob/results/ad-oxygen-literature-20261006/results/ad-oxygen-literature-20261006/original_files/R10163/supplementary/supplementary__e5edc17a3420f86a.docx</ns0:t>
        </ns0:is>
      </ns0:c>
    </ns0:row>
    <ns0:row r="596" ht="48" customHeight="1">
      <ns0:c r="A596" s="2" t="inlineStr">
        <ns0:is>
          <ns0:t>R11535</ns0:t>
        </ns0:is>
      </ns0:c>
      <ns0:c r="B596" s="2" t="inlineStr">
        <ns0:is>
          <ns0:t>Enhancing mesophilic methanogenesis in oleate-rich environments through optimized micro-aeration pretreatment</ns0:t>
        </ns0:is>
      </ns0:c>
      <ns0:c r="C596" s="2" t="inlineStr">
        <ns0:is>
          <ns0:t>10.1016/j.wasman.2024.12.005</ns0:t>
        </ns0:is>
      </ns0:c>
      <ns0:c r="D596" s="2" t="inlineStr">
        <ns0:is>
          <ns0:t>fulltext</ns0:t>
        </ns0:is>
      </ns0:c>
      <ns0:c r="E596" s="2" t="inlineStr">
        <ns0:is>
          <ns0:t>出版版（版式及版权文字）</ns0:t>
        </ns0:is>
      </ns0:c>
      <ns0:c r="F596" s="2" t="inlineStr">
        <ns0:is>
          <ns0:t>fulltext.pdf</ns0:t>
        </ns0:is>
      </ns0:c>
      <ns0:c r="G596" s="2" t="inlineStr">
        <ns0:is>
          <ns0:t>original_files/R11535/fulltext/fulltext__published__e661a51c0976e034.pdf</ns0:t>
        </ns0:is>
      </ns0:c>
      <ns0:c r="H596" s="2" t="inlineStr">
        <ns0:is>
          <ns0:t>local_upload</ns0:t>
        </ns0:is>
      </ns0:c>
      <ns0:c r="I596" s="2" t="inlineStr">
        <ns0:is>
          <ns0:t>localdownload/R11535/fulltext.pdf</ns0:t>
        </ns0:is>
      </ns0:c>
      <ns0:c r="J596" s="2" t="n">
        <ns0:v>1422590</ns0:v>
      </ns0:c>
      <ns0:c r="K596" s="2" t="inlineStr">
        <ns0:is>
          <ns0:t>e661a51c0976e0348b8face8e9777f101bbf5077cd1234be1873da5ed912ab35</ns0:t>
        </ns0:is>
      </ns0:c>
      <ns0:c r="L596" s="2" t="inlineStr">
        <ns0:is>
          <ns0:t>identity_and_body_structure_verified</ns0:t>
        </ns0:is>
      </ns0:c>
      <ns0:c r="M596" s="2" t="inlineStr"/>
      <ns0:c r="N596" s="2" t="inlineStr">
        <ns0:is>
          <ns0:t>首页/前两页题名作者或目标DOI核对，全部页面解析及正文结构检查；不据文件名判全文。</ns0:t>
        </ns0:is>
      </ns0:c>
      <ns0:c r="O596" s="2" t="inlineStr">
        <ns0:is>
          <ns0:t>https://github.com/Colliam-Vermilion/FirstCodex/blob/results/ad-oxygen-literature-20261006/results/ad-oxygen-literature-20261006/original_files/R11535/fulltext/fulltext__published__e661a51c0976e034.pdf</ns0:t>
        </ns0:is>
      </ns0:c>
    </ns0:row>
    <ns0:row r="597" ht="48" customHeight="1">
      <ns0:c r="A597" s="3" t="inlineStr">
        <ns0:is>
          <ns0:t>R02282</ns0:t>
        </ns0:is>
      </ns0:c>
      <ns0:c r="B597" s="3" t="inlineStr">
        <ns0:is>
          <ns0:t>Advances in the biological removal of sulphides from aqueous phase in anaerobic processes: A review</ns0:t>
        </ns0:is>
      </ns0:c>
      <ns0:c r="C597" s="3" t="inlineStr">
        <ns0:is>
          <ns0:t>10.1139/er-2015-0046</ns0:t>
        </ns0:is>
      </ns0:c>
      <ns0:c r="D597" s="3" t="inlineStr">
        <ns0:is>
          <ns0:t>fulltext</ns0:t>
        </ns0:is>
      </ns0:c>
      <ns0:c r="E597" s="3" t="inlineStr">
        <ns0:is>
          <ns0:t>author manuscript, repository-stamped postprint; Draft/R1 manuscript rather than publisher typeset version</ns0:t>
        </ns0:is>
      </ns0:c>
      <ns0:c r="F597" s="3" t="inlineStr">
        <ns0:is>
          <ns0:t>R02282_2016_Advances_in_the_biological_removal_of_sulphides_from_aqueous_phase_in_anaerobic_processes_A_review.pdf</ns0:t>
        </ns0:is>
      </ns0:c>
      <ns0:c r="G597" s="3" t="inlineStr">
        <ns0:is>
          <ns0:t>original_files/R02282/fulltext/fulltext__version_unverified__e709439b748e7938.pdf</ns0:t>
        </ns0:is>
      </ns0:c>
      <ns0:c r="H597" s="3" t="inlineStr">
        <ns0:is>
          <ns0:t>cloud_existing</ns0:t>
        </ns0:is>
      </ns0:c>
      <ns0:c r="I597" s="3" t="inlineStr">
        <ns0:is>
          <ns0:t>original_files/fulltext/R02282_2016_Advances_in_the_biological_removal_of_sulphides_from_aqueous_phase_in_anaerobic_processes_A_review.pdf</ns0:t>
        </ns0:is>
      </ns0:c>
      <ns0:c r="J597" s="3" t="n">
        <ns0:v>1067465</ns0:v>
      </ns0:c>
      <ns0:c r="K597" s="3" t="inlineStr">
        <ns0:is>
          <ns0:t>e709439b748e793826102646c009aa10e1e9ac30627ac301fac7dd42276a2047</ns0:t>
        </ns0:is>
      </ns0:c>
      <ns0:c r="L597" s="3" t="inlineStr">
        <ns0:is>
          <ns0:t>identity_and_body_structure_verified</ns0:t>
        </ns0:is>
      </ns0:c>
      <ns0:c r="M597" s="3" t="inlineStr"/>
      <ns0:c r="N597" s="3" t="inlineStr">
        <ns0:is>
          <ns0:t>首页/前两页题名作者或目标DOI核对，全部页面解析及正文结构检查；不据文件名判全文。</ns0:t>
        </ns0:is>
      </ns0:c>
      <ns0:c r="O597" s="3" t="inlineStr">
        <ns0:is>
          <ns0:t>https://github.com/Colliam-Vermilion/FirstCodex/blob/results/ad-oxygen-literature-20261006/results/ad-oxygen-literature-20261006/original_files/R02282/fulltext/fulltext__version_unverified__e709439b748e7938.pdf</ns0:t>
        </ns0:is>
      </ns0:c>
    </ns0:row>
    <ns0:row r="598" ht="48" customHeight="1">
      <ns0:c r="A598" s="2" t="inlineStr">
        <ns0:is>
          <ns0:t>R13836</ns0:t>
        </ns0:is>
      </ns0:c>
      <ns0:c r="B598" s="2" t="inlineStr">
        <ns0:is>
          <ns0:t>Enhancement of surfactant biodegradation with an anaerobic membrane bioreactor by introducing microaeration.</ns0:t>
        </ns0:is>
      </ns0:c>
      <ns0:c r="C598" s="2" t="inlineStr">
        <ns0:is>
          <ns0:t>10.1016/j.chemosphere.2018.06.001</ns0:t>
        </ns0:is>
      </ns0:c>
      <ns0:c r="D598" s="2" t="inlineStr">
        <ns0:is>
          <ns0:t>fulltext</ns0:t>
        </ns0:is>
      </ns0:c>
      <ns0:c r="E598" s="2" t="inlineStr">
        <ns0:is>
          <ns0:t>出版版（版式及版权文字）</ns0:t>
        </ns0:is>
      </ns0:c>
      <ns0:c r="F598" s="2" t="inlineStr">
        <ns0:is>
          <ns0:t>fulltext.pdf</ns0:t>
        </ns0:is>
      </ns0:c>
      <ns0:c r="G598" s="2" t="inlineStr">
        <ns0:is>
          <ns0:t>original_files/R13836/fulltext/fulltext__published__e7c89129ec7164ac.pdf</ns0:t>
        </ns0:is>
      </ns0:c>
      <ns0:c r="H598" s="2" t="inlineStr">
        <ns0:is>
          <ns0:t>local_upload</ns0:t>
        </ns0:is>
      </ns0:c>
      <ns0:c r="I598" s="2" t="inlineStr">
        <ns0:is>
          <ns0:t>localdownload/R13836/fulltext.pdf</ns0:t>
        </ns0:is>
      </ns0:c>
      <ns0:c r="J598" s="2" t="n">
        <ns0:v>2564080</ns0:v>
      </ns0:c>
      <ns0:c r="K598" s="2" t="inlineStr">
        <ns0:is>
          <ns0:t>e7c89129ec7164acebf46be45ef846d71e5ff8a535504f773004ff101a6ca992</ns0:t>
        </ns0:is>
      </ns0:c>
      <ns0:c r="L598" s="2" t="inlineStr">
        <ns0:is>
          <ns0:t>identity_and_body_structure_verified</ns0:t>
        </ns0:is>
      </ns0:c>
      <ns0:c r="M598" s="2" t="inlineStr"/>
      <ns0:c r="N598" s="2" t="inlineStr">
        <ns0:is>
          <ns0:t>首页/前两页题名作者或目标DOI核对，全部页面解析及正文结构检查；不据文件名判全文。</ns0:t>
        </ns0:is>
      </ns0:c>
      <ns0:c r="O598" s="2" t="inlineStr">
        <ns0:is>
          <ns0:t>https://github.com/Colliam-Vermilion/FirstCodex/blob/results/ad-oxygen-literature-20261006/results/ad-oxygen-literature-20261006/original_files/R13836/fulltext/fulltext__published__e7c89129ec7164ac.pdf</ns0:t>
        </ns0:is>
      </ns0:c>
    </ns0:row>
    <ns0:row r="599" ht="48" customHeight="1">
      <ns0:c r="A599" s="3" t="inlineStr">
        <ns0:is>
          <ns0:t>R13897</ns0:t>
        </ns0:is>
      </ns0:c>
      <ns0:c r="B599" s="3" t="inlineStr">
        <ns0:is>
          <ns0:t>Anaerobic digestion of corn straw pretreated by ultrasonic combined with aerobic hydrolysis</ns0:t>
        </ns0:is>
      </ns0:c>
      <ns0:c r="C599" s="3" t="inlineStr">
        <ns0:is>
          <ns0:t>10.1016/j.biortech.2021.125826</ns0:t>
        </ns0:is>
      </ns0:c>
      <ns0:c r="D599" s="3" t="inlineStr">
        <ns0:is>
          <ns0:t>fulltext</ns0:t>
        </ns0:is>
      </ns0:c>
      <ns0:c r="E599" s="3" t="inlineStr">
        <ns0:is>
          <ns0:t>出版版（版式及版权文字）</ns0:t>
        </ns0:is>
      </ns0:c>
      <ns0:c r="F599" s="3" t="inlineStr">
        <ns0:is>
          <ns0:t>fulltext.pdf</ns0:t>
        </ns0:is>
      </ns0:c>
      <ns0:c r="G599" s="3" t="inlineStr">
        <ns0:is>
          <ns0:t>original_files/R13897/fulltext/fulltext__published__e7ee99bccd476c19.pdf</ns0:t>
        </ns0:is>
      </ns0:c>
      <ns0:c r="H599" s="3" t="inlineStr">
        <ns0:is>
          <ns0:t>local_upload</ns0:t>
        </ns0:is>
      </ns0:c>
      <ns0:c r="I599" s="3" t="inlineStr">
        <ns0:is>
          <ns0:t>localdownload/R13897/fulltext.pdf</ns0:t>
        </ns0:is>
      </ns0:c>
      <ns0:c r="J599" s="3" t="n">
        <ns0:v>5027172</ns0:v>
      </ns0:c>
      <ns0:c r="K599" s="3" t="inlineStr">
        <ns0:is>
          <ns0:t>e7ee99bccd476c19cd0a5755b2a4fd1bd15b5b6818ec69ae1d20e2a6a56ecf57</ns0:t>
        </ns0:is>
      </ns0:c>
      <ns0:c r="L599" s="3" t="inlineStr">
        <ns0:is>
          <ns0:t>identity_and_body_structure_verified</ns0:t>
        </ns0:is>
      </ns0:c>
      <ns0:c r="M599" s="3" t="inlineStr"/>
      <ns0:c r="N599" s="3" t="inlineStr">
        <ns0:is>
          <ns0:t>首页/前两页题名作者或目标DOI核对，全部页面解析及正文结构检查；不据文件名判全文。</ns0:t>
        </ns0:is>
      </ns0:c>
      <ns0:c r="O599" s="3" t="inlineStr">
        <ns0:is>
          <ns0:t>https://github.com/Colliam-Vermilion/FirstCodex/blob/results/ad-oxygen-literature-20261006/results/ad-oxygen-literature-20261006/original_files/R13897/fulltext/fulltext__published__e7ee99bccd476c19.pdf</ns0:t>
        </ns0:is>
      </ns0:c>
    </ns0:row>
    <ns0:row r="600" ht="48" customHeight="1">
      <ns0:c r="A600" s="2" t="inlineStr">
        <ns0:is>
          <ns0:t>R08877</ns0:t>
        </ns0:is>
      </ns0:c>
      <ns0:c r="B600" s="2" t="inlineStr">
        <ns0:is>
          <ns0:t>Effects of Low Oxygen Dosages on an Anaerobic Membrane Bioreactor, Simulating the Oxygen Load in an Anaerobic Digester-Dissolved Air Flotation (AD-DAF) System</ns0:t>
        </ns0:is>
      </ns0:c>
      <ns0:c r="C600" s="2" t="inlineStr">
        <ns0:is>
          <ns0:t>10.1021/acsestwater.3c00544</ns0:t>
        </ns0:is>
      </ns0:c>
      <ns0:c r="D600" s="2" t="inlineStr">
        <ns0:is>
          <ns0:t>source_evidence</ns0:t>
        </ns0:is>
      </ns0:c>
      <ns0:c r="E600" s="2" t="inlineStr"/>
      <ns0:c r="F600" s="2" t="inlineStr">
        <ns0:is>
          <ns0:t>PMC10714394_fullText.xml</ns0:t>
        </ns0:is>
      </ns0:c>
      <ns0:c r="G600" s="2" t="inlineStr">
        <ns0:is>
          <ns0:t>original_files/R08877/evidence/source_evidence__e8712e4198baab4c.xml</ns0:t>
        </ns0:is>
      </ns0:c>
      <ns0:c r="H600" s="2" t="inlineStr">
        <ns0:is>
          <ns0:t>cloud_existing</ns0:t>
        </ns0:is>
      </ns0:c>
      <ns0:c r="I600" s="2" t="inlineStr">
        <ns0:is>
          <ns0:t>original_files/source_evidence/R08877/PMC10714394_fullText.xml</ns0:t>
        </ns0:is>
      </ns0:c>
      <ns0:c r="J600" s="2" t="n">
        <ns0:v>111864</ns0:v>
      </ns0:c>
      <ns0:c r="K600" s="2" t="inlineStr">
        <ns0:is>
          <ns0:t>e8712e4198baab4c79ee53c54ea30b4d96721e2d47e08b657a6b19b4bf41891a</ns0:t>
        </ns0:is>
      </ns0:c>
      <ns0:c r="L600" s="2" t="inlineStr">
        <ns0:is>
          <ns0:t>text_readable</ns0:t>
        </ns0:is>
      </ns0:c>
      <ns0:c r="M600" s="2" t="inlineStr"/>
      <ns0:c r="N600" s="2" t="inlineStr"/>
      <ns0:c r="O600" s="2" t="inlineStr">
        <ns0:is>
          <ns0:t>https://github.com/Colliam-Vermilion/FirstCodex/blob/results/ad-oxygen-literature-20261006/results/ad-oxygen-literature-20261006/original_files/R08877/evidence/source_evidence__e8712e4198baab4c.xml</ns0:t>
        </ns0:is>
      </ns0:c>
    </ns0:row>
    <ns0:row r="601" ht="48" customHeight="1">
      <ns0:c r="A601" s="3" t="inlineStr">
        <ns0:is>
          <ns0:t>R07603</ns0:t>
        </ns0:is>
      </ns0:c>
      <ns0:c r="B601" s="3" t="inlineStr">
        <ns0:is>
          <ns0:t>Considering micro-aeration strategy for enhancing methane production in anaerobic digestion of agricultural wastes</ns0:t>
        </ns0:is>
      </ns0:c>
      <ns0:c r="C601" s="3" t="inlineStr">
        <ns0:is>
          <ns0:t>10.13031/aim.202200429</ns0:t>
        </ns0:is>
      </ns0:c>
      <ns0:c r="D601" s="3" t="inlineStr">
        <ns0:is>
          <ns0:t>source_evidence</ns0:t>
        </ns0:is>
      </ns0:c>
      <ns0:c r="E601" s="3" t="inlineStr"/>
      <ns0:c r="F601" s="3" t="inlineStr">
        <ns0:is>
          <ns0:t>publisher_article_page_20261017.html</ns0:t>
        </ns0:is>
      </ns0:c>
      <ns0:c r="G601" s="3" t="inlineStr">
        <ns0:is>
          <ns0:t>original_files/R07603/evidence/source_evidence__e88efc55ddeede1a.html</ns0:t>
        </ns0:is>
      </ns0:c>
      <ns0:c r="H601" s="3" t="inlineStr">
        <ns0:is>
          <ns0:t>cloud_existing</ns0:t>
        </ns0:is>
      </ns0:c>
      <ns0:c r="I601" s="3" t="inlineStr">
        <ns0:is>
          <ns0:t>original_files/source_evidence/R07603/publisher_article_page_20261017.html</ns0:t>
        </ns0:is>
      </ns0:c>
      <ns0:c r="J601" s="3" t="n">
        <ns0:v>18346</ns0:v>
      </ns0:c>
      <ns0:c r="K601" s="3" t="inlineStr">
        <ns0:is>
          <ns0:t>e88efc55ddeede1ac4b3586424d19d36bf9c3c63480f1bc135ff5bea97a85d21</ns0:t>
        </ns0:is>
      </ns0:c>
      <ns0:c r="L601" s="3" t="inlineStr">
        <ns0:is>
          <ns0:t>text_readable</ns0:t>
        </ns0:is>
      </ns0:c>
      <ns0:c r="M601" s="3" t="inlineStr"/>
      <ns0:c r="N601" s="3" t="inlineStr"/>
      <ns0:c r="O601" s="3" t="inlineStr">
        <ns0:is>
          <ns0:t>https://github.com/Colliam-Vermilion/FirstCodex/blob/results/ad-oxygen-literature-20261006/results/ad-oxygen-literature-20261006/original_files/R07603/evidence/source_evidence__e88efc55ddeede1a.html</ns0:t>
        </ns0:is>
      </ns0:c>
    </ns0:row>
    <ns0:row r="602" ht="48" customHeight="1">
      <ns0:c r="A602" s="2" t="inlineStr">
        <ns0:is>
          <ns0:t>R13832</ns0:t>
        </ns0:is>
      </ns0:c>
      <ns0:c r="B602" s="2" t="inlineStr">
        <ns0:is>
          <ns0:t>A membrane aerated biofilm reactor for sulfide control from anaerobically treated wastewater.</ns0:t>
        </ns0:is>
      </ns0:c>
      <ns0:c r="C602" s="2" t="inlineStr">
        <ns0:is>
          <ns0:t>10.1080/09593330.2018.1441329</ns0:t>
        </ns0:is>
      </ns0:c>
      <ns0:c r="D602" s="2" t="inlineStr">
        <ns0:is>
          <ns0:t>supplementary</ns0:t>
        </ns0:is>
      </ns0:c>
      <ns0:c r="E602" s="2" t="inlineStr"/>
      <ns0:c r="F602" s="2" t="inlineStr">
        <ns0:is>
          <ns0:t>S1 Figure.docx</ns0:t>
        </ns0:is>
      </ns0:c>
      <ns0:c r="G602" s="2" t="inlineStr">
        <ns0:is>
          <ns0:t>original_files/R13832/supplementary/supplementary__e96c3a31ec7b58d4.docx</ns0:t>
        </ns0:is>
      </ns0:c>
      <ns0:c r="H602" s="2" t="inlineStr">
        <ns0:is>
          <ns0:t>local_upload</ns0:t>
        </ns0:is>
      </ns0:c>
      <ns0:c r="I602" s="2" t="inlineStr">
        <ns0:is>
          <ns0:t>localdownload/R13832/S1 Figure.docx</ns0:t>
        </ns0:is>
      </ns0:c>
      <ns0:c r="J602" s="2" t="n">
        <ns0:v>92704</ns0:v>
      </ns0:c>
      <ns0:c r="K602" s="2" t="inlineStr">
        <ns0:is>
          <ns0:t>e96c3a31ec7b58d4abd3f50b8641c6a5d99bbcaff402f1db257c11cd1201ef63</ns0:t>
        </ns0:is>
      </ns0:c>
      <ns0:c r="L602" s="2" t="inlineStr">
        <ns0:is>
          <ns0:t>container_crc_verified</ns0:t>
        </ns0:is>
      </ns0:c>
      <ns0:c r="M602" s="2" t="inlineStr">
        <ns0:is>
          <ns0:t>directory_and_content_consistent_identity_pending</ns0:t>
        </ns0:is>
      </ns0:c>
      <ns0:c r="N602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602" s="2" t="inlineStr">
        <ns0:is>
          <ns0:t>https://github.com/Colliam-Vermilion/FirstCodex/blob/results/ad-oxygen-literature-20261006/results/ad-oxygen-literature-20261006/original_files/R13832/supplementary/supplementary__e96c3a31ec7b58d4.docx</ns0:t>
        </ns0:is>
      </ns0:c>
    </ns0:row>
    <ns0:row r="603" ht="48" customHeight="1">
      <ns0:c r="A603" s="3" t="inlineStr">
        <ns0:is>
          <ns0:t>R08016</ns0:t>
        </ns0:is>
      </ns0:c>
      <ns0:c r="B603" s="3" t="inlineStr">
        <ns0:is>
          <ns0:t>Micro-Aerobic Pre-Treatment vs. Thermal Pre-Treatment of Waste Activated Sludge for Its Subsequent Anaerobic Digestion in Semi-Continuous Digesters: A Comparative Study</ns0:t>
        </ns0:is>
      </ns0:c>
      <ns0:c r="C603" s="3" t="inlineStr">
        <ns0:is>
          <ns0:t>10.3390/fermentation8100565</ns0:t>
        </ns0:is>
      </ns0:c>
      <ns0:c r="D603" s="3" t="inlineStr">
        <ns0:is>
          <ns0:t>source_evidence</ns0:t>
        </ns0:is>
      </ns0:c>
      <ns0:c r="E603" s="3" t="inlineStr"/>
      <ns0:c r="F603" s="3" t="inlineStr">
        <ns0:is>
          <ns0:t>publisher_article_page_20261017.html</ns0:t>
        </ns0:is>
      </ns0:c>
      <ns0:c r="G603" s="3" t="inlineStr">
        <ns0:is>
          <ns0:t>original_files/R08016/evidence/source_evidence__e9c4e997b1ac35e3.html</ns0:t>
        </ns0:is>
      </ns0:c>
      <ns0:c r="H603" s="3" t="inlineStr">
        <ns0:is>
          <ns0:t>cloud_existing</ns0:t>
        </ns0:is>
      </ns0:c>
      <ns0:c r="I603" s="3" t="inlineStr">
        <ns0:is>
          <ns0:t>original_files/source_evidence/R08016/publisher_article_page_20261017.html</ns0:t>
        </ns0:is>
      </ns0:c>
      <ns0:c r="J603" s="3" t="n">
        <ns0:v>489564</ns0:v>
      </ns0:c>
      <ns0:c r="K603" s="3" t="inlineStr">
        <ns0:is>
          <ns0:t>e9c4e997b1ac35e379f6e3582424a14e7b6f324ef046f17bfa748b52b2e11e15</ns0:t>
        </ns0:is>
      </ns0:c>
      <ns0:c r="L603" s="3" t="inlineStr">
        <ns0:is>
          <ns0:t>text_readable</ns0:t>
        </ns0:is>
      </ns0:c>
      <ns0:c r="M603" s="3" t="inlineStr"/>
      <ns0:c r="N603" s="3" t="inlineStr"/>
      <ns0:c r="O603" s="3" t="inlineStr">
        <ns0:is>
          <ns0:t>https://github.com/Colliam-Vermilion/FirstCodex/blob/results/ad-oxygen-literature-20261006/results/ad-oxygen-literature-20261006/original_files/R08016/evidence/source_evidence__e9c4e997b1ac35e3.html</ns0:t>
        </ns0:is>
      </ns0:c>
    </ns0:row>
    <ns0:row r="604" ht="48" customHeight="1">
      <ns0:c r="A604" s="2" t="inlineStr">
        <ns0:is>
          <ns0:t>R11606</ns0:t>
        </ns0:is>
      </ns0:c>
      <ns0:c r="B604" s="2" t="inlineStr">
        <ns0:is>
          <ns0:t>Food Waste Anaerobic Digestion Under High Organic Loading Rate: Inhibiting Factors, Mechanisms, and Mitigation Strategies</ns0:t>
        </ns0:is>
      </ns0:c>
      <ns0:c r="C604" s="2" t="inlineStr">
        <ns0:is>
          <ns0:t>10.3390/pr13072090</ns0:t>
        </ns0:is>
      </ns0:c>
      <ns0:c r="D604" s="2" t="inlineStr">
        <ns0:is>
          <ns0:t>source_evidence</ns0:t>
        </ns0:is>
      </ns0:c>
      <ns0:c r="E604" s="2" t="inlineStr"/>
      <ns0:c r="F604" s="2" t="inlineStr">
        <ns0:is>
          <ns0:t>publisher_article_page_20261017.html</ns0:t>
        </ns0:is>
      </ns0:c>
      <ns0:c r="G604" s="2" t="inlineStr">
        <ns0:is>
          <ns0:t>original_files/R11606/evidence/source_evidence__e9e2c5d79797af35.html</ns0:t>
        </ns0:is>
      </ns0:c>
      <ns0:c r="H604" s="2" t="inlineStr">
        <ns0:is>
          <ns0:t>cloud_existing</ns0:t>
        </ns0:is>
      </ns0:c>
      <ns0:c r="I604" s="2" t="inlineStr">
        <ns0:is>
          <ns0:t>original_files/source_evidence/R11606/publisher_article_page_20261017.html</ns0:t>
        </ns0:is>
      </ns0:c>
      <ns0:c r="J604" s="2" t="n">
        <ns0:v>908326</ns0:v>
      </ns0:c>
      <ns0:c r="K604" s="2" t="inlineStr">
        <ns0:is>
          <ns0:t>e9e2c5d79797af35c3a0199eec6af9136916d37d3482621139fc6771694efce6</ns0:t>
        </ns0:is>
      </ns0:c>
      <ns0:c r="L604" s="2" t="inlineStr">
        <ns0:is>
          <ns0:t>text_readable</ns0:t>
        </ns0:is>
      </ns0:c>
      <ns0:c r="M604" s="2" t="inlineStr"/>
      <ns0:c r="N604" s="2" t="inlineStr"/>
      <ns0:c r="O604" s="2" t="inlineStr">
        <ns0:is>
          <ns0:t>https://github.com/Colliam-Vermilion/FirstCodex/blob/results/ad-oxygen-literature-20261006/results/ad-oxygen-literature-20261006/original_files/R11606/evidence/source_evidence__e9e2c5d79797af35.html</ns0:t>
        </ns0:is>
      </ns0:c>
    </ns0:row>
    <ns0:row r="605" ht="48" customHeight="1">
      <ns0:c r="A605" s="3" t="inlineStr">
        <ns0:is>
          <ns0:t>R04786</ns0:t>
        </ns0:is>
      </ns0:c>
      <ns0:c r="B605" s="3" t="inlineStr">
        <ns0:is>
          <ns0:t>Enhancing methane production of anaerobic sludge digestion by microaeration: Enzyme activity stimulation, semi-continuous reactor validation and microbial community analysis</ns0:t>
        </ns0:is>
      </ns0:c>
      <ns0:c r="C605" s="3" t="inlineStr">
        <ns0:is>
          <ns0:t>10.1016/j.biortech.2019.121643</ns0:t>
        </ns0:is>
      </ns0:c>
      <ns0:c r="D605" s="3" t="inlineStr">
        <ns0:is>
          <ns0:t>fulltext</ns0:t>
        </ns0:is>
      </ns0:c>
      <ns0:c r="E605" s="3" t="inlineStr">
        <ns0:is>
          <ns0:t>出版版（版式及版权文字）</ns0:t>
        </ns0:is>
      </ns0:c>
      <ns0:c r="F605" s="3" t="inlineStr">
        <ns0:is>
          <ns0:t>fulltext.pdf</ns0:t>
        </ns0:is>
      </ns0:c>
      <ns0:c r="G605" s="3" t="inlineStr">
        <ns0:is>
          <ns0:t>original_files/R04786/fulltext/fulltext__published__ea18005b6cd10f40.pdf</ns0:t>
        </ns0:is>
      </ns0:c>
      <ns0:c r="H605" s="3" t="inlineStr">
        <ns0:is>
          <ns0:t>local_upload</ns0:t>
        </ns0:is>
      </ns0:c>
      <ns0:c r="I605" s="3" t="inlineStr">
        <ns0:is>
          <ns0:t>localdownload/R04786/fulltext.pdf</ns0:t>
        </ns0:is>
      </ns0:c>
      <ns0:c r="J605" s="3" t="n">
        <ns0:v>1151292</ns0:v>
      </ns0:c>
      <ns0:c r="K605" s="3" t="inlineStr">
        <ns0:is>
          <ns0:t>ea18005b6cd10f402de201443be02098d554b7564b6d6aa3cf6713b5c861946c</ns0:t>
        </ns0:is>
      </ns0:c>
      <ns0:c r="L605" s="3" t="inlineStr">
        <ns0:is>
          <ns0:t>identity_and_body_structure_verified</ns0:t>
        </ns0:is>
      </ns0:c>
      <ns0:c r="M605" s="3" t="inlineStr"/>
      <ns0:c r="N605" s="3" t="inlineStr">
        <ns0:is>
          <ns0:t>首页/前两页题名作者或目标DOI核对，全部页面解析及正文结构检查；不据文件名判全文。</ns0:t>
        </ns0:is>
      </ns0:c>
      <ns0:c r="O605" s="3" t="inlineStr">
        <ns0:is>
          <ns0:t>https://github.com/Colliam-Vermilion/FirstCodex/blob/results/ad-oxygen-literature-20261006/results/ad-oxygen-literature-20261006/original_files/R04786/fulltext/fulltext__published__ea18005b6cd10f40.pdf</ns0:t>
        </ns0:is>
      </ns0:c>
    </ns0:row>
    <ns0:row r="606" ht="48" customHeight="1">
      <ns0:c r="A606" s="2" t="inlineStr">
        <ns0:is>
          <ns0:t>R03161</ns0:t>
        </ns0:is>
      </ns0:c>
      <ns0:c r="B606" s="2" t="inlineStr">
        <ns0:is>
          <ns0:t>Effect of liquid surface area on hydrogen sulfide oxidation during micro-aeration in dairy manure digesters</ns0:t>
        </ns0:is>
      </ns0:c>
      <ns0:c r="C606" s="2" t="inlineStr">
        <ns0:is>
          <ns0:t>10.1371/journal.pone.0185738</ns0:t>
        </ns0:is>
      </ns0:c>
      <ns0:c r="D606" s="2" t="inlineStr">
        <ns0:is>
          <ns0:t>fulltext</ns0:t>
        </ns0:is>
      </ns0:c>
      <ns0:c r="E606" s="2" t="inlineStr">
        <ns0:is>
          <ns0:t>出版版本（原页出版信息）</ns0:t>
        </ns0:is>
      </ns0:c>
      <ns0:c r="F606" s="2" t="inlineStr">
        <ns0:is>
          <ns0:t>R03161_2017_Effect_of_liquid_surface_area_on_hydrogen_sulfide_oxidation.pdf</ns0:t>
        </ns0:is>
      </ns0:c>
      <ns0:c r="G606" s="2" t="inlineStr">
        <ns0:is>
          <ns0:t>original_files/R03161/fulltext/fulltext__published__ea90043284b5a305.pdf</ns0:t>
        </ns0:is>
      </ns0:c>
      <ns0:c r="H606" s="2" t="inlineStr">
        <ns0:is>
          <ns0:t>cloud_existing</ns0:t>
        </ns0:is>
      </ns0:c>
      <ns0:c r="I606" s="2" t="inlineStr">
        <ns0:is>
          <ns0:t>original_files/fulltext/R03161_2017_Effect_of_liquid_surface_area_on_hydrogen_sulfide_oxidation.pdf</ns0:t>
        </ns0:is>
      </ns0:c>
      <ns0:c r="J606" s="2" t="n">
        <ns0:v>7919798</ns0:v>
      </ns0:c>
      <ns0:c r="K606" s="2" t="inlineStr">
        <ns0:is>
          <ns0:t>ea90043284b5a305ea2567b3fd65909a17585eeb08bfccd84be2c51df7c90453</ns0:t>
        </ns0:is>
      </ns0:c>
      <ns0:c r="L606" s="2" t="inlineStr">
        <ns0:is>
          <ns0:t>identity_and_body_structure_verified</ns0:t>
        </ns0:is>
      </ns0:c>
      <ns0:c r="M606" s="2" t="inlineStr"/>
      <ns0:c r="N606" s="2" t="inlineStr">
        <ns0:is>
          <ns0:t>首页/前两页题名作者或目标DOI核对，全部页面解析及正文结构检查；不据文件名判全文。</ns0:t>
        </ns0:is>
      </ns0:c>
      <ns0:c r="O606" s="2" t="inlineStr">
        <ns0:is>
          <ns0:t>https://github.com/Colliam-Vermilion/FirstCodex/blob/results/ad-oxygen-literature-20261006/results/ad-oxygen-literature-20261006/original_files/R03161/fulltext/fulltext__published__ea90043284b5a305.pdf</ns0:t>
        </ns0:is>
      </ns0:c>
    </ns0:row>
    <ns0:row r="607" ht="48" customHeight="1">
      <ns0:c r="A607" s="3" t="inlineStr">
        <ns0:is>
          <ns0:t>R13818</ns0:t>
        </ns0:is>
      </ns0:c>
      <ns0:c r="B607" s="3" t="inlineStr">
        <ns0:is>
          <ns0:t>Influence of raw sludge quality on the efficiency of microaerobic sulfide removal during anaerobic digestion of sewage sludge</ns0:t>
        </ns0:is>
      </ns0:c>
      <ns0:c r="C607" s="3" t="inlineStr"/>
      <ns0:c r="D607" s="3" t="inlineStr">
        <ns0:is>
          <ns0:t>fulltext</ns0:t>
        </ns0:is>
      </ns0:c>
      <ns0:c r="E607" s="3" t="inlineStr">
        <ns0:is>
          <ns0:t>出版版（版式及版权文字）</ns0:t>
        </ns0:is>
      </ns0:c>
      <ns0:c r="F607" s="3" t="inlineStr">
        <ns0:is>
          <ns0:t>fulltext.pdf</ns0:t>
        </ns0:is>
      </ns0:c>
      <ns0:c r="G607" s="3" t="inlineStr">
        <ns0:is>
          <ns0:t>original_files/R13818/fulltext/fulltext__published__ea9ad5deb641605b.pdf</ns0:t>
        </ns0:is>
      </ns0:c>
      <ns0:c r="H607" s="3" t="inlineStr">
        <ns0:is>
          <ns0:t>local_upload</ns0:t>
        </ns0:is>
      </ns0:c>
      <ns0:c r="I607" s="3" t="inlineStr">
        <ns0:is>
          <ns0:t>localdownload/R13818/fulltext.pdf</ns0:t>
        </ns0:is>
      </ns0:c>
      <ns0:c r="J607" s="3" t="n">
        <ns0:v>787729</ns0:v>
      </ns0:c>
      <ns0:c r="K607" s="3" t="inlineStr">
        <ns0:is>
          <ns0:t>ea9ad5deb641605b10ffc6090757138c7d7b5dce64942447457a995ee34ee16b</ns0:t>
        </ns0:is>
      </ns0:c>
      <ns0:c r="L607" s="3" t="inlineStr">
        <ns0:is>
          <ns0:t>identity_and_body_structure_verified</ns0:t>
        </ns0:is>
      </ns0:c>
      <ns0:c r="M607" s="3" t="inlineStr"/>
      <ns0:c r="N607" s="3" t="inlineStr">
        <ns0:is>
          <ns0:t>首页/前两页题名作者或目标DOI核对，全部页面解析及正文结构检查；不据文件名判全文。</ns0:t>
        </ns0:is>
      </ns0:c>
      <ns0:c r="O607" s="3" t="inlineStr">
        <ns0:is>
          <ns0:t>https://github.com/Colliam-Vermilion/FirstCodex/blob/results/ad-oxygen-literature-20261006/results/ad-oxygen-literature-20261006/original_files/R13818/fulltext/fulltext__published__ea9ad5deb641605b.pdf</ns0:t>
        </ns0:is>
      </ns0:c>
    </ns0:row>
    <ns0:row r="608" ht="48" customHeight="1">
      <ns0:c r="A608" s="2" t="inlineStr">
        <ns0:is>
          <ns0:t>R13913</ns0:t>
        </ns0:is>
      </ns0:c>
      <ns0:c r="B608" s="2" t="inlineStr">
        <ns0:is>
          <ns0:t>Microaerobic bio-pretreatment of straw with fermentation broth as inoculum: Enhancing hydrolysis-acidification efficiency</ns0:t>
        </ns0:is>
      </ns0:c>
      <ns0:c r="C608" s="2" t="inlineStr">
        <ns0:is>
          <ns0:t>10.1016/j.procbio.2026.01.005</ns0:t>
        </ns0:is>
      </ns0:c>
      <ns0:c r="D608" s="2" t="inlineStr">
        <ns0:is>
          <ns0:t>supplementary</ns0:t>
        </ns0:is>
      </ns0:c>
      <ns0:c r="E608" s="2" t="inlineStr"/>
      <ns0:c r="F608" s="2" t="inlineStr">
        <ns0:is>
          <ns0:t>supplementary.docx</ns0:t>
        </ns0:is>
      </ns0:c>
      <ns0:c r="G608" s="2" t="inlineStr">
        <ns0:is>
          <ns0:t>original_files/R13913/supplementary/supplementary__eac1ff89e5ac698b.docx</ns0:t>
        </ns0:is>
      </ns0:c>
      <ns0:c r="H608" s="2" t="inlineStr">
        <ns0:is>
          <ns0:t>local_upload</ns0:t>
        </ns0:is>
      </ns0:c>
      <ns0:c r="I608" s="2" t="inlineStr">
        <ns0:is>
          <ns0:t>localdownload/R13913/supplementary.docx</ns0:t>
        </ns0:is>
      </ns0:c>
      <ns0:c r="J608" s="2" t="n">
        <ns0:v>24127</ns0:v>
      </ns0:c>
      <ns0:c r="K608" s="2" t="inlineStr">
        <ns0:is>
          <ns0:t>eac1ff89e5ac698b1bfa38ddfb5174da557d30a1f1a13ad1fe0a7e28bb75a248</ns0:t>
        </ns0:is>
      </ns0:c>
      <ns0:c r="L608" s="2" t="inlineStr">
        <ns0:is>
          <ns0:t>container_crc_verified</ns0:t>
        </ns0:is>
      </ns0:c>
      <ns0:c r="M608" s="2" t="inlineStr">
        <ns0:is>
          <ns0:t>directory_and_content_consistent_identity_pending</ns0:t>
        </ns0:is>
      </ns0:c>
      <ns0:c r="N608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608" s="2" t="inlineStr">
        <ns0:is>
          <ns0:t>https://github.com/Colliam-Vermilion/FirstCodex/blob/results/ad-oxygen-literature-20261006/results/ad-oxygen-literature-20261006/original_files/R13913/supplementary/supplementary__eac1ff89e5ac698b.docx</ns0:t>
        </ns0:is>
      </ns0:c>
    </ns0:row>
    <ns0:row r="609" ht="48" customHeight="1">
      <ns0:c r="A609" s="3" t="inlineStr">
        <ns0:is>
          <ns0:t>R10393</ns0:t>
        </ns0:is>
      </ns0:c>
      <ns0:c r="B609" s="3" t="inlineStr">
        <ns0:is>
          <ns0:t>Insights into current bio-processes and future perspectives of carbon-neutral treatment of industrial organic wastewater: A critical review</ns0:t>
        </ns0:is>
      </ns0:c>
      <ns0:c r="C609" s="3" t="inlineStr">
        <ns0:is>
          <ns0:t>10.1016/j.envres.2023.117630</ns0:t>
        </ns0:is>
      </ns0:c>
      <ns0:c r="D609" s="3" t="inlineStr">
        <ns0:is>
          <ns0:t>fulltext</ns0:t>
        </ns0:is>
      </ns0:c>
      <ns0:c r="E609" s="3" t="inlineStr">
        <ns0:is>
          <ns0:t>出版版（版式及版权文字）</ns0:t>
        </ns0:is>
      </ns0:c>
      <ns0:c r="F609" s="3" t="inlineStr">
        <ns0:is>
          <ns0:t>fulltext.pdf</ns0:t>
        </ns0:is>
      </ns0:c>
      <ns0:c r="G609" s="3" t="inlineStr">
        <ns0:is>
          <ns0:t>original_files/R10393/fulltext/fulltext__published__ead73733800a5c1f.pdf</ns0:t>
        </ns0:is>
      </ns0:c>
      <ns0:c r="H609" s="3" t="inlineStr">
        <ns0:is>
          <ns0:t>local_upload</ns0:t>
        </ns0:is>
      </ns0:c>
      <ns0:c r="I609" s="3" t="inlineStr">
        <ns0:is>
          <ns0:t>localdownload/R10393/fulltext.pdf</ns0:t>
        </ns0:is>
      </ns0:c>
      <ns0:c r="J609" s="3" t="n">
        <ns0:v>7592527</ns0:v>
      </ns0:c>
      <ns0:c r="K609" s="3" t="inlineStr">
        <ns0:is>
          <ns0:t>ead73733800a5c1f23475976f10e7d2d909656fce798df5ad18a1eb841f9093d</ns0:t>
        </ns0:is>
      </ns0:c>
      <ns0:c r="L609" s="3" t="inlineStr">
        <ns0:is>
          <ns0:t>identity_and_body_structure_verified</ns0:t>
        </ns0:is>
      </ns0:c>
      <ns0:c r="M609" s="3" t="inlineStr"/>
      <ns0:c r="N609" s="3" t="inlineStr">
        <ns0:is>
          <ns0:t>首页/前两页题名作者或目标DOI核对，全部页面解析及正文结构检查；不据文件名判全文。</ns0:t>
        </ns0:is>
      </ns0:c>
      <ns0:c r="O609" s="3" t="inlineStr">
        <ns0:is>
          <ns0:t>https://github.com/Colliam-Vermilion/FirstCodex/blob/results/ad-oxygen-literature-20261006/results/ad-oxygen-literature-20261006/original_files/R10393/fulltext/fulltext__published__ead73733800a5c1f.pdf</ns0:t>
        </ns0:is>
      </ns0:c>
    </ns0:row>
    <ns0:row r="610" ht="48" customHeight="1">
      <ns0:c r="A610" s="2" t="inlineStr">
        <ns0:is>
          <ns0:t>R13086</ns0:t>
        </ns0:is>
      </ns0:c>
      <ns0:c r="B610" s="2" t="inlineStr">
        <ns0:is>
          <ns0:t>Hydrodynamic regulation drives azo dye transformation and hydrolysis acidification by reshaping microbial metabolism in the micro-aerobic hydrolysis acidification reactor</ns0:t>
        </ns0:is>
      </ns0:c>
      <ns0:c r="C610" s="2" t="inlineStr">
        <ns0:is>
          <ns0:t>10.1016/j.jhazmat.2026.143745</ns0:t>
        </ns0:is>
      </ns0:c>
      <ns0:c r="D610" s="2" t="inlineStr">
        <ns0:is>
          <ns0:t>fulltext</ns0:t>
        </ns0:is>
      </ns0:c>
      <ns0:c r="E610" s="2" t="inlineStr">
        <ns0:is>
          <ns0:t>出版版（版式及版权文字）</ns0:t>
        </ns0:is>
      </ns0:c>
      <ns0:c r="F610" s="2" t="inlineStr">
        <ns0:is>
          <ns0:t>fulltext.pdf</ns0:t>
        </ns0:is>
      </ns0:c>
      <ns0:c r="G610" s="2" t="inlineStr">
        <ns0:is>
          <ns0:t>original_files/R13086/fulltext/fulltext__published__ebdb6762b8ec6d74.pdf</ns0:t>
        </ns0:is>
      </ns0:c>
      <ns0:c r="H610" s="2" t="inlineStr">
        <ns0:is>
          <ns0:t>local_upload</ns0:t>
        </ns0:is>
      </ns0:c>
      <ns0:c r="I610" s="2" t="inlineStr">
        <ns0:is>
          <ns0:t>localdownload/R13086/fulltext.pdf</ns0:t>
        </ns0:is>
      </ns0:c>
      <ns0:c r="J610" s="2" t="n">
        <ns0:v>11525465</ns0:v>
      </ns0:c>
      <ns0:c r="K610" s="2" t="inlineStr">
        <ns0:is>
          <ns0:t>ebdb6762b8ec6d740707d64423781212e0c6f83e19caf005f82db113608e644b</ns0:t>
        </ns0:is>
      </ns0:c>
      <ns0:c r="L610" s="2" t="inlineStr">
        <ns0:is>
          <ns0:t>identity_and_body_structure_verified</ns0:t>
        </ns0:is>
      </ns0:c>
      <ns0:c r="M610" s="2" t="inlineStr"/>
      <ns0:c r="N610" s="2" t="inlineStr">
        <ns0:is>
          <ns0:t>首页/前两页题名作者或目标DOI核对，全部页面解析及正文结构检查；不据文件名判全文。</ns0:t>
        </ns0:is>
      </ns0:c>
      <ns0:c r="O610" s="2" t="inlineStr">
        <ns0:is>
          <ns0:t>https://github.com/Colliam-Vermilion/FirstCodex/blob/results/ad-oxygen-literature-20261006/results/ad-oxygen-literature-20261006/original_files/R13086/fulltext/fulltext__published__ebdb6762b8ec6d74.pdf</ns0:t>
        </ns0:is>
      </ns0:c>
    </ns0:row>
    <ns0:row r="611" ht="48" customHeight="1">
      <ns0:c r="A611" s="3" t="inlineStr">
        <ns0:is>
          <ns0:t>R02585</ns0:t>
        </ns0:is>
      </ns0:c>
      <ns0:c r="B611" s="3" t="inlineStr">
        <ns0:is>
          <ns0:t>In situ Removal of Hydrogen Sulfide During Biogas Fermentation at Microaerobic Condition</ns0:t>
        </ns0:is>
      </ns0:c>
      <ns0:c r="C611" s="3" t="inlineStr">
        <ns0:is>
          <ns0:t>10.1007/s12010-016-2135-3</ns0:t>
        </ns0:is>
      </ns0:c>
      <ns0:c r="D611" s="3" t="inlineStr">
        <ns0:is>
          <ns0:t>fulltext</ns0:t>
        </ns0:is>
      </ns0:c>
      <ns0:c r="E611" s="3" t="inlineStr">
        <ns0:is>
          <ns0:t>出版版（版式及版权文字）</ns0:t>
        </ns0:is>
      </ns0:c>
      <ns0:c r="F611" s="3" t="inlineStr">
        <ns0:is>
          <ns0:t>fulltext.pdf</ns0:t>
        </ns0:is>
      </ns0:c>
      <ns0:c r="G611" s="3" t="inlineStr">
        <ns0:is>
          <ns0:t>original_files/R02585/fulltext/fulltext__published__ece7fec3277a694d.pdf</ns0:t>
        </ns0:is>
      </ns0:c>
      <ns0:c r="H611" t="inlineStr">
        <ns0:is>
          <ns0:t>local_upload; main@ab8353c误传副本</ns0:t>
        </ns0:is>
      </ns0:c>
      <ns0:c r="I611" t="inlineStr">
        <ns0:is>
          <ns0:t>localdownload/R02585/fulltext.pdf; main@ab8353c:R02585/fulltext.pdf</ns0:t>
        </ns0:is>
      </ns0:c>
      <ns0:c r="J611" s="3" t="n">
        <ns0:v>659047</ns0:v>
      </ns0:c>
      <ns0:c r="K611" s="3" t="inlineStr">
        <ns0:is>
          <ns0:t>ece7fec3277a694dcd08802e923d5bc08707b6ecb484f91830cb11a4060b51d6</ns0:t>
        </ns0:is>
      </ns0:c>
      <ns0:c r="L611" s="3" t="inlineStr">
        <ns0:is>
          <ns0:t>identity_and_body_structure_verified</ns0:t>
        </ns0:is>
      </ns0:c>
      <ns0:c r="M611" s="3" t="inlineStr"/>
      <ns0:c r="N611" s="3" t="inlineStr">
        <ns0:is>
          <ns0:t>首页/前两页题名作者或目标DOI核对，全部页面解析及正文结构检查；不据文件名判全文。</ns0:t>
        </ns0:is>
      </ns0:c>
      <ns0:c r="O611" s="3" t="inlineStr">
        <ns0:is>
          <ns0:t>https://github.com/Colliam-Vermilion/FirstCodex/blob/results/ad-oxygen-literature-20261006/results/ad-oxygen-literature-20261006/original_files/R02585/fulltext/fulltext__published__ece7fec3277a694d.pdf</ns0:t>
        </ns0:is>
      </ns0:c>
    </ns0:row>
    <ns0:row r="612" ht="48" customHeight="1">
      <ns0:c r="A612" s="2" t="inlineStr">
        <ns0:is>
          <ns0:t>R13968</ns0:t>
        </ns0:is>
      </ns0:c>
      <ns0:c r="B612" s="2" t="inlineStr">
        <ns0:is>
          <ns0:t>Enhancement of separate hydrogen and methane production from ethanol wastewater by Microaeration</ns0:t>
        </ns0:is>
      </ns0:c>
      <ns0:c r="C612" s="2" t="inlineStr">
        <ns0:is>
          <ns0:t>10.58837/chula.the.2015.1957</ns0:t>
        </ns0:is>
      </ns0:c>
      <ns0:c r="D612" s="2" t="inlineStr">
        <ns0:is>
          <ns0:t>fulltext</ns0:t>
        </ns0:is>
      </ns0:c>
      <ns0:c r="E612" s="2" t="inlineStr">
        <ns0:is>
          <ns0:t>学位/学生报告原稿（分章节者按组）</ns0:t>
        </ns0:is>
      </ns0:c>
      <ns0:c r="F612" s="2" t="inlineStr">
        <ns0:is>
          <ns0:t>R13968_Nhatthaphon_sr_ch1_p.pdf</ns0:t>
        </ns0:is>
      </ns0:c>
      <ns0:c r="G612" s="2" t="inlineStr">
        <ns0:is>
          <ns0:t>original_files/R13968/fulltext/fulltext__thesis__ed6af2c70fa34cca.pdf</ns0:t>
        </ns0:is>
      </ns0:c>
      <ns0:c r="H612" s="2" t="inlineStr">
        <ns0:is>
          <ns0:t>cloud_existing</ns0:t>
        </ns0:is>
      </ns0:c>
      <ns0:c r="I612" s="2" t="inlineStr">
        <ns0:is>
          <ns0:t>original_files/fulltext/R13968_Nhatthaphon_sr_ch1_p.pdf</ns0:t>
        </ns0:is>
      </ns0:c>
      <ns0:c r="J612" s="2" t="n">
        <ns0:v>657184</ns0:v>
      </ns0:c>
      <ns0:c r="K612" s="2" t="inlineStr">
        <ns0:is>
          <ns0:t>ed6af2c70fa34ccadfc217ee28e24971d899d99a19d6933f0e377e371c70e59e</ns0:t>
        </ns0:is>
      </ns0:c>
      <ns0:c r="L612" s="2" t="inlineStr">
        <ns0:is>
          <ns0:t>complete_multipart_thesis_group_verified</ns0:t>
        </ns0:is>
      </ns0:c>
      <ns0:c r="M612" s="2" t="inlineStr"/>
      <ns0:c r="N612" s="2" t="inlineStr">
        <ns0:is>
          <ns0:t>七部分学位原件，沿用既有按题名/仓储ID/章节连续性人工核验；本轮全部7部分存在、SHA与页对象可读，组合计1篇，单个章节不单独计全文。</ns0:t>
        </ns0:is>
      </ns0:c>
      <ns0:c r="O612" s="2" t="inlineStr">
        <ns0:is>
          <ns0:t>https://github.com/Colliam-Vermilion/FirstCodex/blob/results/ad-oxygen-literature-20261006/results/ad-oxygen-literature-20261006/original_files/R13968/fulltext/fulltext__thesis__ed6af2c70fa34cca.pdf</ns0:t>
        </ns0:is>
      </ns0:c>
    </ns0:row>
    <ns0:row r="613" ht="48" customHeight="1">
      <ns0:c r="A613" s="3" t="inlineStr">
        <ns0:is>
          <ns0:t>R13882</ns0:t>
        </ns0:is>
      </ns0:c>
      <ns0:c r="B613" s="3" t="inlineStr">
        <ns0:is>
          <ns0:t>Practical approaches for retrofitting plug flow digester and process control to maximize hydrolysis and methane yield from piggery waste</ns0:t>
        </ns0:is>
      </ns0:c>
      <ns0:c r="C613" s="3" t="inlineStr">
        <ns0:is>
          <ns0:t>10.1016/j.jece.2021.105620</ns0:t>
        </ns0:is>
      </ns0:c>
      <ns0:c r="D613" s="3" t="inlineStr">
        <ns0:is>
          <ns0:t>fulltext</ns0:t>
        </ns0:is>
      </ns0:c>
      <ns0:c r="E613" s="3" t="inlineStr">
        <ns0:is>
          <ns0:t>出版版（版式及版权文字）</ns0:t>
        </ns0:is>
      </ns0:c>
      <ns0:c r="F613" s="3" t="inlineStr">
        <ns0:is>
          <ns0:t>fulltext.pdf</ns0:t>
        </ns0:is>
      </ns0:c>
      <ns0:c r="G613" s="3" t="inlineStr">
        <ns0:is>
          <ns0:t>original_files/R13882/fulltext/fulltext__published__eda4f24c51907cc0.pdf</ns0:t>
        </ns0:is>
      </ns0:c>
      <ns0:c r="H613" s="3" t="inlineStr">
        <ns0:is>
          <ns0:t>local_upload</ns0:t>
        </ns0:is>
      </ns0:c>
      <ns0:c r="I613" s="3" t="inlineStr">
        <ns0:is>
          <ns0:t>localdownload/R13882/fulltext.pdf</ns0:t>
        </ns0:is>
      </ns0:c>
      <ns0:c r="J613" s="3" t="n">
        <ns0:v>5712878</ns0:v>
      </ns0:c>
      <ns0:c r="K613" s="3" t="inlineStr">
        <ns0:is>
          <ns0:t>eda4f24c51907cc0e891951d35044e2a6dd62e9d20089963f53c14d6a313be22</ns0:t>
        </ns0:is>
      </ns0:c>
      <ns0:c r="L613" s="3" t="inlineStr">
        <ns0:is>
          <ns0:t>identity_and_body_structure_verified</ns0:t>
        </ns0:is>
      </ns0:c>
      <ns0:c r="M613" s="3" t="inlineStr"/>
      <ns0:c r="N613" s="3" t="inlineStr">
        <ns0:is>
          <ns0:t>首页/前两页题名作者或目标DOI核对，全部页面解析及正文结构检查；不据文件名判全文。</ns0:t>
        </ns0:is>
      </ns0:c>
      <ns0:c r="O613" s="3" t="inlineStr">
        <ns0:is>
          <ns0:t>https://github.com/Colliam-Vermilion/FirstCodex/blob/results/ad-oxygen-literature-20261006/results/ad-oxygen-literature-20261006/original_files/R13882/fulltext/fulltext__published__eda4f24c51907cc0.pdf</ns0:t>
        </ns0:is>
      </ns0:c>
    </ns0:row>
    <ns0:row r="614" ht="48" customHeight="1">
      <ns0:c r="A614" s="2" t="inlineStr">
        <ns0:is>
          <ns0:t>R13912</ns0:t>
        </ns0:is>
      </ns0:c>
      <ns0:c r="B614" s="2" t="inlineStr">
        <ns0:is>
          <ns0:t>The effects and underlying mechanisms of composting and extrusion pretreatment on anaerobic biogas production from wheat straw</ns0:t>
        </ns0:is>
      </ns0:c>
      <ns0:c r="C614" s="2" t="inlineStr">
        <ns0:is>
          <ns0:t>10.1080/09593330.2026.2727085</ns0:t>
        </ns0:is>
      </ns0:c>
      <ns0:c r="D614" s="2" t="inlineStr">
        <ns0:is>
          <ns0:t>fulltext</ns0:t>
        </ns0:is>
      </ns0:c>
      <ns0:c r="E614" s="2" t="inlineStr">
        <ns0:is>
          <ns0:t>出版版（版式及版权文字）</ns0:t>
        </ns0:is>
      </ns0:c>
      <ns0:c r="F614" s="2" t="inlineStr">
        <ns0:is>
          <ns0:t>fulltext.pdf</ns0:t>
        </ns0:is>
      </ns0:c>
      <ns0:c r="G614" s="2" t="inlineStr">
        <ns0:is>
          <ns0:t>original_files/R13912/fulltext/fulltext__published__edc88a607abf1aae.pdf</ns0:t>
        </ns0:is>
      </ns0:c>
      <ns0:c r="H614" s="2" t="inlineStr">
        <ns0:is>
          <ns0:t>local_upload</ns0:t>
        </ns0:is>
      </ns0:c>
      <ns0:c r="I614" s="2" t="inlineStr">
        <ns0:is>
          <ns0:t>localdownload/R13912/fulltext.pdf</ns0:t>
        </ns0:is>
      </ns0:c>
      <ns0:c r="J614" s="2" t="n">
        <ns0:v>1358815</ns0:v>
      </ns0:c>
      <ns0:c r="K614" s="2" t="inlineStr">
        <ns0:is>
          <ns0:t>edc88a607abf1aaefd052c58fd0f00f721edebb2b455be9901fa1ee56b63833c</ns0:t>
        </ns0:is>
      </ns0:c>
      <ns0:c r="L614" s="2" t="inlineStr">
        <ns0:is>
          <ns0:t>identity_and_body_structure_verified</ns0:t>
        </ns0:is>
      </ns0:c>
      <ns0:c r="M614" s="2" t="inlineStr"/>
      <ns0:c r="N614" s="2" t="inlineStr">
        <ns0:is>
          <ns0:t>首页/前两页题名作者或目标DOI核对，全部页面解析及正文结构检查；不据文件名判全文。</ns0:t>
        </ns0:is>
      </ns0:c>
      <ns0:c r="O614" s="2" t="inlineStr">
        <ns0:is>
          <ns0:t>https://github.com/Colliam-Vermilion/FirstCodex/blob/results/ad-oxygen-literature-20261006/results/ad-oxygen-literature-20261006/original_files/R13912/fulltext/fulltext__published__edc88a607abf1aae.pdf</ns0:t>
        </ns0:is>
      </ns0:c>
    </ns0:row>
    <ns0:row r="615" ht="48" customHeight="1">
      <ns0:c r="A615" s="3" t="inlineStr">
        <ns0:is>
          <ns0:t>R06681</ns0:t>
        </ns0:is>
      </ns0:c>
      <ns0:c r="B615" s="3" t="inlineStr">
        <ns0:is>
          <ns0:t>Enhancing anaerobic digestion of agricultural residues by microaerobic conditions</ns0:t>
        </ns0:is>
      </ns0:c>
      <ns0:c r="C615" s="3" t="inlineStr">
        <ns0:is>
          <ns0:t>10.1007/s13399-019-00430-4</ns0:t>
        </ns0:is>
      </ns0:c>
      <ns0:c r="D615" s="3" t="inlineStr">
        <ns0:is>
          <ns0:t>supplementary</ns0:t>
        </ns0:is>
      </ns0:c>
      <ns0:c r="E615" s="3" t="inlineStr"/>
      <ns0:c r="F615" s="3" t="inlineStr">
        <ns0:is>
          <ns0:t>supplementary.docx</ns0:t>
        </ns0:is>
      </ns0:c>
      <ns0:c r="G615" s="3" t="inlineStr">
        <ns0:is>
          <ns0:t>original_files/R06681/supplementary/supplementary__ee3e5a378a23e173.docx</ns0:t>
        </ns0:is>
      </ns0:c>
      <ns0:c r="H615" s="3" t="inlineStr">
        <ns0:is>
          <ns0:t>local_upload</ns0:t>
        </ns0:is>
      </ns0:c>
      <ns0:c r="I615" s="3" t="inlineStr">
        <ns0:is>
          <ns0:t>localdownload/R06681/supplementary.docx</ns0:t>
        </ns0:is>
      </ns0:c>
      <ns0:c r="J615" s="3" t="n">
        <ns0:v>22679</ns0:v>
      </ns0:c>
      <ns0:c r="K615" s="3" t="inlineStr">
        <ns0:is>
          <ns0:t>ee3e5a378a23e173e5e8d3a5af7435bade43f368d64001504d7b86b929caf3e8</ns0:t>
        </ns0:is>
      </ns0:c>
      <ns0:c r="L615" s="3" t="inlineStr">
        <ns0:is>
          <ns0:t>container_crc_verified</ns0:t>
        </ns0:is>
      </ns0:c>
      <ns0:c r="M615" s="3" t="inlineStr">
        <ns0:is>
          <ns0:t>title_in_attachment_verified</ns0:t>
        </ns0:is>
      </ns0:c>
      <ns0:c r="N615" s="3" t="inlineStr"/>
      <ns0:c r="O615" s="3" t="inlineStr">
        <ns0:is>
          <ns0:t>https://github.com/Colliam-Vermilion/FirstCodex/blob/results/ad-oxygen-literature-20261006/results/ad-oxygen-literature-20261006/original_files/R06681/supplementary/supplementary__ee3e5a378a23e173.docx</ns0:t>
        </ns0:is>
      </ns0:c>
    </ns0:row>
    <ns0:row r="616" ht="48" customHeight="1">
      <ns0:c r="A616" s="2" t="inlineStr">
        <ns0:is>
          <ns0:t>R01985</ns0:t>
        </ns0:is>
      </ns0:c>
      <ns0:c r="B616" s="2" t="inlineStr">
        <ns0:is>
          <ns0:t>Microaeration for hydrogen sulfide removal during anaerobic treatment: a review</ns0:t>
        </ns0:is>
      </ns0:c>
      <ns0:c r="C616" s="2" t="inlineStr">
        <ns0:is>
          <ns0:t>10.1007/s11157-015-9386-2</ns0:t>
        </ns0:is>
      </ns0:c>
      <ns0:c r="D616" s="2" t="inlineStr">
        <ns0:is>
          <ns0:t>fulltext</ns0:t>
        </ns0:is>
      </ns0:c>
      <ns0:c r="E616" s="2" t="inlineStr">
        <ns0:is>
          <ns0:t>出版版（版式及版权文字）</ns0:t>
        </ns0:is>
      </ns0:c>
      <ns0:c r="F616" s="2" t="inlineStr">
        <ns0:is>
          <ns0:t>fulltext.pdf</ns0:t>
        </ns0:is>
      </ns0:c>
      <ns0:c r="G616" s="2" t="inlineStr">
        <ns0:is>
          <ns0:t>original_files/R01985/fulltext/fulltext__published__eefabc47a4bbce22.pdf</ns0:t>
        </ns0:is>
      </ns0:c>
      <ns0:c r="H616" s="2" t="inlineStr">
        <ns0:is>
          <ns0:t>local_upload</ns0:t>
        </ns0:is>
      </ns0:c>
      <ns0:c r="I616" s="2" t="inlineStr">
        <ns0:is>
          <ns0:t>localdownload/R01985/fulltext.pdf</ns0:t>
        </ns0:is>
      </ns0:c>
      <ns0:c r="J616" s="2" t="n">
        <ns0:v>727252</ns0:v>
      </ns0:c>
      <ns0:c r="K616" s="2" t="inlineStr">
        <ns0:is>
          <ns0:t>eefabc47a4bbce224649f5d8b317eeb9038eeac40b47b9d6f0d61b7b5ba5c62e</ns0:t>
        </ns0:is>
      </ns0:c>
      <ns0:c r="L616" s="2" t="inlineStr">
        <ns0:is>
          <ns0:t>identity_and_body_structure_verified</ns0:t>
        </ns0:is>
      </ns0:c>
      <ns0:c r="M616" s="2" t="inlineStr"/>
      <ns0:c r="N616" s="2" t="inlineStr">
        <ns0:is>
          <ns0:t>首页/前两页题名作者或目标DOI核对，全部页面解析及正文结构检查；不据文件名判全文。</ns0:t>
        </ns0:is>
      </ns0:c>
      <ns0:c r="O616" s="2" t="inlineStr">
        <ns0:is>
          <ns0:t>https://github.com/Colliam-Vermilion/FirstCodex/blob/results/ad-oxygen-literature-20261006/results/ad-oxygen-literature-20261006/original_files/R01985/fulltext/fulltext__published__eefabc47a4bbce22.pdf</ns0:t>
        </ns0:is>
      </ns0:c>
    </ns0:row>
    <ns0:row r="617" ht="48" customHeight="1">
      <ns0:c r="A617" s="3" t="inlineStr">
        <ns0:is>
          <ns0:t>R01212</ns0:t>
        </ns0:is>
      </ns0:c>
      <ns0:c r="B617" s="3" t="inlineStr">
        <ns0:is>
          <ns0:t>Effects of Pre-aeration on the Anaerobic Digestion of Sewage Sludge</ns0:t>
        </ns0:is>
      </ns0:c>
      <ns0:c r="C617" s="3" t="inlineStr">
        <ns0:is>
          <ns0:t>10.4491/eer.2014.19.1.059</ns0:t>
        </ns0:is>
      </ns0:c>
      <ns0:c r="D617" s="3" t="inlineStr">
        <ns0:is>
          <ns0:t>fulltext</ns0:t>
        </ns0:is>
      </ns0:c>
      <ns0:c r="E617" s="3" t="inlineStr">
        <ns0:is>
          <ns0:t>出版版本（原页出版信息）</ns0:t>
        </ns0:is>
      </ns0:c>
      <ns0:c r="F617" s="3" t="inlineStr">
        <ns0:is>
          <ns0:t>R01212_2014_Effects_of_Pre-aeration_on_the_Anaerobic_Digestion_of_Sewage.pdf</ns0:t>
        </ns0:is>
      </ns0:c>
      <ns0:c r="G617" s="3" t="inlineStr">
        <ns0:is>
          <ns0:t>original_files/R01212/fulltext/fulltext__published__ef235fcb491d4749.pdf</ns0:t>
        </ns0:is>
      </ns0:c>
      <ns0:c r="H617" s="3" t="inlineStr">
        <ns0:is>
          <ns0:t>cloud_existing</ns0:t>
        </ns0:is>
      </ns0:c>
      <ns0:c r="I617" s="3" t="inlineStr">
        <ns0:is>
          <ns0:t>original_files/fulltext/R01212_2014_Effects_of_Pre-aeration_on_the_Anaerobic_Digestion_of_Sewage.pdf</ns0:t>
        </ns0:is>
      </ns0:c>
      <ns0:c r="J617" s="3" t="n">
        <ns0:v>773976</ns0:v>
      </ns0:c>
      <ns0:c r="K617" s="3" t="inlineStr">
        <ns0:is>
          <ns0:t>ef235fcb491d474970838cf59cfd36efaf9a37c84ddd225c06788beb77d497e3</ns0:t>
        </ns0:is>
      </ns0:c>
      <ns0:c r="L617" s="3" t="inlineStr">
        <ns0:is>
          <ns0:t>identity_and_body_structure_verified</ns0:t>
        </ns0:is>
      </ns0:c>
      <ns0:c r="M617" s="3" t="inlineStr"/>
      <ns0:c r="N617" s="3" t="inlineStr">
        <ns0:is>
          <ns0:t>首页/前两页题名作者或目标DOI核对，全部页面解析及正文结构检查；不据文件名判全文。</ns0:t>
        </ns0:is>
      </ns0:c>
      <ns0:c r="O617" s="3" t="inlineStr">
        <ns0:is>
          <ns0:t>https://github.com/Colliam-Vermilion/FirstCodex/blob/results/ad-oxygen-literature-20261006/results/ad-oxygen-literature-20261006/original_files/R01212/fulltext/fulltext__published__ef235fcb491d4749.pdf</ns0:t>
        </ns0:is>
      </ns0:c>
    </ns0:row>
    <ns0:row r="618" ht="48" customHeight="1">
      <ns0:c r="A618" s="2" t="inlineStr">
        <ns0:is>
          <ns0:t>R13274</ns0:t>
        </ns0:is>
      </ns0:c>
      <ns0:c r="B618" s="2" t="inlineStr">
        <ns0:is>
          <ns0:t>Micro-aeration enhances lactic acid production in food waste fermentation</ns0:t>
        </ns0:is>
      </ns0:c>
      <ns0:c r="C618" s="2" t="inlineStr">
        <ns0:is>
          <ns0:t>10.1016/j.biortech.2025.133807</ns0:t>
        </ns0:is>
      </ns0:c>
      <ns0:c r="D618" s="2" t="inlineStr">
        <ns0:is>
          <ns0:t>supplementary</ns0:t>
        </ns0:is>
      </ns0:c>
      <ns0:c r="E618" s="2" t="inlineStr"/>
      <ns0:c r="F618" s="2" t="inlineStr">
        <ns0:is>
          <ns0:t>supplementary.xlsx</ns0:t>
        </ns0:is>
      </ns0:c>
      <ns0:c r="G618" s="2" t="inlineStr">
        <ns0:is>
          <ns0:t>original_files/R13274/supplementary/supplementary__ef7b3183c95f4072.xlsx</ns0:t>
        </ns0:is>
      </ns0:c>
      <ns0:c r="H618" s="2" t="inlineStr">
        <ns0:is>
          <ns0:t>local_upload</ns0:t>
        </ns0:is>
      </ns0:c>
      <ns0:c r="I618" s="2" t="inlineStr">
        <ns0:is>
          <ns0:t>localdownload/R13274/supplementary.xlsx</ns0:t>
        </ns0:is>
      </ns0:c>
      <ns0:c r="J618" s="2" t="n">
        <ns0:v>15049</ns0:v>
      </ns0:c>
      <ns0:c r="K618" s="2" t="inlineStr">
        <ns0:is>
          <ns0:t>ef7b3183c95f40728cf6a913cb7495614e9059b9a5d625b2d7492fc58aba5c90</ns0:t>
        </ns0:is>
      </ns0:c>
      <ns0:c r="L618" s="2" t="inlineStr">
        <ns0:is>
          <ns0:t>xlsx_open_and_zip_crc_verified</ns0:t>
        </ns0:is>
      </ns0:c>
      <ns0:c r="M618" s="2" t="inlineStr">
        <ns0:is>
          <ns0:t>directory_and_content_consistent_identity_pending</ns0:t>
        </ns0:is>
      </ns0:c>
      <ns0:c r="N618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618" s="2" t="inlineStr">
        <ns0:is>
          <ns0:t>https://github.com/Colliam-Vermilion/FirstCodex/blob/results/ad-oxygen-literature-20261006/results/ad-oxygen-literature-20261006/original_files/R13274/supplementary/supplementary__ef7b3183c95f4072.xlsx</ns0:t>
        </ns0:is>
      </ns0:c>
    </ns0:row>
    <ns0:row r="619" ht="48" customHeight="1">
      <ns0:c r="A619" s="3" t="inlineStr">
        <ns0:is>
          <ns0:t>R09967</ns0:t>
        </ns0:is>
      </ns0:c>
      <ns0:c r="B619" s="3" t="inlineStr">
        <ns0:is>
          <ns0:t>Comparison of different sewage sludge pretreatment technologies for improving sludge solubilization and anaerobic digestion efficiency: A comprehensive review</ns0:t>
        </ns0:is>
      </ns0:c>
      <ns0:c r="C619" s="3" t="inlineStr">
        <ns0:is>
          <ns0:t>10.1016/j.scitotenv.2024.171175</ns0:t>
        </ns0:is>
      </ns0:c>
      <ns0:c r="D619" s="3" t="inlineStr">
        <ns0:is>
          <ns0:t>fulltext</ns0:t>
        </ns0:is>
      </ns0:c>
      <ns0:c r="E619" s="3" t="inlineStr">
        <ns0:is>
          <ns0:t>出版版（版式及版权文字）</ns0:t>
        </ns0:is>
      </ns0:c>
      <ns0:c r="F619" s="3" t="inlineStr">
        <ns0:is>
          <ns0:t>fulltext.pdf</ns0:t>
        </ns0:is>
      </ns0:c>
      <ns0:c r="G619" s="3" t="inlineStr">
        <ns0:is>
          <ns0:t>original_files/R09967/fulltext/fulltext__published__efa5aba0f7708749.pdf</ns0:t>
        </ns0:is>
      </ns0:c>
      <ns0:c r="H619" s="3" t="inlineStr">
        <ns0:is>
          <ns0:t>local_upload</ns0:t>
        </ns0:is>
      </ns0:c>
      <ns0:c r="I619" s="3" t="inlineStr">
        <ns0:is>
          <ns0:t>localdownload/R09967/fulltext.pdf</ns0:t>
        </ns0:is>
      </ns0:c>
      <ns0:c r="J619" s="3" t="n">
        <ns0:v>3588847</ns0:v>
      </ns0:c>
      <ns0:c r="K619" s="3" t="inlineStr">
        <ns0:is>
          <ns0:t>efa5aba0f770874980cee990f471420237703522a360ee1d13faf08c2a2a6d19</ns0:t>
        </ns0:is>
      </ns0:c>
      <ns0:c r="L619" s="3" t="inlineStr">
        <ns0:is>
          <ns0:t>identity_and_body_structure_verified</ns0:t>
        </ns0:is>
      </ns0:c>
      <ns0:c r="M619" s="3" t="inlineStr"/>
      <ns0:c r="N619" s="3" t="inlineStr">
        <ns0:is>
          <ns0:t>首页/前两页题名作者或目标DOI核对，全部页面解析及正文结构检查；不据文件名判全文。</ns0:t>
        </ns0:is>
      </ns0:c>
      <ns0:c r="O619" s="3" t="inlineStr">
        <ns0:is>
          <ns0:t>https://github.com/Colliam-Vermilion/FirstCodex/blob/results/ad-oxygen-literature-20261006/results/ad-oxygen-literature-20261006/original_files/R09967/fulltext/fulltext__published__efa5aba0f7708749.pdf</ns0:t>
        </ns0:is>
      </ns0:c>
    </ns0:row>
    <ns0:row r="620" ht="48" customHeight="1">
      <ns0:c r="A620" s="2" t="inlineStr">
        <ns0:is>
          <ns0:t>R05511</ns0:t>
        </ns0:is>
      </ns0:c>
      <ns0:c r="B620" s="2" t="inlineStr">
        <ns0:is>
          <ns0:t>Different micro-aeration rates facilitate production of different end-products from source-diverted blackwater</ns0:t>
        </ns0:is>
      </ns0:c>
      <ns0:c r="C620" s="2" t="inlineStr">
        <ns0:is>
          <ns0:t>10.1016/j.watres.2020.115783</ns0:t>
        </ns0:is>
      </ns0:c>
      <ns0:c r="D620" s="2" t="inlineStr">
        <ns0:is>
          <ns0:t>fulltext</ns0:t>
        </ns0:is>
      </ns0:c>
      <ns0:c r="E620" s="2" t="inlineStr">
        <ns0:is>
          <ns0:t>出版版（版式及版权文字）</ns0:t>
        </ns0:is>
      </ns0:c>
      <ns0:c r="F620" s="2" t="inlineStr">
        <ns0:is>
          <ns0:t>fulltext.pdf</ns0:t>
        </ns0:is>
      </ns0:c>
      <ns0:c r="G620" s="2" t="inlineStr">
        <ns0:is>
          <ns0:t>original_files/R05511/fulltext/fulltext__published__f020eb6189063184.pdf</ns0:t>
        </ns0:is>
      </ns0:c>
      <ns0:c r="H620" s="2" t="inlineStr">
        <ns0:is>
          <ns0:t>local_upload</ns0:t>
        </ns0:is>
      </ns0:c>
      <ns0:c r="I620" s="2" t="inlineStr">
        <ns0:is>
          <ns0:t>localdownload/R05511/fulltext.pdf</ns0:t>
        </ns0:is>
      </ns0:c>
      <ns0:c r="J620" s="2" t="n">
        <ns0:v>1906380</ns0:v>
      </ns0:c>
      <ns0:c r="K620" s="2" t="inlineStr">
        <ns0:is>
          <ns0:t>f020eb6189063184de1d86419290cfe595da970bbf395020168c0ce5a8349e91</ns0:t>
        </ns0:is>
      </ns0:c>
      <ns0:c r="L620" s="2" t="inlineStr">
        <ns0:is>
          <ns0:t>identity_and_body_structure_verified</ns0:t>
        </ns0:is>
      </ns0:c>
      <ns0:c r="M620" s="2" t="inlineStr"/>
      <ns0:c r="N620" s="2" t="inlineStr">
        <ns0:is>
          <ns0:t>首页/前两页题名作者或目标DOI核对，全部页面解析及正文结构检查；不据文件名判全文。</ns0:t>
        </ns0:is>
      </ns0:c>
      <ns0:c r="O620" s="2" t="inlineStr">
        <ns0:is>
          <ns0:t>https://github.com/Colliam-Vermilion/FirstCodex/blob/results/ad-oxygen-literature-20261006/results/ad-oxygen-literature-20261006/original_files/R05511/fulltext/fulltext__published__f020eb6189063184.pdf</ns0:t>
        </ns0:is>
      </ns0:c>
    </ns0:row>
    <ns0:row r="621" ht="48" customHeight="1">
      <ns0:c r="A621" s="3" t="inlineStr">
        <ns0:is>
          <ns0:t>R04700</ns0:t>
        </ns0:is>
      </ns0:c>
      <ns0:c r="B621" s="3" t="inlineStr">
        <ns0:is>
          <ns0:t>Effect of aeration by micro - bubbles on methane production in anaerobic digestion</ns0:t>
        </ns0:is>
      </ns0:c>
      <ns0:c r="C621" s="3" t="inlineStr"/>
      <ns0:c r="D621" s="3" t="inlineStr">
        <ns0:is>
          <ns0:t>source_evidence</ns0:t>
        </ns0:is>
      </ns0:c>
      <ns0:c r="E621" s="3" t="inlineStr"/>
      <ns0:c r="F621" s="3" t="inlineStr">
        <ns0:is>
          <ns0:t>publisher_article_page_20261017.html</ns0:t>
        </ns0:is>
      </ns0:c>
      <ns0:c r="G621" s="3" t="inlineStr">
        <ns0:is>
          <ns0:t>original_files/R04700/evidence/source_evidence__f07fdcf09b6e9505.html</ns0:t>
        </ns0:is>
      </ns0:c>
      <ns0:c r="H621" s="3" t="inlineStr">
        <ns0:is>
          <ns0:t>cloud_existing</ns0:t>
        </ns0:is>
      </ns0:c>
      <ns0:c r="I621" s="3" t="inlineStr">
        <ns0:is>
          <ns0:t>original_files/source_evidence/R04700/publisher_article_page_20261017.html</ns0:t>
        </ns0:is>
      </ns0:c>
      <ns0:c r="J621" s="3" t="n">
        <ns0:v>30406</ns0:v>
      </ns0:c>
      <ns0:c r="K621" s="3" t="inlineStr">
        <ns0:is>
          <ns0:t>f07fdcf09b6e950559a0a04218108094931ef52daadc55b08e20c4c6f4a62e5d</ns0:t>
        </ns0:is>
      </ns0:c>
      <ns0:c r="L621" s="3" t="inlineStr">
        <ns0:is>
          <ns0:t>text_readable</ns0:t>
        </ns0:is>
      </ns0:c>
      <ns0:c r="M621" s="3" t="inlineStr"/>
      <ns0:c r="N621" s="3" t="inlineStr"/>
      <ns0:c r="O621" s="3" t="inlineStr">
        <ns0:is>
          <ns0:t>https://github.com/Colliam-Vermilion/FirstCodex/blob/results/ad-oxygen-literature-20261006/results/ad-oxygen-literature-20261006/original_files/R04700/evidence/source_evidence__f07fdcf09b6e9505.html</ns0:t>
        </ns0:is>
      </ns0:c>
    </ns0:row>
    <ns0:row r="622" ht="48" customHeight="1">
      <ns0:c r="A622" s="2" t="inlineStr">
        <ns0:is>
          <ns0:t>R06152</ns0:t>
        </ns0:is>
      </ns0:c>
      <ns0:c r="B622" s="2" t="inlineStr">
        <ns0:is>
          <ns0:t>The Influence of Zeolite Addition into Anaerobic Vinasse Treatment Process in Microaerated Batch Reactor</ns0:t>
        </ns0:is>
      </ns0:c>
      <ns0:c r="C622" s="2" t="inlineStr">
        <ns0:is>
          <ns0:t>10.31001/jkireka.v1i1.10</ns0:t>
        </ns0:is>
      </ns0:c>
      <ns0:c r="D622" s="2" t="inlineStr">
        <ns0:is>
          <ns0:t>fulltext</ns0:t>
        </ns0:is>
      </ns0:c>
      <ns0:c r="E622" s="2" t="inlineStr">
        <ns0:is>
          <ns0:t>出版版本（原页出版信息）</ns0:t>
        </ns0:is>
      </ns0:c>
      <ns0:c r="F622" s="2" t="inlineStr">
        <ns0:is>
          <ns0:t>R06152_2020_The_Influence_of_Zeolite_Addition_into_Anaerobic_Vinasse_Treatment.pdf</ns0:t>
        </ns0:is>
      </ns0:c>
      <ns0:c r="G622" s="2" t="inlineStr">
        <ns0:is>
          <ns0:t>original_files/R06152/fulltext/fulltext__published__f0955d9cdc458c31.pdf</ns0:t>
        </ns0:is>
      </ns0:c>
      <ns0:c r="H622" s="2" t="inlineStr">
        <ns0:is>
          <ns0:t>cloud_existing</ns0:t>
        </ns0:is>
      </ns0:c>
      <ns0:c r="I622" s="2" t="inlineStr">
        <ns0:is>
          <ns0:t>original_files/fulltext/R06152_2020_The_Influence_of_Zeolite_Addition_into_Anaerobic_Vinasse_Treatment.pdf</ns0:t>
        </ns0:is>
      </ns0:c>
      <ns0:c r="J622" s="2" t="n">
        <ns0:v>309899</ns0:v>
      </ns0:c>
      <ns0:c r="K622" s="2" t="inlineStr">
        <ns0:is>
          <ns0:t>f0955d9cdc458c312005b1ddcd8310e4b51c593dd6837667f2eba967cafd2e68</ns0:t>
        </ns0:is>
      </ns0:c>
      <ns0:c r="L622" s="2" t="inlineStr">
        <ns0:is>
          <ns0:t>manual_identity_and_completeness_verified</ns0:t>
        </ns0:is>
      </ns0:c>
      <ns0:c r="M622" s="2" t="inlineStr"/>
      <ns0:c r="N622" s="2" t="inlineStr">
        <ns0:is>
          <ns0:t>印尼文正文完整，英文题名及作者一致；pp.1–9覆盖ABSTRAK/ABSTRACT、方法、结果、结论及参考文献。</ns0:t>
        </ns0:is>
      </ns0:c>
      <ns0:c r="O622" s="2" t="inlineStr">
        <ns0:is>
          <ns0:t>https://github.com/Colliam-Vermilion/FirstCodex/blob/results/ad-oxygen-literature-20261006/results/ad-oxygen-literature-20261006/original_files/R06152/fulltext/fulltext__published__f0955d9cdc458c31.pdf</ns0:t>
        </ns0:is>
      </ns0:c>
    </ns0:row>
    <ns0:row r="623" ht="48" customHeight="1">
      <ns0:c r="A623" s="3" t="inlineStr">
        <ns0:is>
          <ns0:t>R06744</ns0:t>
        </ns0:is>
      </ns0:c>
      <ns0:c r="B623" s="3" t="inlineStr">
        <ns0:is>
          <ns0:t>High-Solid Anaerobic Digestion: Reviewing Strategies for Increasing Reactor Performance</ns0:t>
        </ns0:is>
      </ns0:c>
      <ns0:c r="C623" s="3" t="inlineStr">
        <ns0:is>
          <ns0:t>10.3390/environments8080080</ns0:t>
        </ns0:is>
      </ns0:c>
      <ns0:c r="D623" s="3" t="inlineStr">
        <ns0:is>
          <ns0:t>fulltext</ns0:t>
        </ns0:is>
      </ns0:c>
      <ns0:c r="E623" s="3" t="inlineStr">
        <ns0:is>
          <ns0:t>出版版本（原页出版信息）</ns0:t>
        </ns0:is>
      </ns0:c>
      <ns0:c r="F623" s="3" t="inlineStr">
        <ns0:is>
          <ns0:t>R06744_2021_High-Solid_Anaerobic_Digestion_Reviewing_Strategies_for_Increasing_Reactor_Performance.pdf</ns0:t>
        </ns0:is>
      </ns0:c>
      <ns0:c r="G623" s="3" t="inlineStr">
        <ns0:is>
          <ns0:t>original_files/R06744/fulltext/fulltext__published__f0e1e40d3fdab816.pdf</ns0:t>
        </ns0:is>
      </ns0:c>
      <ns0:c r="H623" s="3" t="inlineStr">
        <ns0:is>
          <ns0:t>cloud_existing</ns0:t>
        </ns0:is>
      </ns0:c>
      <ns0:c r="I623" s="3" t="inlineStr">
        <ns0:is>
          <ns0:t>original_files/fulltext/R06744_2021_High-Solid_Anaerobic_Digestion_Reviewing_Strategies_for_Increasing_Reactor_Performance.pdf</ns0:t>
        </ns0:is>
      </ns0:c>
      <ns0:c r="J623" s="3" t="n">
        <ns0:v>1035022</ns0:v>
      </ns0:c>
      <ns0:c r="K623" s="3" t="inlineStr">
        <ns0:is>
          <ns0:t>f0e1e40d3fdab8162d417143395852a9c41327d667f8f0d7b057faaf6c100943</ns0:t>
        </ns0:is>
      </ns0:c>
      <ns0:c r="L623" s="3" t="inlineStr">
        <ns0:is>
          <ns0:t>identity_and_body_structure_verified</ns0:t>
        </ns0:is>
      </ns0:c>
      <ns0:c r="M623" s="3" t="inlineStr"/>
      <ns0:c r="N623" s="3" t="inlineStr">
        <ns0:is>
          <ns0:t>首页/前两页题名作者或目标DOI核对，全部页面解析及正文结构检查；不据文件名判全文。</ns0:t>
        </ns0:is>
      </ns0:c>
      <ns0:c r="O623" s="3" t="inlineStr">
        <ns0:is>
          <ns0:t>https://github.com/Colliam-Vermilion/FirstCodex/blob/results/ad-oxygen-literature-20261006/results/ad-oxygen-literature-20261006/original_files/R06744/fulltext/fulltext__published__f0e1e40d3fdab816.pdf</ns0:t>
        </ns0:is>
      </ns0:c>
    </ns0:row>
    <ns0:row r="624" ht="48" customHeight="1">
      <ns0:c r="A624" s="2" t="inlineStr">
        <ns0:is>
          <ns0:t>R13968</ns0:t>
        </ns0:is>
      </ns0:c>
      <ns0:c r="B624" s="2" t="inlineStr">
        <ns0:is>
          <ns0:t>Enhancement of separate hydrogen and methane production from ethanol wastewater by Microaeration</ns0:t>
        </ns0:is>
      </ns0:c>
      <ns0:c r="C624" s="2" t="inlineStr">
        <ns0:is>
          <ns0:t>10.58837/chula.the.2015.1957</ns0:t>
        </ns0:is>
      </ns0:c>
      <ns0:c r="D624" s="2" t="inlineStr">
        <ns0:is>
          <ns0:t>source_evidence</ns0:t>
        </ns0:is>
      </ns0:c>
      <ns0:c r="E624" s="2" t="inlineStr"/>
      <ns0:c r="F624" s="2" t="inlineStr">
        <ns0:is>
          <ns0:t>publisher_article_page_20261017.html</ns0:t>
        </ns0:is>
      </ns0:c>
      <ns0:c r="G624" s="2" t="inlineStr">
        <ns0:is>
          <ns0:t>original_files/R13968/evidence/source_evidence__f12e535e44073a52.html</ns0:t>
        </ns0:is>
      </ns0:c>
      <ns0:c r="H624" s="2" t="inlineStr">
        <ns0:is>
          <ns0:t>cloud_existing</ns0:t>
        </ns0:is>
      </ns0:c>
      <ns0:c r="I624" s="2" t="inlineStr">
        <ns0:is>
          <ns0:t>original_files/source_evidence/R13968/publisher_article_page_20261017.html</ns0:t>
        </ns0:is>
      </ns0:c>
      <ns0:c r="J624" s="2" t="n">
        <ns0:v>184409</ns0:v>
      </ns0:c>
      <ns0:c r="K624" s="2" t="inlineStr">
        <ns0:is>
          <ns0:t>f12e535e44073a52acda7b43e9ac7bdd517fa43ac31111c78c55edb4bfaf12cc</ns0:t>
        </ns0:is>
      </ns0:c>
      <ns0:c r="L624" s="2" t="inlineStr">
        <ns0:is>
          <ns0:t>text_readable</ns0:t>
        </ns0:is>
      </ns0:c>
      <ns0:c r="M624" s="2" t="inlineStr"/>
      <ns0:c r="N624" s="2" t="inlineStr"/>
      <ns0:c r="O624" s="2" t="inlineStr">
        <ns0:is>
          <ns0:t>https://github.com/Colliam-Vermilion/FirstCodex/blob/results/ad-oxygen-literature-20261006/results/ad-oxygen-literature-20261006/original_files/R13968/evidence/source_evidence__f12e535e44073a52.html</ns0:t>
        </ns0:is>
      </ns0:c>
    </ns0:row>
    <ns0:row r="625" ht="48" customHeight="1">
      <ns0:c r="A625" s="3" t="inlineStr">
        <ns0:is>
          <ns0:t>R12985</ns0:t>
        </ns0:is>
      </ns0:c>
      <ns0:c r="B625" s="3" t="inlineStr">
        <ns0:is>
          <ns0:t>Evaluation of Anaerobic Digestion Amended with Micro-Aeration and/or Sound Treatment on the Resistome and Virulence Factor Gene Profiles in Poultry Litter</ns0:t>
        </ns0:is>
      </ns0:c>
      <ns0:c r="C625" s="3" t="inlineStr">
        <ns0:is>
          <ns0:t>10.3390/antibiotics15020153</ns0:t>
        </ns0:is>
      </ns0:c>
      <ns0:c r="D625" s="3" t="inlineStr">
        <ns0:is>
          <ns0:t>source_evidence</ns0:t>
        </ns0:is>
      </ns0:c>
      <ns0:c r="E625" s="3" t="inlineStr"/>
      <ns0:c r="F625" s="3" t="inlineStr">
        <ns0:is>
          <ns0:t>PMC12937426_fullText.xml</ns0:t>
        </ns0:is>
      </ns0:c>
      <ns0:c r="G625" s="3" t="inlineStr">
        <ns0:is>
          <ns0:t>original_files/R12985/evidence/source_evidence__f1a80564a8a1fa4b.xml</ns0:t>
        </ns0:is>
      </ns0:c>
      <ns0:c r="H625" s="3" t="inlineStr">
        <ns0:is>
          <ns0:t>cloud_existing</ns0:t>
        </ns0:is>
      </ns0:c>
      <ns0:c r="I625" s="3" t="inlineStr">
        <ns0:is>
          <ns0:t>original_files/source_evidence/R12985/PMC12937426_fullText.xml</ns0:t>
        </ns0:is>
      </ns0:c>
      <ns0:c r="J625" s="3" t="n">
        <ns0:v>173586</ns0:v>
      </ns0:c>
      <ns0:c r="K625" s="3" t="inlineStr">
        <ns0:is>
          <ns0:t>f1a80564a8a1fa4b638bb6097c75cb3709b4c7487b6c8012474fd4e1865576cc</ns0:t>
        </ns0:is>
      </ns0:c>
      <ns0:c r="L625" s="3" t="inlineStr">
        <ns0:is>
          <ns0:t>text_readable</ns0:t>
        </ns0:is>
      </ns0:c>
      <ns0:c r="M625" s="3" t="inlineStr"/>
      <ns0:c r="N625" s="3" t="inlineStr"/>
      <ns0:c r="O625" s="3" t="inlineStr">
        <ns0:is>
          <ns0:t>https://github.com/Colliam-Vermilion/FirstCodex/blob/results/ad-oxygen-literature-20261006/results/ad-oxygen-literature-20261006/original_files/R12985/evidence/source_evidence__f1a80564a8a1fa4b.xml</ns0:t>
        </ns0:is>
      </ns0:c>
    </ns0:row>
    <ns0:row r="626" ht="48" customHeight="1">
      <ns0:c r="A626" s="2" t="inlineStr">
        <ns0:is>
          <ns0:t>R13910</ns0:t>
        </ns0:is>
      </ns0:c>
      <ns0:c r="B626" s="2" t="inlineStr">
        <ns0:is>
          <ns0:t>Effects of Ammonia Stripping and Other Physico-Chemical Pretreatments on Anaerobic Digestion of Swine Wastewater</ns0:t>
        </ns0:is>
      </ns0:c>
      <ns0:c r="C626" s="2" t="inlineStr">
        <ns0:is>
          <ns0:t>10.3390/en13133413</ns0:t>
        </ns0:is>
      </ns0:c>
      <ns0:c r="D626" s="2" t="inlineStr">
        <ns0:is>
          <ns0:t>source_evidence</ns0:t>
        </ns0:is>
      </ns0:c>
      <ns0:c r="E626" s="2" t="inlineStr"/>
      <ns0:c r="F626" s="2" t="inlineStr">
        <ns0:is>
          <ns0:t>publisher_article_page_20261017.html</ns0:t>
        </ns0:is>
      </ns0:c>
      <ns0:c r="G626" s="2" t="inlineStr">
        <ns0:is>
          <ns0:t>original_files/R13910/evidence/source_evidence__f22c0d3346114024.html</ns0:t>
        </ns0:is>
      </ns0:c>
      <ns0:c r="H626" s="2" t="inlineStr">
        <ns0:is>
          <ns0:t>cloud_existing</ns0:t>
        </ns0:is>
      </ns0:c>
      <ns0:c r="I626" s="2" t="inlineStr">
        <ns0:is>
          <ns0:t>original_files/source_evidence/R13910/publisher_article_page_20261017.html</ns0:t>
        </ns0:is>
      </ns0:c>
      <ns0:c r="J626" s="2" t="n">
        <ns0:v>701730</ns0:v>
      </ns0:c>
      <ns0:c r="K626" s="2" t="inlineStr">
        <ns0:is>
          <ns0:t>f22c0d3346114024e1aad95cf43a48ba939e6ce212ea589728d41526c68b3001</ns0:t>
        </ns0:is>
      </ns0:c>
      <ns0:c r="L626" s="2" t="inlineStr">
        <ns0:is>
          <ns0:t>text_readable</ns0:t>
        </ns0:is>
      </ns0:c>
      <ns0:c r="M626" s="2" t="inlineStr"/>
      <ns0:c r="N626" s="2" t="inlineStr"/>
      <ns0:c r="O626" s="2" t="inlineStr">
        <ns0:is>
          <ns0:t>https://github.com/Colliam-Vermilion/FirstCodex/blob/results/ad-oxygen-literature-20261006/results/ad-oxygen-literature-20261006/original_files/R13910/evidence/source_evidence__f22c0d3346114024.html</ns0:t>
        </ns0:is>
      </ns0:c>
    </ns0:row>
    <ns0:row r="627" ht="48" customHeight="1">
      <ns0:c r="A627" s="3" t="inlineStr">
        <ns0:is>
          <ns0:t>R13950</ns0:t>
        </ns0:is>
      </ns0:c>
      <ns0:c r="B627" s="3" t="inlineStr">
        <ns0:is>
          <ns0:t>Enhancement of hydrogen and methane production through anaerobic digestion using pre-treatments</ns0:t>
        </ns0:is>
      </ns0:c>
      <ns0:c r="C627" s="3" t="inlineStr"/>
      <ns0:c r="D627" s="3" t="inlineStr">
        <ns0:is>
          <ns0:t>source_evidence</ns0:t>
        </ns0:is>
      </ns0:c>
      <ns0:c r="E627" s="3" t="inlineStr"/>
      <ns0:c r="F627" s="3" t="inlineStr">
        <ns0:is>
          <ns0:t>publisher_article_page_20261017.html</ns0:t>
        </ns0:is>
      </ns0:c>
      <ns0:c r="G627" s="3" t="inlineStr">
        <ns0:is>
          <ns0:t>original_files/R13950/evidence/source_evidence__f2389b26316623cf.html</ns0:t>
        </ns0:is>
      </ns0:c>
      <ns0:c r="H627" s="3" t="inlineStr">
        <ns0:is>
          <ns0:t>cloud_existing</ns0:t>
        </ns0:is>
      </ns0:c>
      <ns0:c r="I627" s="3" t="inlineStr">
        <ns0:is>
          <ns0:t>original_files/source_evidence/R13950/publisher_article_page_20261017.html</ns0:t>
        </ns0:is>
      </ns0:c>
      <ns0:c r="J627" s="3" t="n">
        <ns0:v>62085</ns0:v>
      </ns0:c>
      <ns0:c r="K627" s="3" t="inlineStr">
        <ns0:is>
          <ns0:t>f2389b26316623cfe13716471bd2d862d48c536156aaf55fc1556e7bc8f30e2e</ns0:t>
        </ns0:is>
      </ns0:c>
      <ns0:c r="L627" s="3" t="inlineStr">
        <ns0:is>
          <ns0:t>text_readable</ns0:t>
        </ns0:is>
      </ns0:c>
      <ns0:c r="M627" s="3" t="inlineStr"/>
      <ns0:c r="N627" s="3" t="inlineStr"/>
      <ns0:c r="O627" s="3" t="inlineStr">
        <ns0:is>
          <ns0:t>https://github.com/Colliam-Vermilion/FirstCodex/blob/results/ad-oxygen-literature-20261006/results/ad-oxygen-literature-20261006/original_files/R13950/evidence/source_evidence__f2389b26316623cf.html</ns0:t>
        </ns0:is>
      </ns0:c>
    </ns0:row>
    <ns0:row r="628" ht="48" customHeight="1">
      <ns0:c r="A628" s="2" t="inlineStr">
        <ns0:is>
          <ns0:t>R07238</ns0:t>
        </ns0:is>
      </ns0:c>
      <ns0:c r="B628" s="2" t="inlineStr">
        <ns0:is>
          <ns0:t>The influence of combined low-strength ultrasonics and micro-aerobic pretreatment process on methane generation and sludge digestion: Lipase enzyme, microbial activation, and energy yield</ns0:t>
        </ns0:is>
      </ns0:c>
      <ns0:c r="C628" s="2" t="inlineStr">
        <ns0:is>
          <ns0:t>10.1016/j.ultsonch.2021.105531</ns0:t>
        </ns0:is>
      </ns0:c>
      <ns0:c r="D628" s="2" t="inlineStr">
        <ns0:is>
          <ns0:t>supplementary</ns0:t>
        </ns0:is>
      </ns0:c>
      <ns0:c r="E628" s="2" t="inlineStr"/>
      <ns0:c r="F628" s="2" t="inlineStr">
        <ns0:is>
          <ns0:t>mmc2.zip</ns0:t>
        </ns0:is>
      </ns0:c>
      <ns0:c r="G628" s="2" t="inlineStr">
        <ns0:is>
          <ns0:t>original_files/R07238/supplementary/supplementary__f346f9bdcc964013.zip</ns0:t>
        </ns0:is>
      </ns0:c>
      <ns0:c r="H628" s="2" t="inlineStr">
        <ns0:is>
          <ns0:t>cloud_existing</ns0:t>
        </ns0:is>
      </ns0:c>
      <ns0:c r="I628" s="2" t="inlineStr">
        <ns0:is>
          <ns0:t>original_files/supplementary/R07238/mmc2.zip</ns0:t>
        </ns0:is>
      </ns0:c>
      <ns0:c r="J628" s="2" t="n">
        <ns0:v>14286928</ns0:v>
      </ns0:c>
      <ns0:c r="K628" s="2" t="inlineStr">
        <ns0:is>
          <ns0:t>f346f9bdcc964013ecb7c4282d6b30f1ab334e035d98adcc653de1447fbe9a9a</ns0:t>
        </ns0:is>
      </ns0:c>
      <ns0:c r="L628" s="2" t="inlineStr">
        <ns0:is>
          <ns0:t>container_crc_verified</ns0:t>
        </ns0:is>
      </ns0:c>
      <ns0:c r="M628" s="2" t="inlineStr">
        <ns0:is>
          <ns0:t>existing_official_attachment_evidence_retained</ns0:t>
        </ns0:is>
      </ns0:c>
      <ns0:c r="N628" s="2" t="inlineStr"/>
      <ns0:c r="O628" s="2" t="inlineStr">
        <ns0:is>
          <ns0:t>https://github.com/Colliam-Vermilion/FirstCodex/blob/results/ad-oxygen-literature-20261006/results/ad-oxygen-literature-20261006/original_files/R07238/supplementary/supplementary__f346f9bdcc964013.zip</ns0:t>
        </ns0:is>
      </ns0:c>
    </ns0:row>
    <ns0:row r="629" ht="48" customHeight="1">
      <ns0:c r="A629" s="3" t="inlineStr">
        <ns0:is>
          <ns0:t>R04928</ns0:t>
        </ns0:is>
      </ns0:c>
      <ns0:c r="B629" s="3" t="inlineStr">
        <ns0:is>
          <ns0:t>MATHEMATICAL MODEL FOR QUANTITATIVE ANALYSIS OF ACIDOGENIC PERFORMANCE UNDER MICROAERATION CONDITION IN ANAEROBIC VINASSE TREATMENT</ns0:t>
        </ns0:is>
      </ns0:c>
      <ns0:c r="C629" s="3" t="inlineStr">
        <ns0:is>
          <ns0:t>10.21771/jrtppi.2019.v10.no1.p12-21</ns0:t>
        </ns0:is>
      </ns0:c>
      <ns0:c r="D629" s="3" t="inlineStr">
        <ns0:is>
          <ns0:t>source_evidence</ns0:t>
        </ns0:is>
      </ns0:c>
      <ns0:c r="E629" s="3" t="inlineStr"/>
      <ns0:c r="F629" s="3" t="inlineStr">
        <ns0:is>
          <ns0:t>publisher_article_page_20261017.html</ns0:t>
        </ns0:is>
      </ns0:c>
      <ns0:c r="G629" s="3" t="inlineStr">
        <ns0:is>
          <ns0:t>original_files/R04928/evidence/source_evidence__f38b7a85b5b362e8.html</ns0:t>
        </ns0:is>
      </ns0:c>
      <ns0:c r="H629" s="3" t="inlineStr">
        <ns0:is>
          <ns0:t>cloud_existing</ns0:t>
        </ns0:is>
      </ns0:c>
      <ns0:c r="I629" s="3" t="inlineStr">
        <ns0:is>
          <ns0:t>original_files/source_evidence/R04928/publisher_article_page_20261017.html</ns0:t>
        </ns0:is>
      </ns0:c>
      <ns0:c r="J629" s="3" t="n">
        <ns0:v>52695</ns0:v>
      </ns0:c>
      <ns0:c r="K629" s="3" t="inlineStr">
        <ns0:is>
          <ns0:t>f38b7a85b5b362e821995826e5889e66f532e7426d40b47092aaf8a2685d23f3</ns0:t>
        </ns0:is>
      </ns0:c>
      <ns0:c r="L629" s="3" t="inlineStr">
        <ns0:is>
          <ns0:t>text_readable</ns0:t>
        </ns0:is>
      </ns0:c>
      <ns0:c r="M629" s="3" t="inlineStr"/>
      <ns0:c r="N629" s="3" t="inlineStr"/>
      <ns0:c r="O629" s="3" t="inlineStr">
        <ns0:is>
          <ns0:t>https://github.com/Colliam-Vermilion/FirstCodex/blob/results/ad-oxygen-literature-20261006/results/ad-oxygen-literature-20261006/original_files/R04928/evidence/source_evidence__f38b7a85b5b362e8.html</ns0:t>
        </ns0:is>
      </ns0:c>
    </ns0:row>
    <ns0:row r="630" ht="48" customHeight="1">
      <ns0:c r="A630" s="2" t="inlineStr">
        <ns0:is>
          <ns0:t>R13861</ns0:t>
        </ns0:is>
      </ns0:c>
      <ns0:c r="B630" s="2" t="inlineStr">
        <ns0:is>
          <ns0:t>Enhanced removal of emerging micropollutants by applying microaeration to an anaerobic reactor</ns0:t>
        </ns0:is>
      </ns0:c>
      <ns0:c r="C630" s="2" t="inlineStr">
        <ns0:is>
          <ns0:t>10.1590/s1413-4152201920190030</ns0:t>
        </ns0:is>
      </ns0:c>
      <ns0:c r="D630" s="2" t="inlineStr">
        <ns0:is>
          <ns0:t>source_evidence</ns0:t>
        </ns0:is>
      </ns0:c>
      <ns0:c r="E630" s="2" t="inlineStr"/>
      <ns0:c r="F630" s="2" t="inlineStr">
        <ns0:is>
          <ns0:t>publisher_article_page_20261017.html</ns0:t>
        </ns0:is>
      </ns0:c>
      <ns0:c r="G630" s="2" t="inlineStr">
        <ns0:is>
          <ns0:t>original_files/R13861/evidence/source_evidence__f3cb6052a5aabceb.html</ns0:t>
        </ns0:is>
      </ns0:c>
      <ns0:c r="H630" s="2" t="inlineStr">
        <ns0:is>
          <ns0:t>cloud_existing</ns0:t>
        </ns0:is>
      </ns0:c>
      <ns0:c r="I630" s="2" t="inlineStr">
        <ns0:is>
          <ns0:t>original_files/source_evidence/R13861/publisher_article_page_20261017.html</ns0:t>
        </ns0:is>
      </ns0:c>
      <ns0:c r="J630" s="2" t="n">
        <ns0:v>167121</ns0:v>
      </ns0:c>
      <ns0:c r="K630" s="2" t="inlineStr">
        <ns0:is>
          <ns0:t>f3cb6052a5aabceb6f64f92dc3b09f65c5a416be08ce9877c66f16188a4e39af</ns0:t>
        </ns0:is>
      </ns0:c>
      <ns0:c r="L630" s="2" t="inlineStr">
        <ns0:is>
          <ns0:t>text_readable</ns0:t>
        </ns0:is>
      </ns0:c>
      <ns0:c r="M630" s="2" t="inlineStr"/>
      <ns0:c r="N630" s="2" t="inlineStr"/>
      <ns0:c r="O630" s="2" t="inlineStr">
        <ns0:is>
          <ns0:t>https://github.com/Colliam-Vermilion/FirstCodex/blob/results/ad-oxygen-literature-20261006/results/ad-oxygen-literature-20261006/original_files/R13861/evidence/source_evidence__f3cb6052a5aabceb.html</ns0:t>
        </ns0:is>
      </ns0:c>
    </ns0:row>
    <ns0:row r="631" ht="48" customHeight="1">
      <ns0:c r="A631" s="3" t="inlineStr"/>
      <ns0:c r="B631" s="3" t="inlineStr"/>
      <ns0:c r="C631" s="3" t="inlineStr"/>
      <ns0:c r="D631" s="3" t="inlineStr">
        <ns0:is>
          <ns0:t>source_evidence</ns0:t>
        </ns0:is>
      </ns0:c>
      <ns0:c r="E631" s="3" t="inlineStr"/>
      <ns0:c r="F631" s="3" t="inlineStr">
        <ns0:is>
          <ns0:t>existing_included_results.json</ns0:t>
        </ns0:is>
      </ns0:c>
      <ns0:c r="G631" s="3" t="inlineStr">
        <ns0:is>
          <ns0:t>original_files/_project_evidence/evidence/source_evidence__f3ed182909b911e8.json</ns0:t>
        </ns0:is>
      </ns0:c>
      <ns0:c r="H631" s="3" t="inlineStr">
        <ns0:is>
          <ns0:t>cloud_existing</ns0:t>
        </ns0:is>
      </ns0:c>
      <ns0:c r="I631" s="3" t="inlineStr">
        <ns0:is>
          <ns0:t>original_files/continuation_20261017/existing_included_results.json</ns0:t>
        </ns0:is>
      </ns0:c>
      <ns0:c r="J631" s="3" t="n">
        <ns0:v>188427</ns0:v>
      </ns0:c>
      <ns0:c r="K631" s="3" t="inlineStr">
        <ns0:is>
          <ns0:t>f3ed182909b911e8245dc183fde77cfb15c083535d15d349942e7e7600c903f0</ns0:t>
        </ns0:is>
      </ns0:c>
      <ns0:c r="L631" s="3" t="inlineStr">
        <ns0:is>
          <ns0:t>text_readable</ns0:t>
        </ns0:is>
      </ns0:c>
      <ns0:c r="M631" s="3" t="inlineStr"/>
      <ns0:c r="N631" s="3" t="inlineStr"/>
      <ns0:c r="O631" s="3" t="inlineStr">
        <ns0:is>
          <ns0:t>https://github.com/Colliam-Vermilion/FirstCodex/blob/results/ad-oxygen-literature-20261006/results/ad-oxygen-literature-20261006/original_files/_project_evidence/evidence/source_evidence__f3ed182909b911e8.json</ns0:t>
        </ns0:is>
      </ns0:c>
    </ns0:row>
    <ns0:row r="632" ht="48" customHeight="1">
      <ns0:c r="A632" s="2" t="inlineStr">
        <ns0:is>
          <ns0:t>R01414</ns0:t>
        </ns0:is>
      </ns0:c>
      <ns0:c r="B632" s="2" t="inlineStr">
        <ns0:is>
          <ns0:t>Oxidation reduction potential as a parameter to regulate micro-oxygen injection into anaerobic digester for reducing hydrogen sulphide concentration in biogas</ns0:t>
        </ns0:is>
      </ns0:c>
      <ns0:c r="C632" s="2" t="inlineStr">
        <ns0:is>
          <ns0:t>10.1016/j.biortech.2014.09.052</ns0:t>
        </ns0:is>
      </ns0:c>
      <ns0:c r="D632" s="2" t="inlineStr">
        <ns0:is>
          <ns0:t>fulltext</ns0:t>
        </ns0:is>
      </ns0:c>
      <ns0:c r="E632" s="2" t="inlineStr">
        <ns0:is>
          <ns0:t>出版版（版式及版权文字）</ns0:t>
        </ns0:is>
      </ns0:c>
      <ns0:c r="F632" s="2" t="inlineStr">
        <ns0:is>
          <ns0:t>fulltext.pdf</ns0:t>
        </ns0:is>
      </ns0:c>
      <ns0:c r="G632" s="2" t="inlineStr">
        <ns0:is>
          <ns0:t>original_files/R01414/fulltext/fulltext__published__f3fdd6d92cc6ded3.pdf</ns0:t>
        </ns0:is>
      </ns0:c>
      <ns0:c r="H632" s="2" t="inlineStr">
        <ns0:is>
          <ns0:t>local_upload</ns0:t>
        </ns0:is>
      </ns0:c>
      <ns0:c r="I632" s="2" t="inlineStr">
        <ns0:is>
          <ns0:t>localdownload/R01414/fulltext.pdf</ns0:t>
        </ns0:is>
      </ns0:c>
      <ns0:c r="J632" s="2" t="n">
        <ns0:v>619558</ns0:v>
      </ns0:c>
      <ns0:c r="K632" s="2" t="inlineStr">
        <ns0:is>
          <ns0:t>f3fdd6d92cc6ded33ae5b190818c70cdb20d56973ad5b57700da51736e3179da</ns0:t>
        </ns0:is>
      </ns0:c>
      <ns0:c r="L632" s="2" t="inlineStr">
        <ns0:is>
          <ns0:t>identity_and_body_structure_verified</ns0:t>
        </ns0:is>
      </ns0:c>
      <ns0:c r="M632" s="2" t="inlineStr"/>
      <ns0:c r="N632" s="2" t="inlineStr">
        <ns0:is>
          <ns0:t>首页/前两页题名作者或目标DOI核对，全部页面解析及正文结构检查；不据文件名判全文。</ns0:t>
        </ns0:is>
      </ns0:c>
      <ns0:c r="O632" s="2" t="inlineStr">
        <ns0:is>
          <ns0:t>https://github.com/Colliam-Vermilion/FirstCodex/blob/results/ad-oxygen-literature-20261006/results/ad-oxygen-literature-20261006/original_files/R01414/fulltext/fulltext__published__f3fdd6d92cc6ded3.pdf</ns0:t>
        </ns0:is>
      </ns0:c>
    </ns0:row>
    <ns0:row r="633" ht="48" customHeight="1">
      <ns0:c r="A633" s="3" t="inlineStr">
        <ns0:is>
          <ns0:t>R12985</ns0:t>
        </ns0:is>
      </ns0:c>
      <ns0:c r="B633" s="3" t="inlineStr">
        <ns0:is>
          <ns0:t>Evaluation of Anaerobic Digestion Amended with Micro-Aeration and/or Sound Treatment on the Resistome and Virulence Factor Gene Profiles in Poultry Litter</ns0:t>
        </ns0:is>
      </ns0:c>
      <ns0:c r="C633" s="3" t="inlineStr">
        <ns0:is>
          <ns0:t>10.3390/antibiotics15020153</ns0:t>
        </ns0:is>
      </ns0:c>
      <ns0:c r="D633" s="3" t="inlineStr">
        <ns0:is>
          <ns0:t>fulltext</ns0:t>
        </ns0:is>
      </ns0:c>
      <ns0:c r="E633" s="3" t="inlineStr">
        <ns0:is>
          <ns0:t>出版版本（原页出版信息）</ns0:t>
        </ns0:is>
      </ns0:c>
      <ns0:c r="F633" s="3" t="inlineStr">
        <ns0:is>
          <ns0:t>R12985_2026_Evaluation_of_Anaerobic_Digestion_Amended_with_Micro-Aeration_andor_Sound.pdf</ns0:t>
        </ns0:is>
      </ns0:c>
      <ns0:c r="G633" s="3" t="inlineStr">
        <ns0:is>
          <ns0:t>original_files/R12985/fulltext/fulltext__published__f42e1cfc61ed462e.pdf</ns0:t>
        </ns0:is>
      </ns0:c>
      <ns0:c r="H633" s="3" t="inlineStr">
        <ns0:is>
          <ns0:t>cloud_existing</ns0:t>
        </ns0:is>
      </ns0:c>
      <ns0:c r="I633" s="3" t="inlineStr">
        <ns0:is>
          <ns0:t>original_files/fulltext/R12985_2026_Evaluation_of_Anaerobic_Digestion_Amended_with_Micro-Aeration_andor_Sound.pdf</ns0:t>
        </ns0:is>
      </ns0:c>
      <ns0:c r="J633" s="3" t="n">
        <ns0:v>3394736</ns0:v>
      </ns0:c>
      <ns0:c r="K633" s="3" t="inlineStr">
        <ns0:is>
          <ns0:t>f42e1cfc61ed462e54cdbb54d555f5f6230676c933caeed18744e15e9f7e1420</ns0:t>
        </ns0:is>
      </ns0:c>
      <ns0:c r="L633" s="3" t="inlineStr">
        <ns0:is>
          <ns0:t>identity_and_body_structure_verified</ns0:t>
        </ns0:is>
      </ns0:c>
      <ns0:c r="M633" s="3" t="inlineStr"/>
      <ns0:c r="N633" s="3" t="inlineStr">
        <ns0:is>
          <ns0:t>首页/前两页题名作者或目标DOI核对，全部页面解析及正文结构检查；不据文件名判全文。</ns0:t>
        </ns0:is>
      </ns0:c>
      <ns0:c r="O633" s="3" t="inlineStr">
        <ns0:is>
          <ns0:t>https://github.com/Colliam-Vermilion/FirstCodex/blob/results/ad-oxygen-literature-20261006/results/ad-oxygen-literature-20261006/original_files/R12985/fulltext/fulltext__published__f42e1cfc61ed462e.pdf</ns0:t>
        </ns0:is>
      </ns0:c>
    </ns0:row>
    <ns0:row r="634" ht="48" customHeight="1">
      <ns0:c r="A634" s="2" t="inlineStr">
        <ns0:is>
          <ns0:t>R06227</ns0:t>
        </ns0:is>
      </ns0:c>
      <ns0:c r="B634" s="2" t="inlineStr">
        <ns0:is>
          <ns0:t>Using air instead of biogas for mixing and its effect on anaerobic digestion of animal wastewater with high suspended solids</ns0:t>
        </ns0:is>
      </ns0:c>
      <ns0:c r="C634" s="2" t="inlineStr">
        <ns0:is>
          <ns0:t>10.1016/j.biortech.2020.124047</ns0:t>
        </ns0:is>
      </ns0:c>
      <ns0:c r="D634" s="2" t="inlineStr">
        <ns0:is>
          <ns0:t>supplementary</ns0:t>
        </ns0:is>
      </ns0:c>
      <ns0:c r="E634" s="2" t="inlineStr"/>
      <ns0:c r="F634" s="2" t="inlineStr">
        <ns0:is>
          <ns0:t>supplementary.docx</ns0:t>
        </ns0:is>
      </ns0:c>
      <ns0:c r="G634" s="2" t="inlineStr">
        <ns0:is>
          <ns0:t>original_files/R06227/supplementary/supplementary__f443ac43d63f83b2.docx</ns0:t>
        </ns0:is>
      </ns0:c>
      <ns0:c r="H634" s="2" t="inlineStr">
        <ns0:is>
          <ns0:t>local_upload</ns0:t>
        </ns0:is>
      </ns0:c>
      <ns0:c r="I634" s="2" t="inlineStr">
        <ns0:is>
          <ns0:t>localdownload/R06227/supplementary.docx</ns0:t>
        </ns0:is>
      </ns0:c>
      <ns0:c r="J634" s="2" t="n">
        <ns0:v>150908</ns0:v>
      </ns0:c>
      <ns0:c r="K634" s="2" t="inlineStr">
        <ns0:is>
          <ns0:t>f443ac43d63f83b23df9017cd16122cb4496557ed5605a79fbaaa3d873416dfd</ns0:t>
        </ns0:is>
      </ns0:c>
      <ns0:c r="L634" s="2" t="inlineStr">
        <ns0:is>
          <ns0:t>container_crc_verified</ns0:t>
        </ns0:is>
      </ns0:c>
      <ns0:c r="M634" s="2" t="inlineStr">
        <ns0:is>
          <ns0:t>title_in_attachment_verified</ns0:t>
        </ns0:is>
      </ns0:c>
      <ns0:c r="N634" s="2" t="inlineStr"/>
      <ns0:c r="O634" s="2" t="inlineStr">
        <ns0:is>
          <ns0:t>https://github.com/Colliam-Vermilion/FirstCodex/blob/results/ad-oxygen-literature-20261006/results/ad-oxygen-literature-20261006/original_files/R06227/supplementary/supplementary__f443ac43d63f83b2.docx</ns0:t>
        </ns0:is>
      </ns0:c>
    </ns0:row>
    <ns0:row r="635" ht="48" customHeight="1">
      <ns0:c r="A635" s="3" t="inlineStr">
        <ns0:is>
          <ns0:t>R13878</ns0:t>
        </ns0:is>
      </ns0:c>
      <ns0:c r="B635" s="3" t="inlineStr">
        <ns0:is>
          <ns0:t>Improved methane production of corn straw by the stimulation of calcium peroxide</ns0:t>
        </ns0:is>
      </ns0:c>
      <ns0:c r="C635" s="3" t="inlineStr">
        <ns0:is>
          <ns0:t>10.1016/j.enconman.2018.02.070</ns0:t>
        </ns0:is>
      </ns0:c>
      <ns0:c r="D635" s="3" t="inlineStr">
        <ns0:is>
          <ns0:t>supplementary</ns0:t>
        </ns0:is>
      </ns0:c>
      <ns0:c r="E635" s="3" t="inlineStr"/>
      <ns0:c r="F635" s="3" t="inlineStr">
        <ns0:is>
          <ns0:t>supplementary.doc</ns0:t>
        </ns0:is>
      </ns0:c>
      <ns0:c r="G635" s="3" t="inlineStr">
        <ns0:is>
          <ns0:t>original_files/R13878/supplementary/supplementary__f5892bd1508fb3d1.doc</ns0:t>
        </ns0:is>
      </ns0:c>
      <ns0:c r="H635" s="3" t="inlineStr">
        <ns0:is>
          <ns0:t>local_upload</ns0:t>
        </ns0:is>
      </ns0:c>
      <ns0:c r="I635" s="3" t="inlineStr">
        <ns0:is>
          <ns0:t>localdownload/R13878/supplementary.doc</ns0:t>
        </ns0:is>
      </ns0:c>
      <ns0:c r="J635" s="3" t="n">
        <ns0:v>57344</ns0:v>
      </ns0:c>
      <ns0:c r="K635" s="3" t="inlineStr">
        <ns0:is>
          <ns0:t>f5892bd1508fb3d169fcf83c7365df880b42b30b3bebfac1b6a5e8af1addb738</ns0:t>
        </ns0:is>
      </ns0:c>
      <ns0:c r="L635" s="3" t="inlineStr">
        <ns0:is>
          <ns0:t>legacy_word_decoded_with_antiword</ns0:t>
        </ns0:is>
      </ns0:c>
      <ns0:c r="M635" s="3" t="inlineStr">
        <ns0:is>
          <ns0:t>title_in_attachment_verified</ns0:t>
        </ns0:is>
      </ns0:c>
      <ns0:c r="N635" s="3" t="inlineStr"/>
      <ns0:c r="O635" s="3" t="inlineStr">
        <ns0:is>
          <ns0:t>https://github.com/Colliam-Vermilion/FirstCodex/blob/results/ad-oxygen-literature-20261006/results/ad-oxygen-literature-20261006/original_files/R13878/supplementary/supplementary__f5892bd1508fb3d1.doc</ns0:t>
        </ns0:is>
      </ns0:c>
    </ns0:row>
    <ns0:row r="636" ht="48" customHeight="1">
      <ns0:c r="A636" s="2" t="inlineStr">
        <ns0:is>
          <ns0:t>R11537</ns0:t>
        </ns0:is>
      </ns0:c>
      <ns0:c r="B636" s="2" t="inlineStr">
        <ns0:is>
          <ns0:t>Enhancing methanogenesis efficiency in anaerobic digestion of food waste through incremental salinity and nanobubble utilization to domesticate inoculum: Adaptability and optimal inoculation ratios</ns0:t>
        </ns0:is>
      </ns0:c>
      <ns0:c r="C636" s="2" t="inlineStr">
        <ns0:is>
          <ns0:t>10.1016/j.renene.2025.123258</ns0:t>
        </ns0:is>
      </ns0:c>
      <ns0:c r="D636" s="2" t="inlineStr">
        <ns0:is>
          <ns0:t>fulltext</ns0:t>
        </ns0:is>
      </ns0:c>
      <ns0:c r="E636" s="2" t="inlineStr">
        <ns0:is>
          <ns0:t>出版版（版式及版权文字）</ns0:t>
        </ns0:is>
      </ns0:c>
      <ns0:c r="F636" s="2" t="inlineStr">
        <ns0:is>
          <ns0:t>fulltext.pdf</ns0:t>
        </ns0:is>
      </ns0:c>
      <ns0:c r="G636" s="2" t="inlineStr">
        <ns0:is>
          <ns0:t>original_files/R11537/fulltext/fulltext__published__f5f6c181febec1b2.pdf</ns0:t>
        </ns0:is>
      </ns0:c>
      <ns0:c r="H636" s="2" t="inlineStr">
        <ns0:is>
          <ns0:t>local_upload</ns0:t>
        </ns0:is>
      </ns0:c>
      <ns0:c r="I636" s="2" t="inlineStr">
        <ns0:is>
          <ns0:t>localdownload/R11537/fulltext.pdf</ns0:t>
        </ns0:is>
      </ns0:c>
      <ns0:c r="J636" s="2" t="n">
        <ns0:v>3868629</ns0:v>
      </ns0:c>
      <ns0:c r="K636" s="2" t="inlineStr">
        <ns0:is>
          <ns0:t>f5f6c181febec1b25f27bb76fb9ea7e6e679950fc7c62b1ce814720fe8184752</ns0:t>
        </ns0:is>
      </ns0:c>
      <ns0:c r="L636" s="2" t="inlineStr">
        <ns0:is>
          <ns0:t>identity_and_body_structure_verified</ns0:t>
        </ns0:is>
      </ns0:c>
      <ns0:c r="M636" s="2" t="inlineStr"/>
      <ns0:c r="N636" s="2" t="inlineStr">
        <ns0:is>
          <ns0:t>首页/前两页题名作者或目标DOI核对，全部页面解析及正文结构检查；不据文件名判全文。</ns0:t>
        </ns0:is>
      </ns0:c>
      <ns0:c r="O636" s="2" t="inlineStr">
        <ns0:is>
          <ns0:t>https://github.com/Colliam-Vermilion/FirstCodex/blob/results/ad-oxygen-literature-20261006/results/ad-oxygen-literature-20261006/original_files/R11537/fulltext/fulltext__published__f5f6c181febec1b2.pdf</ns0:t>
        </ns0:is>
      </ns0:c>
    </ns0:row>
    <ns0:row r="637" ht="48" customHeight="1">
      <ns0:c r="A637" s="3" t="inlineStr">
        <ns0:is>
          <ns0:t>R13969</ns0:t>
        </ns0:is>
      </ns0:c>
      <ns0:c r="B637" s="3" t="inlineStr">
        <ns0:is>
          <ns0:t>Effects of microaeration on hydrogen and methane production from cassava wastewater using a two-stage UASB system</ns0:t>
        </ns0:is>
      </ns0:c>
      <ns0:c r="C637" s="3" t="inlineStr">
        <ns0:is>
          <ns0:t>10.58837/chula.the.2015.1953</ns0:t>
        </ns0:is>
      </ns0:c>
      <ns0:c r="D637" s="3" t="inlineStr">
        <ns0:is>
          <ns0:t>source_evidence</ns0:t>
        </ns0:is>
      </ns0:c>
      <ns0:c r="E637" s="3" t="inlineStr"/>
      <ns0:c r="F637" s="3" t="inlineStr">
        <ns0:is>
          <ns0:t>publisher_article_page_20261017.html</ns0:t>
        </ns0:is>
      </ns0:c>
      <ns0:c r="G637" s="3" t="inlineStr">
        <ns0:is>
          <ns0:t>original_files/R13969/evidence/source_evidence__f6379013f8a5756c.html</ns0:t>
        </ns0:is>
      </ns0:c>
      <ns0:c r="H637" s="3" t="inlineStr">
        <ns0:is>
          <ns0:t>cloud_existing</ns0:t>
        </ns0:is>
      </ns0:c>
      <ns0:c r="I637" s="3" t="inlineStr">
        <ns0:is>
          <ns0:t>original_files/source_evidence/R13969/publisher_article_page_20261017.html</ns0:t>
        </ns0:is>
      </ns0:c>
      <ns0:c r="J637" s="3" t="n">
        <ns0:v>184164</ns0:v>
      </ns0:c>
      <ns0:c r="K637" s="3" t="inlineStr">
        <ns0:is>
          <ns0:t>f6379013f8a5756cf33778f5116d1c4506a3c95b7344af71a32ac1811b513a51</ns0:t>
        </ns0:is>
      </ns0:c>
      <ns0:c r="L637" s="3" t="inlineStr">
        <ns0:is>
          <ns0:t>text_readable</ns0:t>
        </ns0:is>
      </ns0:c>
      <ns0:c r="M637" s="3" t="inlineStr"/>
      <ns0:c r="N637" s="3" t="inlineStr"/>
      <ns0:c r="O637" s="3" t="inlineStr">
        <ns0:is>
          <ns0:t>https://github.com/Colliam-Vermilion/FirstCodex/blob/results/ad-oxygen-literature-20261006/results/ad-oxygen-literature-20261006/original_files/R13969/evidence/source_evidence__f6379013f8a5756c.html</ns0:t>
        </ns0:is>
      </ns0:c>
    </ns0:row>
    <ns0:row r="638" ht="48" customHeight="1">
      <ns0:c r="A638" s="2" t="inlineStr">
        <ns0:is>
          <ns0:t>R13844</ns0:t>
        </ns0:is>
      </ns0:c>
      <ns0:c r="B638" s="2" t="inlineStr">
        <ns0:is>
          <ns0:t>Influence of Aerobic Pretreatment of Poultry Manure on the Biogas Production Process</ns0:t>
        </ns0:is>
      </ns0:c>
      <ns0:c r="C638" s="2" t="inlineStr">
        <ns0:is>
          <ns0:t>10.3390/pr8091109</ns0:t>
        </ns0:is>
      </ns0:c>
      <ns0:c r="D638" s="2" t="inlineStr">
        <ns0:is>
          <ns0:t>source_evidence</ns0:t>
        </ns0:is>
      </ns0:c>
      <ns0:c r="E638" s="2" t="inlineStr"/>
      <ns0:c r="F638" s="2" t="inlineStr">
        <ns0:is>
          <ns0:t>publisher_article_page_20261017.html</ns0:t>
        </ns0:is>
      </ns0:c>
      <ns0:c r="G638" s="2" t="inlineStr">
        <ns0:is>
          <ns0:t>original_files/R13844/evidence/source_evidence__f68ef517bdadeb11.html</ns0:t>
        </ns0:is>
      </ns0:c>
      <ns0:c r="H638" s="2" t="inlineStr">
        <ns0:is>
          <ns0:t>cloud_existing</ns0:t>
        </ns0:is>
      </ns0:c>
      <ns0:c r="I638" s="2" t="inlineStr">
        <ns0:is>
          <ns0:t>original_files/source_evidence/R13844/publisher_article_page_20261017.html</ns0:t>
        </ns0:is>
      </ns0:c>
      <ns0:c r="J638" s="2" t="n">
        <ns0:v>501403</ns0:v>
      </ns0:c>
      <ns0:c r="K638" s="2" t="inlineStr">
        <ns0:is>
          <ns0:t>f68ef517bdadeb11a1f5d9fb5e9e569e49d0a12733923724546356ad960694a0</ns0:t>
        </ns0:is>
      </ns0:c>
      <ns0:c r="L638" s="2" t="inlineStr">
        <ns0:is>
          <ns0:t>text_readable</ns0:t>
        </ns0:is>
      </ns0:c>
      <ns0:c r="M638" s="2" t="inlineStr"/>
      <ns0:c r="N638" s="2" t="inlineStr"/>
      <ns0:c r="O638" s="2" t="inlineStr">
        <ns0:is>
          <ns0:t>https://github.com/Colliam-Vermilion/FirstCodex/blob/results/ad-oxygen-literature-20261006/results/ad-oxygen-literature-20261006/original_files/R13844/evidence/source_evidence__f68ef517bdadeb11.html</ns0:t>
        </ns0:is>
      </ns0:c>
    </ns0:row>
    <ns0:row r="639" ht="48" customHeight="1">
      <ns0:c r="A639" s="3" t="inlineStr">
        <ns0:is>
          <ns0:t>R13911</ns0:t>
        </ns0:is>
      </ns0:c>
      <ns0:c r="B639" s="3" t="inlineStr">
        <ns0:is>
          <ns0:t>Effects of nanobubble water on digestate soaking hydrolysis of rice straw</ns0:t>
        </ns0:is>
      </ns0:c>
      <ns0:c r="C639" s="3" t="inlineStr">
        <ns0:is>
          <ns0:t>10.1016/j.biortech.2024.130893</ns0:t>
        </ns0:is>
      </ns0:c>
      <ns0:c r="D639" s="3" t="inlineStr">
        <ns0:is>
          <ns0:t>fulltext</ns0:t>
        </ns0:is>
      </ns0:c>
      <ns0:c r="E639" s="3" t="inlineStr">
        <ns0:is>
          <ns0:t>作者接受稿（PDF第一页明确Author Accepted Manuscript及正式DOI；不是预印本）</ns0:t>
        </ns0:is>
      </ns0:c>
      <ns0:c r="F639" s="3" t="inlineStr">
        <ns0:is>
          <ns0:t>R13911_2024_Effects_of_nanobubble_water_on_digestate_soaking_hydrolysis_of_rice_straw_f69f672561ec.pdf</ns0:t>
        </ns0:is>
      </ns0:c>
      <ns0:c r="G639" s="3" t="inlineStr">
        <ns0:is>
          <ns0:t>original_files/R13911/fulltext/fulltext__accepted__f69f672561ec4076.pdf</ns0:t>
        </ns0:is>
      </ns0:c>
      <ns0:c r="H639" s="3" t="inlineStr">
        <ns0:is>
          <ns0:t>cloud_existing</ns0:t>
        </ns0:is>
      </ns0:c>
      <ns0:c r="I639" s="3" t="inlineStr">
        <ns0:is>
          <ns0:t>original_files/fulltext/R13911_2024_Effects_of_nanobubble_water_on_digestate_soaking_hydrolysis_of_rice_straw_f69f672561ec.pdf</ns0:t>
        </ns0:is>
      </ns0:c>
      <ns0:c r="J639" s="3" t="n">
        <ns0:v>891735</ns0:v>
      </ns0:c>
      <ns0:c r="K639" s="3" t="inlineStr">
        <ns0:is>
          <ns0:t>f69f672561ec40764eaf41be0da4b1dd071688b93f55db600acd6039fabede6e</ns0:t>
        </ns0:is>
      </ns0:c>
      <ns0:c r="L639" s="3" t="inlineStr">
        <ns0:is>
          <ns0:t>identity_and_body_structure_verified</ns0:t>
        </ns0:is>
      </ns0:c>
      <ns0:c r="M639" s="3" t="inlineStr"/>
      <ns0:c r="N639" s="3" t="inlineStr">
        <ns0:is>
          <ns0:t>首页/前两页题名作者或目标DOI核对，全部页面解析及正文结构检查；不据文件名判全文。</ns0:t>
        </ns0:is>
      </ns0:c>
      <ns0:c r="O639" s="3" t="inlineStr">
        <ns0:is>
          <ns0:t>https://github.com/Colliam-Vermilion/FirstCodex/blob/results/ad-oxygen-literature-20261006/results/ad-oxygen-literature-20261006/original_files/R13911/fulltext/fulltext__accepted__f69f672561ec4076.pdf</ns0:t>
        </ns0:is>
      </ns0:c>
    </ns0:row>
    <ns0:row r="640" ht="48" customHeight="1">
      <ns0:c r="A640" s="2" t="inlineStr">
        <ns0:is>
          <ns0:t>R06681</ns0:t>
        </ns0:is>
      </ns0:c>
      <ns0:c r="B640" s="2" t="inlineStr">
        <ns0:is>
          <ns0:t>Enhancing anaerobic digestion of agricultural residues by microaerobic conditions</ns0:t>
        </ns0:is>
      </ns0:c>
      <ns0:c r="C640" s="2" t="inlineStr">
        <ns0:is>
          <ns0:t>10.1007/s13399-019-00430-4</ns0:t>
        </ns0:is>
      </ns0:c>
      <ns0:c r="D640" s="2" t="inlineStr">
        <ns0:is>
          <ns0:t>fulltext</ns0:t>
        </ns0:is>
      </ns0:c>
      <ns0:c r="E640" s="2" t="inlineStr">
        <ns0:is>
          <ns0:t>出版版（版式及版权文字）</ns0:t>
        </ns0:is>
      </ns0:c>
      <ns0:c r="F640" s="2" t="inlineStr">
        <ns0:is>
          <ns0:t>fulltext.pdf</ns0:t>
        </ns0:is>
      </ns0:c>
      <ns0:c r="G640" s="2" t="inlineStr">
        <ns0:is>
          <ns0:t>original_files/R06681/fulltext/fulltext__published__f7020ddfca4d31c1.pdf</ns0:t>
        </ns0:is>
      </ns0:c>
      <ns0:c r="H640" s="2" t="inlineStr">
        <ns0:is>
          <ns0:t>local_upload</ns0:t>
        </ns0:is>
      </ns0:c>
      <ns0:c r="I640" s="2" t="inlineStr">
        <ns0:is>
          <ns0:t>localdownload/R06681/fulltext.pdf</ns0:t>
        </ns0:is>
      </ns0:c>
      <ns0:c r="J640" s="2" t="n">
        <ns0:v>985550</ns0:v>
      </ns0:c>
      <ns0:c r="K640" s="2" t="inlineStr">
        <ns0:is>
          <ns0:t>f7020ddfca4d31c1075ec566f625c7705373be7da420d935d9825b6aa2621c08</ns0:t>
        </ns0:is>
      </ns0:c>
      <ns0:c r="L640" s="2" t="inlineStr">
        <ns0:is>
          <ns0:t>identity_and_body_structure_verified</ns0:t>
        </ns0:is>
      </ns0:c>
      <ns0:c r="M640" s="2" t="inlineStr"/>
      <ns0:c r="N640" s="2" t="inlineStr">
        <ns0:is>
          <ns0:t>首页/前两页题名作者或目标DOI核对，全部页面解析及正文结构检查；不据文件名判全文。</ns0:t>
        </ns0:is>
      </ns0:c>
      <ns0:c r="O640" s="2" t="inlineStr">
        <ns0:is>
          <ns0:t>https://github.com/Colliam-Vermilion/FirstCodex/blob/results/ad-oxygen-literature-20261006/results/ad-oxygen-literature-20261006/original_files/R06681/fulltext/fulltext__published__f7020ddfca4d31c1.pdf</ns0:t>
        </ns0:is>
      </ns0:c>
    </ns0:row>
    <ns0:row r="641" ht="48" customHeight="1">
      <ns0:c r="A641" s="3" t="inlineStr">
        <ns0:is>
          <ns0:t>R13851</ns0:t>
        </ns0:is>
      </ns0:c>
      <ns0:c r="B641" s="3" t="inlineStr">
        <ns0:is>
          <ns0:t>Enhancing biodegradability of industrial park wastewater by packing carriers and limited aeration in the hydrolysis process</ns0:t>
        </ns0:is>
      </ns0:c>
      <ns0:c r="C641" s="3" t="inlineStr">
        <ns0:is>
          <ns0:t>10.1016/j.jclepro.2020.121638</ns0:t>
        </ns0:is>
      </ns0:c>
      <ns0:c r="D641" s="3" t="inlineStr">
        <ns0:is>
          <ns0:t>fulltext</ns0:t>
        </ns0:is>
      </ns0:c>
      <ns0:c r="E641" s="3" t="inlineStr">
        <ns0:is>
          <ns0:t>出版版（版式及版权文字）</ns0:t>
        </ns0:is>
      </ns0:c>
      <ns0:c r="F641" s="3" t="inlineStr">
        <ns0:is>
          <ns0:t>fulltext.pdf</ns0:t>
        </ns0:is>
      </ns0:c>
      <ns0:c r="G641" s="3" t="inlineStr">
        <ns0:is>
          <ns0:t>original_files/R13851/fulltext/fulltext__published__f77a19da6793811f.pdf</ns0:t>
        </ns0:is>
      </ns0:c>
      <ns0:c r="H641" s="3" t="inlineStr">
        <ns0:is>
          <ns0:t>local_upload</ns0:t>
        </ns0:is>
      </ns0:c>
      <ns0:c r="I641" s="3" t="inlineStr">
        <ns0:is>
          <ns0:t>localdownload/R13851/fulltext.pdf</ns0:t>
        </ns0:is>
      </ns0:c>
      <ns0:c r="J641" s="3" t="n">
        <ns0:v>1597179</ns0:v>
      </ns0:c>
      <ns0:c r="K641" s="3" t="inlineStr">
        <ns0:is>
          <ns0:t>f77a19da6793811f90073b5e9bf8afa4ed84bc2e6d15d8b8b0b2b26dea927878</ns0:t>
        </ns0:is>
      </ns0:c>
      <ns0:c r="L641" s="3" t="inlineStr">
        <ns0:is>
          <ns0:t>identity_and_body_structure_verified</ns0:t>
        </ns0:is>
      </ns0:c>
      <ns0:c r="M641" s="3" t="inlineStr"/>
      <ns0:c r="N641" s="3" t="inlineStr">
        <ns0:is>
          <ns0:t>首页/前两页题名作者或目标DOI核对，全部页面解析及正文结构检查；不据文件名判全文。</ns0:t>
        </ns0:is>
      </ns0:c>
      <ns0:c r="O641" s="3" t="inlineStr">
        <ns0:is>
          <ns0:t>https://github.com/Colliam-Vermilion/FirstCodex/blob/results/ad-oxygen-literature-20261006/results/ad-oxygen-literature-20261006/original_files/R13851/fulltext/fulltext__published__f77a19da6793811f.pdf</ns0:t>
        </ns0:is>
      </ns0:c>
    </ns0:row>
    <ns0:row r="642" ht="48" customHeight="1">
      <ns0:c r="A642" s="2" t="inlineStr">
        <ns0:is>
          <ns0:t>R02386</ns0:t>
        </ns0:is>
      </ns0:c>
      <ns0:c r="B642" s="2" t="inlineStr">
        <ns0:is>
          <ns0:t>Comparison of micro-aerobic and anaerobic fermentative hydrogen production from corn straw</ns0:t>
        </ns0:is>
      </ns0:c>
      <ns0:c r="C642" s="2" t="inlineStr">
        <ns0:is>
          <ns0:t>10.1016/j.ijhydene.2016.01.141</ns0:t>
        </ns0:is>
      </ns0:c>
      <ns0:c r="D642" s="2" t="inlineStr">
        <ns0:is>
          <ns0:t>supplementary</ns0:t>
        </ns0:is>
      </ns0:c>
      <ns0:c r="E642" s="2" t="inlineStr"/>
      <ns0:c r="F642" s="2" t="inlineStr">
        <ns0:is>
          <ns0:t>supplementary-mmc2.txt</ns0:t>
        </ns0:is>
      </ns0:c>
      <ns0:c r="G642" s="2" t="inlineStr">
        <ns0:is>
          <ns0:t>original_files/R02386/supplementary/supplementary__f7ab43f63a19c611.txt</ns0:t>
        </ns0:is>
      </ns0:c>
      <ns0:c r="H642" t="inlineStr">
        <ns0:is>
          <ns0:t>local_upload; main@ab8353c误传副本</ns0:t>
        </ns0:is>
      </ns0:c>
      <ns0:c r="I642" t="inlineStr">
        <ns0:is>
          <ns0:t>localdownload/R02386/supplementary-mmc2.txt; main@ab8353c:R02386/supplementary-mmc2.txt</ns0:t>
        </ns0:is>
      </ns0:c>
      <ns0:c r="J642" s="2" t="n">
        <ns0:v>118</ns0:v>
      </ns0:c>
      <ns0:c r="K642" s="2" t="inlineStr">
        <ns0:is>
          <ns0:t>f7ab43f63a19c6116fec89db0356cd7ae2e8daf19f087440d0d4cfe52b92a372</ns0:t>
        </ns0:is>
      </ns0:c>
      <ns0:c r="L642" s="2" t="inlineStr">
        <ns0:is>
          <ns0:t>text_readable</ns0:t>
        </ns0:is>
      </ns0:c>
      <ns0:c r="M642" s="2" t="inlineStr">
        <ns0:is>
          <ns0:t>directory_and_content_consistent_identity_pending</ns0:t>
        </ns0:is>
      </ns0:c>
      <ns0:c r="N642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642" s="2" t="inlineStr">
        <ns0:is>
          <ns0:t>https://github.com/Colliam-Vermilion/FirstCodex/blob/results/ad-oxygen-literature-20261006/results/ad-oxygen-literature-20261006/original_files/R02386/supplementary/supplementary__f7ab43f63a19c611.txt</ns0:t>
        </ns0:is>
      </ns0:c>
    </ns0:row>
    <ns0:row r="643" ht="48" customHeight="1">
      <ns0:c r="A643" s="3" t="inlineStr">
        <ns0:is>
          <ns0:t>R11843</ns0:t>
        </ns0:is>
      </ns0:c>
      <ns0:c r="B643" s="3" t="inlineStr">
        <ns0:is>
          <ns0:t>Micro-aeration for hydrogen sulfide reduction in full-scale anaerobic digesters with limited headspace: Performance and sulfide reduction kinetics</ns0:t>
        </ns0:is>
      </ns0:c>
      <ns0:c r="C643" s="3" t="inlineStr">
        <ns0:is>
          <ns0:t>10.1016/j.psep.2025.106911</ns0:t>
        </ns0:is>
      </ns0:c>
      <ns0:c r="D643" s="3" t="inlineStr">
        <ns0:is>
          <ns0:t>supplementary</ns0:t>
        </ns0:is>
      </ns0:c>
      <ns0:c r="E643" s="3" t="inlineStr"/>
      <ns0:c r="F643" s="3" t="inlineStr">
        <ns0:is>
          <ns0:t>supplementary.docx</ns0:t>
        </ns0:is>
      </ns0:c>
      <ns0:c r="G643" s="3" t="inlineStr">
        <ns0:is>
          <ns0:t>original_files/R11843/supplementary/supplementary__f83ab3567edc6726.docx</ns0:t>
        </ns0:is>
      </ns0:c>
      <ns0:c r="H643" s="3" t="inlineStr">
        <ns0:is>
          <ns0:t>local_upload</ns0:t>
        </ns0:is>
      </ns0:c>
      <ns0:c r="I643" s="3" t="inlineStr">
        <ns0:is>
          <ns0:t>localdownload/R11843/supplementary.docx</ns0:t>
        </ns0:is>
      </ns0:c>
      <ns0:c r="J643" s="3" t="n">
        <ns0:v>399783</ns0:v>
      </ns0:c>
      <ns0:c r="K643" s="3" t="inlineStr">
        <ns0:is>
          <ns0:t>f83ab3567edc6726554d3b81d15088eee215172f68c9a2f8741a1e8d41a4a8a9</ns0:t>
        </ns0:is>
      </ns0:c>
      <ns0:c r="L643" s="3" t="inlineStr">
        <ns0:is>
          <ns0:t>container_crc_verified</ns0:t>
        </ns0:is>
      </ns0:c>
      <ns0:c r="M643" s="3" t="inlineStr">
        <ns0:is>
          <ns0:t>directory_and_content_consistent_identity_pending</ns0:t>
        </ns0:is>
      </ns0:c>
      <ns0:c r="N643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643" s="3" t="inlineStr">
        <ns0:is>
          <ns0:t>https://github.com/Colliam-Vermilion/FirstCodex/blob/results/ad-oxygen-literature-20261006/results/ad-oxygen-literature-20261006/original_files/R11843/supplementary/supplementary__f83ab3567edc6726.docx</ns0:t>
        </ns0:is>
      </ns0:c>
    </ns0:row>
    <ns0:row r="644" ht="48" customHeight="1">
      <ns0:c r="A644" s="2" t="inlineStr">
        <ns0:is>
          <ns0:t>R08380</ns0:t>
        </ns0:is>
      </ns0:c>
      <ns0:c r="B644" s="2" t="inlineStr">
        <ns0:is>
          <ns0:t>The Measurement, Application, and Effect of Oxygen in Microbial Fermentations: Focusing on Methane and Carboxylate Production</ns0:t>
        </ns0:is>
      </ns0:c>
      <ns0:c r="C644" s="2" t="inlineStr">
        <ns0:is>
          <ns0:t>10.3390/fermentation8040138</ns0:t>
        </ns0:is>
      </ns0:c>
      <ns0:c r="D644" s="2" t="inlineStr">
        <ns0:is>
          <ns0:t>source_evidence</ns0:t>
        </ns0:is>
      </ns0:c>
      <ns0:c r="E644" s="2" t="inlineStr"/>
      <ns0:c r="F644" s="2" t="inlineStr">
        <ns0:is>
          <ns0:t>publisher_article_page_20261017.html</ns0:t>
        </ns0:is>
      </ns0:c>
      <ns0:c r="G644" s="2" t="inlineStr">
        <ns0:is>
          <ns0:t>original_files/R08380/evidence/source_evidence__f922594780c5f860.html</ns0:t>
        </ns0:is>
      </ns0:c>
      <ns0:c r="H644" s="2" t="inlineStr">
        <ns0:is>
          <ns0:t>cloud_existing</ns0:t>
        </ns0:is>
      </ns0:c>
      <ns0:c r="I644" s="2" t="inlineStr">
        <ns0:is>
          <ns0:t>original_files/source_evidence/R08380/publisher_article_page_20261017.html</ns0:t>
        </ns0:is>
      </ns0:c>
      <ns0:c r="J644" s="2" t="n">
        <ns0:v>926237</ns0:v>
      </ns0:c>
      <ns0:c r="K644" s="2" t="inlineStr">
        <ns0:is>
          <ns0:t>f922594780c5f860147afd7d850bcdd4176dc90de4392fc6850a2b57d6787ee8</ns0:t>
        </ns0:is>
      </ns0:c>
      <ns0:c r="L644" s="2" t="inlineStr">
        <ns0:is>
          <ns0:t>text_readable</ns0:t>
        </ns0:is>
      </ns0:c>
      <ns0:c r="M644" s="2" t="inlineStr"/>
      <ns0:c r="N644" s="2" t="inlineStr"/>
      <ns0:c r="O644" s="2" t="inlineStr">
        <ns0:is>
          <ns0:t>https://github.com/Colliam-Vermilion/FirstCodex/blob/results/ad-oxygen-literature-20261006/results/ad-oxygen-literature-20261006/original_files/R08380/evidence/source_evidence__f922594780c5f860.html</ns0:t>
        </ns0:is>
      </ns0:c>
    </ns0:row>
    <ns0:row r="645" ht="48" customHeight="1">
      <ns0:c r="A645" s="3" t="inlineStr">
        <ns0:is>
          <ns0:t>R07952</ns0:t>
        </ns0:is>
      </ns0:c>
      <ns0:c r="B645" s="3" t="inlineStr">
        <ns0:is>
          <ns0:t>Intermittent Microaeration Technology to Enhance the Carbon Source Release of Particulate Organic Matter in Domestic Sewage</ns0:t>
        </ns0:is>
      </ns0:c>
      <ns0:c r="C645" s="3" t="inlineStr">
        <ns0:is>
          <ns0:t>10.3390/w14121876</ns0:t>
        </ns0:is>
      </ns0:c>
      <ns0:c r="D645" s="3" t="inlineStr">
        <ns0:is>
          <ns0:t>fulltext</ns0:t>
        </ns0:is>
      </ns0:c>
      <ns0:c r="E645" s="3" t="inlineStr">
        <ns0:is>
          <ns0:t>出版版本（原页出版信息）</ns0:t>
        </ns0:is>
      </ns0:c>
      <ns0:c r="F645" s="3" t="inlineStr">
        <ns0:is>
          <ns0:t>R07952_2022_Intermittent_Microaeration_Technology_to_Enhance_the_Carbon_Source_Release.pdf</ns0:t>
        </ns0:is>
      </ns0:c>
      <ns0:c r="G645" s="3" t="inlineStr">
        <ns0:is>
          <ns0:t>original_files/R07952/fulltext/fulltext__published__f934152c4b018bed.pdf</ns0:t>
        </ns0:is>
      </ns0:c>
      <ns0:c r="H645" s="3" t="inlineStr">
        <ns0:is>
          <ns0:t>cloud_existing</ns0:t>
        </ns0:is>
      </ns0:c>
      <ns0:c r="I645" s="3" t="inlineStr">
        <ns0:is>
          <ns0:t>original_files/fulltext/R07952_2022_Intermittent_Microaeration_Technology_to_Enhance_the_Carbon_Source_Release.pdf</ns0:t>
        </ns0:is>
      </ns0:c>
      <ns0:c r="J645" s="3" t="n">
        <ns0:v>3246463</ns0:v>
      </ns0:c>
      <ns0:c r="K645" s="3" t="inlineStr">
        <ns0:is>
          <ns0:t>f934152c4b018bedada50e6fd06a3d81ff026bbe989e5ad05d93cdbb14706a5e</ns0:t>
        </ns0:is>
      </ns0:c>
      <ns0:c r="L645" s="3" t="inlineStr">
        <ns0:is>
          <ns0:t>identity_and_body_structure_verified</ns0:t>
        </ns0:is>
      </ns0:c>
      <ns0:c r="M645" s="3" t="inlineStr"/>
      <ns0:c r="N645" s="3" t="inlineStr">
        <ns0:is>
          <ns0:t>首页/前两页题名作者或目标DOI核对，全部页面解析及正文结构检查；不据文件名判全文。</ns0:t>
        </ns0:is>
      </ns0:c>
      <ns0:c r="O645" s="3" t="inlineStr">
        <ns0:is>
          <ns0:t>https://github.com/Colliam-Vermilion/FirstCodex/blob/results/ad-oxygen-literature-20261006/results/ad-oxygen-literature-20261006/original_files/R07952/fulltext/fulltext__published__f934152c4b018bed.pdf</ns0:t>
        </ns0:is>
      </ns0:c>
    </ns0:row>
    <ns0:row r="646" ht="48" customHeight="1">
      <ns0:c r="A646" s="2" t="inlineStr">
        <ns0:is>
          <ns0:t>R13935</ns0:t>
        </ns0:is>
      </ns0:c>
      <ns0:c r="B646" s="2" t="inlineStr">
        <ns0:is>
          <ns0:t>Enhancement of Fermentation Performance in the Anaerobic Co-Digestion of Chicken Manure and Corn Straw under Biogas Slurry Reflux via Air Stripping of the Digestate</ns0:t>
        </ns0:is>
      </ns0:c>
      <ns0:c r="C646" s="2" t="inlineStr">
        <ns0:is>
          <ns0:t>10.3390/agronomy14081794</ns0:t>
        </ns0:is>
      </ns0:c>
      <ns0:c r="D646" s="2" t="inlineStr">
        <ns0:is>
          <ns0:t>source_evidence</ns0:t>
        </ns0:is>
      </ns0:c>
      <ns0:c r="E646" s="2" t="inlineStr"/>
      <ns0:c r="F646" s="2" t="inlineStr">
        <ns0:is>
          <ns0:t>publisher_article_page_20261017.html</ns0:t>
        </ns0:is>
      </ns0:c>
      <ns0:c r="G646" s="2" t="inlineStr">
        <ns0:is>
          <ns0:t>original_files/R13935/evidence/source_evidence__f9450824961dfb12.html</ns0:t>
        </ns0:is>
      </ns0:c>
      <ns0:c r="H646" s="2" t="inlineStr">
        <ns0:is>
          <ns0:t>cloud_existing</ns0:t>
        </ns0:is>
      </ns0:c>
      <ns0:c r="I646" s="2" t="inlineStr">
        <ns0:is>
          <ns0:t>original_files/source_evidence/R13935/publisher_article_page_20261017.html</ns0:t>
        </ns0:is>
      </ns0:c>
      <ns0:c r="J646" s="2" t="n">
        <ns0:v>432989</ns0:v>
      </ns0:c>
      <ns0:c r="K646" s="2" t="inlineStr">
        <ns0:is>
          <ns0:t>f9450824961dfb12372bf9fbc4684f71251c9c2a6be2388ba6524121a1b63843</ns0:t>
        </ns0:is>
      </ns0:c>
      <ns0:c r="L646" s="2" t="inlineStr">
        <ns0:is>
          <ns0:t>text_readable</ns0:t>
        </ns0:is>
      </ns0:c>
      <ns0:c r="M646" s="2" t="inlineStr"/>
      <ns0:c r="N646" s="2" t="inlineStr"/>
      <ns0:c r="O646" s="2" t="inlineStr">
        <ns0:is>
          <ns0:t>https://github.com/Colliam-Vermilion/FirstCodex/blob/results/ad-oxygen-literature-20261006/results/ad-oxygen-literature-20261006/original_files/R13935/evidence/source_evidence__f9450824961dfb12.html</ns0:t>
        </ns0:is>
      </ns0:c>
    </ns0:row>
    <ns0:row r="647" ht="48" customHeight="1">
      <ns0:c r="A647" s="3" t="inlineStr">
        <ns0:is>
          <ns0:t>R13963</ns0:t>
        </ns0:is>
      </ns0:c>
      <ns0:c r="B647" s="3" t="inlineStr">
        <ns0:is>
          <ns0:t>Experimental study on biogas production through anaerobic digestion of wheat straw and urban fallen leaves</ns0:t>
        </ns0:is>
      </ns0:c>
      <ns0:c r="C647" s="3" t="inlineStr">
        <ns0:is>
          <ns0:t>10.1109/icmree.2013.6893662</ns0:t>
        </ns0:is>
      </ns0:c>
      <ns0:c r="D647" s="3" t="inlineStr">
        <ns0:is>
          <ns0:t>fulltext</ns0:t>
        </ns0:is>
      </ns0:c>
      <ns0:c r="E647" s="3" t="inlineStr">
        <ns0:is>
          <ns0:t>出版版（版式及版权文字）</ns0:t>
        </ns0:is>
      </ns0:c>
      <ns0:c r="F647" s="3" t="inlineStr">
        <ns0:is>
          <ns0:t>fulltext.pdf</ns0:t>
        </ns0:is>
      </ns0:c>
      <ns0:c r="G647" s="3" t="inlineStr">
        <ns0:is>
          <ns0:t>original_files/R13963/fulltext/fulltext__published__f9ae26e34ee8cdcc.pdf</ns0:t>
        </ns0:is>
      </ns0:c>
      <ns0:c r="H647" s="3" t="inlineStr">
        <ns0:is>
          <ns0:t>local_upload</ns0:t>
        </ns0:is>
      </ns0:c>
      <ns0:c r="I647" s="3" t="inlineStr">
        <ns0:is>
          <ns0:t>localdownload/R13963/fulltext.pdf</ns0:t>
        </ns0:is>
      </ns0:c>
      <ns0:c r="J647" s="3" t="n">
        <ns0:v>100578</ns0:v>
      </ns0:c>
      <ns0:c r="K647" s="3" t="inlineStr">
        <ns0:is>
          <ns0:t>f9ae26e34ee8cdccb55ba09a33fbed6d82cd0c5946f3e91130b24abf5a7be05f</ns0:t>
        </ns0:is>
      </ns0:c>
      <ns0:c r="L647" s="3" t="inlineStr">
        <ns0:is>
          <ns0:t>identity_and_body_structure_verified</ns0:t>
        </ns0:is>
      </ns0:c>
      <ns0:c r="M647" s="3" t="inlineStr"/>
      <ns0:c r="N647" s="3" t="inlineStr">
        <ns0:is>
          <ns0:t>首页/前两页题名作者或目标DOI核对，全部页面解析及正文结构检查；不据文件名判全文。</ns0:t>
        </ns0:is>
      </ns0:c>
      <ns0:c r="O647" s="3" t="inlineStr">
        <ns0:is>
          <ns0:t>https://github.com/Colliam-Vermilion/FirstCodex/blob/results/ad-oxygen-literature-20261006/results/ad-oxygen-literature-20261006/original_files/R13963/fulltext/fulltext__published__f9ae26e34ee8cdcc.pdf</ns0:t>
        </ns0:is>
      </ns0:c>
    </ns0:row>
    <ns0:row r="648" ht="48" customHeight="1">
      <ns0:c r="A648" s="2" t="inlineStr">
        <ns0:is>
          <ns0:t>R10894</ns0:t>
        </ns0:is>
      </ns0:c>
      <ns0:c r="B648" s="2" t="inlineStr">
        <ns0:is>
          <ns0:t>The effects of different pretreatment technologies on microbial community in anaerobic digestion process: A systematic review</ns0:t>
        </ns0:is>
      </ns0:c>
      <ns0:c r="C648" s="2" t="inlineStr">
        <ns0:is>
          <ns0:t>10.1007/s40201-024-00917-x</ns0:t>
        </ns0:is>
      </ns0:c>
      <ns0:c r="D648" s="2" t="inlineStr">
        <ns0:is>
          <ns0:t>fulltext</ns0:t>
        </ns0:is>
      </ns0:c>
      <ns0:c r="E648" s="2" t="inlineStr">
        <ns0:is>
          <ns0:t>出版版本（原页出版信息）</ns0:t>
        </ns0:is>
      </ns0:c>
      <ns0:c r="F648" s="2" t="inlineStr">
        <ns0:is>
          <ns0:t>R10894_2024_The_effects_of_different_pretreatment_technologies_on_microbial_community.pdf</ns0:t>
        </ns0:is>
      </ns0:c>
      <ns0:c r="G648" s="2" t="inlineStr">
        <ns0:is>
          <ns0:t>original_files/R10894/fulltext/fulltext__published__f9caf3b730e23f0d.pdf</ns0:t>
        </ns0:is>
      </ns0:c>
      <ns0:c r="H648" s="2" t="inlineStr">
        <ns0:is>
          <ns0:t>cloud_existing</ns0:t>
        </ns0:is>
      </ns0:c>
      <ns0:c r="I648" s="2" t="inlineStr">
        <ns0:is>
          <ns0:t>original_files/fulltext/R10894_2024_The_effects_of_different_pretreatment_technologies_on_microbial_community.pdf</ns0:t>
        </ns0:is>
      </ns0:c>
      <ns0:c r="J648" s="2" t="n">
        <ns0:v>2030435</ns0:v>
      </ns0:c>
      <ns0:c r="K648" s="2" t="inlineStr">
        <ns0:is>
          <ns0:t>f9caf3b730e23f0d9d31d71069935c39e162415bbdac53ee97821305a81be9d2</ns0:t>
        </ns0:is>
      </ns0:c>
      <ns0:c r="L648" s="2" t="inlineStr">
        <ns0:is>
          <ns0:t>identity_and_body_structure_verified</ns0:t>
        </ns0:is>
      </ns0:c>
      <ns0:c r="M648" s="2" t="inlineStr"/>
      <ns0:c r="N648" s="2" t="inlineStr">
        <ns0:is>
          <ns0:t>首页/前两页题名作者或目标DOI核对，全部页面解析及正文结构检查；不据文件名判全文。</ns0:t>
        </ns0:is>
      </ns0:c>
      <ns0:c r="O648" s="2" t="inlineStr">
        <ns0:is>
          <ns0:t>https://github.com/Colliam-Vermilion/FirstCodex/blob/results/ad-oxygen-literature-20261006/results/ad-oxygen-literature-20261006/original_files/R10894/fulltext/fulltext__published__f9caf3b730e23f0d.pdf</ns0:t>
        </ns0:is>
      </ns0:c>
    </ns0:row>
    <ns0:row r="649" ht="48" customHeight="1">
      <ns0:c r="A649" s="3" t="inlineStr">
        <ns0:is>
          <ns0:t>R00888</ns0:t>
        </ns0:is>
      </ns0:c>
      <ns0:c r="B649" s="3" t="inlineStr">
        <ns0:is>
          <ns0:t>Performance evaluation of oxygen and air for the microaerobic removal of hydrogen sulphide in biogas from cow manure anaerobic digestion.</ns0:t>
        </ns0:is>
      </ns0:c>
      <ns0:c r="C649" s="3" t="inlineStr"/>
      <ns0:c r="D649" s="3" t="inlineStr">
        <ns0:is>
          <ns0:t>fulltext</ns0:t>
        </ns0:is>
      </ns0:c>
      <ns0:c r="E649" s="3" t="inlineStr">
        <ns0:is>
          <ns0:t>版本待核实</ns0:t>
        </ns0:is>
      </ns0:c>
      <ns0:c r="F649" s="3" t="inlineStr">
        <ns0:is>
          <ns0:t>fulltext.pdf</ns0:t>
        </ns0:is>
      </ns0:c>
      <ns0:c r="G649" s="3" t="inlineStr">
        <ns0:is>
          <ns0:t>original_files/R00888/fulltext/fulltext__version_unverified__fa65f300505c073a.pdf</ns0:t>
        </ns0:is>
      </ns0:c>
      <ns0:c r="H649" s="3" t="inlineStr">
        <ns0:is>
          <ns0:t>local_upload</ns0:t>
        </ns0:is>
      </ns0:c>
      <ns0:c r="I649" s="3" t="inlineStr">
        <ns0:is>
          <ns0:t>localdownload/R00888/fulltext.pdf</ns0:t>
        </ns0:is>
      </ns0:c>
      <ns0:c r="J649" s="3" t="n">
        <ns0:v>119279</ns0:v>
      </ns0:c>
      <ns0:c r="K649" s="3" t="inlineStr">
        <ns0:is>
          <ns0:t>fa65f300505c073a011466bf5d4e8b124903b552c3b918800f68a2e6d291e6f4</ns0:t>
        </ns0:is>
      </ns0:c>
      <ns0:c r="L649" s="3" t="inlineStr">
        <ns0:is>
          <ns0:t>identity_and_body_structure_verified</ns0:t>
        </ns0:is>
      </ns0:c>
      <ns0:c r="M649" s="3" t="inlineStr"/>
      <ns0:c r="N649" s="3" t="inlineStr">
        <ns0:is>
          <ns0:t>首页/前两页题名作者或目标DOI核对，全部页面解析及正文结构检查；不据文件名判全文。</ns0:t>
        </ns0:is>
      </ns0:c>
      <ns0:c r="O649" s="3" t="inlineStr">
        <ns0:is>
          <ns0:t>https://github.com/Colliam-Vermilion/FirstCodex/blob/results/ad-oxygen-literature-20261006/results/ad-oxygen-literature-20261006/original_files/R00888/fulltext/fulltext__version_unverified__fa65f300505c073a.pdf</ns0:t>
        </ns0:is>
      </ns0:c>
    </ns0:row>
    <ns0:row r="650" ht="48" customHeight="1">
      <ns0:c r="A650" s="2" t="inlineStr">
        <ns0:is>
          <ns0:t>R13883</ns0:t>
        </ns0:is>
      </ns0:c>
      <ns0:c r="B650" s="2" t="inlineStr">
        <ns0:is>
          <ns0:t>Mesophilic aerobic digestion: An efficient and inexpensive biological pretreatment to improve biogas production from highly-recalcitrant pinewood</ns0:t>
        </ns0:is>
      </ns0:c>
      <ns0:c r="C650" s="2" t="inlineStr">
        <ns0:is>
          <ns0:t>10.1016/j.energy.2021.122361</ns0:t>
        </ns0:is>
      </ns0:c>
      <ns0:c r="D650" s="2" t="inlineStr">
        <ns0:is>
          <ns0:t>fulltext</ns0:t>
        </ns0:is>
      </ns0:c>
      <ns0:c r="E650" s="2" t="inlineStr">
        <ns0:is>
          <ns0:t>出版版（版式及版权文字）</ns0:t>
        </ns0:is>
      </ns0:c>
      <ns0:c r="F650" s="2" t="inlineStr">
        <ns0:is>
          <ns0:t>fulltext.pdf</ns0:t>
        </ns0:is>
      </ns0:c>
      <ns0:c r="G650" s="2" t="inlineStr">
        <ns0:is>
          <ns0:t>original_files/R13883/fulltext/fulltext__published__fb6094b00ff3138f.pdf</ns0:t>
        </ns0:is>
      </ns0:c>
      <ns0:c r="H650" s="2" t="inlineStr">
        <ns0:is>
          <ns0:t>local_upload</ns0:t>
        </ns0:is>
      </ns0:c>
      <ns0:c r="I650" s="2" t="inlineStr">
        <ns0:is>
          <ns0:t>localdownload/R13883/fulltext.pdf</ns0:t>
        </ns0:is>
      </ns0:c>
      <ns0:c r="J650" s="2" t="n">
        <ns0:v>2658399</ns0:v>
      </ns0:c>
      <ns0:c r="K650" s="2" t="inlineStr">
        <ns0:is>
          <ns0:t>fb6094b00ff3138ff032d597715ac3a767515e70612644b50e8c34981d6f14d7</ns0:t>
        </ns0:is>
      </ns0:c>
      <ns0:c r="L650" s="2" t="inlineStr">
        <ns0:is>
          <ns0:t>identity_and_body_structure_verified</ns0:t>
        </ns0:is>
      </ns0:c>
      <ns0:c r="M650" s="2" t="inlineStr"/>
      <ns0:c r="N650" s="2" t="inlineStr">
        <ns0:is>
          <ns0:t>首页/前两页题名作者或目标DOI核对，全部页面解析及正文结构检查；不据文件名判全文。</ns0:t>
        </ns0:is>
      </ns0:c>
      <ns0:c r="O650" s="2" t="inlineStr">
        <ns0:is>
          <ns0:t>https://github.com/Colliam-Vermilion/FirstCodex/blob/results/ad-oxygen-literature-20261006/results/ad-oxygen-literature-20261006/original_files/R13883/fulltext/fulltext__published__fb6094b00ff3138f.pdf</ns0:t>
        </ns0:is>
      </ns0:c>
    </ns0:row>
    <ns0:row r="651" ht="48" customHeight="1">
      <ns0:c r="A651" s="3" t="inlineStr">
        <ns0:is>
          <ns0:t>R13928</ns0:t>
        </ns0:is>
      </ns0:c>
      <ns0:c r="B651" s="3" t="inlineStr">
        <ns0:is>
          <ns0:t>The impact of aerobic pretreatment of agro and industrial wastes on their biomethanation potential in Nisargruna technology</ns0:t>
        </ns0:is>
      </ns0:c>
      <ns0:c r="C651" s="3" t="inlineStr">
        <ns0:is>
          <ns0:t>10.38150/sajeb.11(5).p548-556</ns0:t>
        </ns0:is>
      </ns0:c>
      <ns0:c r="D651" s="3" t="inlineStr">
        <ns0:is>
          <ns0:t>uncertain</ns0:t>
        </ns0:is>
      </ns0:c>
      <ns0:c r="E651" s="3" t="inlineStr"/>
      <ns0:c r="F651" s="3" t="inlineStr">
        <ns0:is>
          <ns0:t>R13928_2021_The_impact_of_aerobic_pretreatment_of_agro_and_industrial_wastes_on_their_biomethanation_potential_i_fb6452be0334.pdf</ns0:t>
        </ns0:is>
      </ns0:c>
      <ns0:c r="G651" s="3" t="inlineStr">
        <ns0:is>
          <ns0:t>original_files/R13928/uncertain/uncertain__fb6452be0334d630.pdf</ns0:t>
        </ns0:is>
      </ns0:c>
      <ns0:c r="H651" s="3" t="inlineStr">
        <ns0:is>
          <ns0:t>cloud_existing</ns0:t>
        </ns0:is>
      </ns0:c>
      <ns0:c r="I651" s="3" t="inlineStr">
        <ns0:is>
          <ns0:t>original_files/continuation_20261017/candidates/R13928_2021_The_impact_of_aerobic_pretreatment_of_agro_and_industrial_wastes_on_their_biomethanation_potential_i_fb6452be0334.pdf</ns0:t>
        </ns0:is>
      </ns0:c>
      <ns0:c r="J651" s="3" t="n">
        <ns0:v>261880</ns0:v>
      </ns0:c>
      <ns0:c r="K651" s="3" t="inlineStr">
        <ns0:is>
          <ns0:t>fb6452be0334d63043f1d3f9d4b07f38920d0a3cf2e325841ef969dd87c1f9f4</ns0:t>
        </ns0:is>
      </ns0:c>
      <ns0:c r="L651" s="3" t="inlineStr">
        <ns0:is>
          <ns0:t>historical_candidate_not_target_fulltext</ns0:t>
        </ns0:is>
      </ns0:c>
      <ns0:c r="M651" s="3" t="inlineStr"/>
      <ns0:c r="N651" s="3" t="inlineStr">
        <ns0:is>
          <ns0:t>历史候选抓取物：出版商目录/广告、期刊索引或检索页等，目标身份及正文不成立；原件保留，不计全文或科研补充材料。</ns0:t>
        </ns0:is>
      </ns0:c>
      <ns0:c r="O651" s="3" t="inlineStr">
        <ns0:is>
          <ns0:t>https://github.com/Colliam-Vermilion/FirstCodex/blob/results/ad-oxygen-literature-20261006/results/ad-oxygen-literature-20261006/original_files/R13928/uncertain/uncertain__fb6452be0334d630.pdf</ns0:t>
        </ns0:is>
      </ns0:c>
    </ns0:row>
    <ns0:row r="652" ht="48" customHeight="1">
      <ns0:c r="A652" s="2" t="inlineStr">
        <ns0:is>
          <ns0:t>R09236</ns0:t>
        </ns0:is>
      </ns0:c>
      <ns0:c r="B652" s="2" t="inlineStr">
        <ns0:is>
          <ns0:t>Microbiome Diversity of Anaerobic Digesters Is Enhanced by Microaeration and Low Frequency Sound</ns0:t>
        </ns0:is>
      </ns0:c>
      <ns0:c r="C652" s="2" t="inlineStr">
        <ns0:is>
          <ns0:t>10.3390/microorganisms11092349</ns0:t>
        </ns0:is>
      </ns0:c>
      <ns0:c r="D652" s="2" t="inlineStr">
        <ns0:is>
          <ns0:t>derived</ns0:t>
        </ns0:is>
      </ns0:c>
      <ns0:c r="E652" s="2" t="inlineStr"/>
      <ns0:c r="F652" s="2" t="inlineStr">
        <ns0:is>
          <ns0:t>Sample key.xlsx</ns0:t>
        </ns0:is>
      </ns0:c>
      <ns0:c r="G652" s="2" t="inlineStr">
        <ns0:is>
          <ns0:t>original_files/R09236/derived/derived__fba7c733404cac1e.xlsx</ns0:t>
        </ns0:is>
      </ns0:c>
      <ns0:c r="H652" s="2" t="inlineStr">
        <ns0:is>
          <ns0:t>cloud_existing</ns0:t>
        </ns0:is>
      </ns0:c>
      <ns0:c r="I652" s="2" t="inlineStr">
        <ns0:is>
          <ns0:t>original_files/supplementary/R09236/Sample key.xlsx</ns0:t>
        </ns0:is>
      </ns0:c>
      <ns0:c r="J652" s="2" t="n">
        <ns0:v>133957</ns0:v>
      </ns0:c>
      <ns0:c r="K652" s="2" t="inlineStr">
        <ns0:is>
          <ns0:t>fba7c733404cac1e2af50d0ff766db4c46dbf54098136e36f80d71f5ccbaaad5</ns0:t>
        </ns0:is>
      </ns0:c>
      <ns0:c r="L652" s="2" t="inlineStr">
        <ns0:is>
          <ns0:t>xlsx_open_and_zip_crc_verified</ns0:t>
        </ns0:is>
      </ns0:c>
      <ns0:c r="M652" s="2" t="inlineStr"/>
      <ns0:c r="N652" s="2" t="inlineStr"/>
      <ns0:c r="O652" s="2" t="inlineStr">
        <ns0:is>
          <ns0:t>https://github.com/Colliam-Vermilion/FirstCodex/blob/results/ad-oxygen-literature-20261006/results/ad-oxygen-literature-20261006/original_files/R09236/derived/derived__fba7c733404cac1e.xlsx</ns0:t>
        </ns0:is>
      </ns0:c>
    </ns0:row>
    <ns0:row r="653" ht="48" customHeight="1">
      <ns0:c r="A653" s="3" t="inlineStr">
        <ns0:is>
          <ns0:t>R11655</ns0:t>
        </ns0:is>
      </ns0:c>
      <ns0:c r="B653" s="3" t="inlineStr">
        <ns0:is>
          <ns0:t>Hydrolysis and methane yield enhancement of anaerobic co-digestion of kitchen waste and sewage sludge by air/carbon dioxide nanobubble water</ns0:t>
        </ns0:is>
      </ns0:c>
      <ns0:c r="C653" s="3" t="inlineStr">
        <ns0:is>
          <ns0:t>10.1016/j.fuel.2024.133456</ns0:t>
        </ns0:is>
      </ns0:c>
      <ns0:c r="D653" s="3" t="inlineStr">
        <ns0:is>
          <ns0:t>fulltext</ns0:t>
        </ns0:is>
      </ns0:c>
      <ns0:c r="E653" s="3" t="inlineStr">
        <ns0:is>
          <ns0:t>出版版（版式及版权文字）</ns0:t>
        </ns0:is>
      </ns0:c>
      <ns0:c r="F653" s="3" t="inlineStr">
        <ns0:is>
          <ns0:t>fulltext.pdf</ns0:t>
        </ns0:is>
      </ns0:c>
      <ns0:c r="G653" s="3" t="inlineStr">
        <ns0:is>
          <ns0:t>original_files/R11655/fulltext/fulltext__published__fbe29ee21ae82f48.pdf</ns0:t>
        </ns0:is>
      </ns0:c>
      <ns0:c r="H653" s="3" t="inlineStr">
        <ns0:is>
          <ns0:t>local_upload</ns0:t>
        </ns0:is>
      </ns0:c>
      <ns0:c r="I653" s="3" t="inlineStr">
        <ns0:is>
          <ns0:t>localdownload/R11655/fulltext.pdf</ns0:t>
        </ns0:is>
      </ns0:c>
      <ns0:c r="J653" s="3" t="n">
        <ns0:v>4994222</ns0:v>
      </ns0:c>
      <ns0:c r="K653" s="3" t="inlineStr">
        <ns0:is>
          <ns0:t>fbe29ee21ae82f48ab286ccee09eab8462c6515fdb18b85929ab4f89ef255efa</ns0:t>
        </ns0:is>
      </ns0:c>
      <ns0:c r="L653" s="3" t="inlineStr">
        <ns0:is>
          <ns0:t>identity_and_body_structure_verified</ns0:t>
        </ns0:is>
      </ns0:c>
      <ns0:c r="M653" s="3" t="inlineStr"/>
      <ns0:c r="N653" s="3" t="inlineStr">
        <ns0:is>
          <ns0:t>首页/前两页题名作者或目标DOI核对，全部页面解析及正文结构检查；不据文件名判全文。</ns0:t>
        </ns0:is>
      </ns0:c>
      <ns0:c r="O653" s="3" t="inlineStr">
        <ns0:is>
          <ns0:t>https://github.com/Colliam-Vermilion/FirstCodex/blob/results/ad-oxygen-literature-20261006/results/ad-oxygen-literature-20261006/original_files/R11655/fulltext/fulltext__published__fbe29ee21ae82f48.pdf</ns0:t>
        </ns0:is>
      </ns0:c>
    </ns0:row>
    <ns0:row r="654" ht="48" customHeight="1">
      <ns0:c r="A654" s="2" t="inlineStr">
        <ns0:is>
          <ns0:t>R00735</ns0:t>
        </ns0:is>
      </ns0:c>
      <ns0:c r="B654" s="2" t="inlineStr">
        <ns0:is>
          <ns0:t>Improvement of Anaerobic Digester Performance by Wastewater Recirculation through an Aerated Membrane</ns0:t>
        </ns0:is>
      </ns0:c>
      <ns0:c r="C654" s="2" t="inlineStr">
        <ns0:is>
          <ns0:t>10.13031/trans.56.9869</ns0:t>
        </ns0:is>
      </ns0:c>
      <ns0:c r="D654" s="2" t="inlineStr">
        <ns0:is>
          <ns0:t>source_evidence</ns0:t>
        </ns0:is>
      </ns0:c>
      <ns0:c r="E654" s="2" t="inlineStr"/>
      <ns0:c r="F654" s="2" t="inlineStr">
        <ns0:is>
          <ns0:t>publisher_article_page_20261017.html</ns0:t>
        </ns0:is>
      </ns0:c>
      <ns0:c r="G654" s="2" t="inlineStr">
        <ns0:is>
          <ns0:t>original_files/R00735/evidence/source_evidence__fbe84942b58dfb81.html</ns0:t>
        </ns0:is>
      </ns0:c>
      <ns0:c r="H654" s="2" t="inlineStr">
        <ns0:is>
          <ns0:t>cloud_existing</ns0:t>
        </ns0:is>
      </ns0:c>
      <ns0:c r="I654" s="2" t="inlineStr">
        <ns0:is>
          <ns0:t>original_files/source_evidence/R00735/publisher_article_page_20261017.html</ns0:t>
        </ns0:is>
      </ns0:c>
      <ns0:c r="J654" s="2" t="n">
        <ns0:v>18604</ns0:v>
      </ns0:c>
      <ns0:c r="K654" s="2" t="inlineStr">
        <ns0:is>
          <ns0:t>fbe84942b58dfb81b99138bd5095557649cf00b707c88f4a366d3346941335db</ns0:t>
        </ns0:is>
      </ns0:c>
      <ns0:c r="L654" s="2" t="inlineStr">
        <ns0:is>
          <ns0:t>text_readable</ns0:t>
        </ns0:is>
      </ns0:c>
      <ns0:c r="M654" s="2" t="inlineStr"/>
      <ns0:c r="N654" s="2" t="inlineStr"/>
      <ns0:c r="O654" s="2" t="inlineStr">
        <ns0:is>
          <ns0:t>https://github.com/Colliam-Vermilion/FirstCodex/blob/results/ad-oxygen-literature-20261006/results/ad-oxygen-literature-20261006/original_files/R00735/evidence/source_evidence__fbe84942b58dfb81.html</ns0:t>
        </ns0:is>
      </ns0:c>
    </ns0:row>
    <ns0:row r="655" ht="48" customHeight="1">
      <ns0:c r="A655" s="3" t="inlineStr">
        <ns0:is>
          <ns0:t>R13928</ns0:t>
        </ns0:is>
      </ns0:c>
      <ns0:c r="B655" s="3" t="inlineStr">
        <ns0:is>
          <ns0:t>The impact of aerobic pretreatment of agro and industrial wastes on their biomethanation potential in Nisargruna technology</ns0:t>
        </ns0:is>
      </ns0:c>
      <ns0:c r="C655" s="3" t="inlineStr">
        <ns0:is>
          <ns0:t>10.38150/sajeb.11(5).p548-556</ns0:t>
        </ns0:is>
      </ns0:c>
      <ns0:c r="D655" s="3" t="inlineStr">
        <ns0:is>
          <ns0:t>source_evidence</ns0:t>
        </ns0:is>
      </ns0:c>
      <ns0:c r="E655" s="3" t="inlineStr"/>
      <ns0:c r="F655" s="3" t="inlineStr">
        <ns0:is>
          <ns0:t>publisher_article_page_20261017.html</ns0:t>
        </ns0:is>
      </ns0:c>
      <ns0:c r="G655" s="3" t="inlineStr">
        <ns0:is>
          <ns0:t>original_files/R13928/evidence/source_evidence__fc04ae518409496c.html</ns0:t>
        </ns0:is>
      </ns0:c>
      <ns0:c r="H655" s="3" t="inlineStr">
        <ns0:is>
          <ns0:t>cloud_existing</ns0:t>
        </ns0:is>
      </ns0:c>
      <ns0:c r="I655" s="3" t="inlineStr">
        <ns0:is>
          <ns0:t>original_files/source_evidence/R13928/publisher_article_page_20261017.html</ns0:t>
        </ns0:is>
      </ns0:c>
      <ns0:c r="J655" s="3" t="n">
        <ns0:v>19480</ns0:v>
      </ns0:c>
      <ns0:c r="K655" s="3" t="inlineStr">
        <ns0:is>
          <ns0:t>fc04ae518409496ce376ea8c754af45999170c0e2c0f72bbf39619a3bfdbbcec</ns0:t>
        </ns0:is>
      </ns0:c>
      <ns0:c r="L655" s="3" t="inlineStr">
        <ns0:is>
          <ns0:t>text_readable</ns0:t>
        </ns0:is>
      </ns0:c>
      <ns0:c r="M655" s="3" t="inlineStr"/>
      <ns0:c r="N655" s="3" t="inlineStr"/>
      <ns0:c r="O655" s="3" t="inlineStr">
        <ns0:is>
          <ns0:t>https://github.com/Colliam-Vermilion/FirstCodex/blob/results/ad-oxygen-literature-20261006/results/ad-oxygen-literature-20261006/original_files/R13928/evidence/source_evidence__fc04ae518409496c.html</ns0:t>
        </ns0:is>
      </ns0:c>
    </ns0:row>
    <ns0:row r="656" ht="48" customHeight="1">
      <ns0:c r="A656" s="2" t="inlineStr">
        <ns0:is>
          <ns0:t>R13928</ns0:t>
        </ns0:is>
      </ns0:c>
      <ns0:c r="B656" s="2" t="inlineStr">
        <ns0:is>
          <ns0:t>The impact of aerobic pretreatment of agro and industrial wastes on their biomethanation potential in Nisargruna technology</ns0:t>
        </ns0:is>
      </ns0:c>
      <ns0:c r="C656" s="2" t="inlineStr">
        <ns0:is>
          <ns0:t>10.38150/sajeb.11(5).p548-556</ns0:t>
        </ns0:is>
      </ns0:c>
      <ns0:c r="D656" s="2" t="inlineStr">
        <ns0:is>
          <ns0:t>uncertain</ns0:t>
        </ns0:is>
      </ns0:c>
      <ns0:c r="E656" s="2" t="inlineStr"/>
      <ns0:c r="F656" s="2" t="inlineStr">
        <ns0:is>
          <ns0:t>R13928_2021_The_impact_of_aerobic_pretreatment_of_agro_and_industrial_wastes_on_their_biomethanation_potential_i_fc155477aa56.pdf</ns0:t>
        </ns0:is>
      </ns0:c>
      <ns0:c r="G656" s="2" t="inlineStr">
        <ns0:is>
          <ns0:t>original_files/R13928/uncertain/uncertain__fc155477aa5670a5.pdf</ns0:t>
        </ns0:is>
      </ns0:c>
      <ns0:c r="H656" s="2" t="inlineStr">
        <ns0:is>
          <ns0:t>cloud_existing</ns0:t>
        </ns0:is>
      </ns0:c>
      <ns0:c r="I656" s="2" t="inlineStr">
        <ns0:is>
          <ns0:t>original_files/continuation_20261017/candidates/R13928_2021_The_impact_of_aerobic_pretreatment_of_agro_and_industrial_wastes_on_their_biomethanation_potential_i_fc155477aa56.pdf</ns0:t>
        </ns0:is>
      </ns0:c>
      <ns0:c r="J656" s="2" t="n">
        <ns0:v>1079761</ns0:v>
      </ns0:c>
      <ns0:c r="K656" s="2" t="inlineStr">
        <ns0:is>
          <ns0:t>fc155477aa5670a596a0b96528b751000b20e9d9d97e0a16a897be62ed68468b</ns0:t>
        </ns0:is>
      </ns0:c>
      <ns0:c r="L656" s="2" t="inlineStr">
        <ns0:is>
          <ns0:t>historical_candidate_not_target_fulltext</ns0:t>
        </ns0:is>
      </ns0:c>
      <ns0:c r="M656" s="2" t="inlineStr"/>
      <ns0:c r="N656" s="2" t="inlineStr">
        <ns0:is>
          <ns0:t>历史候选抓取物：出版商目录/广告、期刊索引或检索页等，目标身份及正文不成立；原件保留，不计全文或科研补充材料。</ns0:t>
        </ns0:is>
      </ns0:c>
      <ns0:c r="O656" s="2" t="inlineStr">
        <ns0:is>
          <ns0:t>https://github.com/Colliam-Vermilion/FirstCodex/blob/results/ad-oxygen-literature-20261006/results/ad-oxygen-literature-20261006/original_files/R13928/uncertain/uncertain__fc155477aa5670a5.pdf</ns0:t>
        </ns0:is>
      </ns0:c>
    </ns0:row>
    <ns0:row r="657" ht="48" customHeight="1">
      <ns0:c r="A657" s="3" t="inlineStr">
        <ns0:is>
          <ns0:t>R13933</ns0:t>
        </ns0:is>
      </ns0:c>
      <ns0:c r="B657" s="3" t="inlineStr">
        <ns0:is>
          <ns0:t>Assessment of the aerobic preparation and bottom ash addition as pretreatment steps before landfilling: Impact on methanogenesis kinetics and leachate parameters</ns0:t>
        </ns0:is>
      </ns0:c>
      <ns0:c r="C657" s="3" t="inlineStr">
        <ns0:is>
          <ns0:t>10.1016/j.wasman.2012.04.011</ns0:t>
        </ns0:is>
      </ns0:c>
      <ns0:c r="D657" s="3" t="inlineStr">
        <ns0:is>
          <ns0:t>fulltext</ns0:t>
        </ns0:is>
      </ns0:c>
      <ns0:c r="E657" s="3" t="inlineStr">
        <ns0:is>
          <ns0:t>出版版（版式及版权文字）</ns0:t>
        </ns0:is>
      </ns0:c>
      <ns0:c r="F657" s="3" t="inlineStr">
        <ns0:is>
          <ns0:t>fulltext.pdf</ns0:t>
        </ns0:is>
      </ns0:c>
      <ns0:c r="G657" s="3" t="inlineStr">
        <ns0:is>
          <ns0:t>original_files/R13933/fulltext/fulltext__published__fc7bd824e1f7a3d8.pdf</ns0:t>
        </ns0:is>
      </ns0:c>
      <ns0:c r="H657" s="3" t="inlineStr">
        <ns0:is>
          <ns0:t>local_upload</ns0:t>
        </ns0:is>
      </ns0:c>
      <ns0:c r="I657" s="3" t="inlineStr">
        <ns0:is>
          <ns0:t>localdownload/R13933/fulltext.pdf</ns0:t>
        </ns0:is>
      </ns0:c>
      <ns0:c r="J657" s="3" t="n">
        <ns0:v>1484729</ns0:v>
      </ns0:c>
      <ns0:c r="K657" s="3" t="inlineStr">
        <ns0:is>
          <ns0:t>fc7bd824e1f7a3d826bdf22a3929a360c8c19b3809f6f4aaa20cb4a7293799c1</ns0:t>
        </ns0:is>
      </ns0:c>
      <ns0:c r="L657" s="3" t="inlineStr">
        <ns0:is>
          <ns0:t>identity_and_body_structure_verified</ns0:t>
        </ns0:is>
      </ns0:c>
      <ns0:c r="M657" s="3" t="inlineStr"/>
      <ns0:c r="N657" s="3" t="inlineStr">
        <ns0:is>
          <ns0:t>首页/前两页题名作者或目标DOI核对，全部页面解析及正文结构检查；不据文件名判全文。</ns0:t>
        </ns0:is>
      </ns0:c>
      <ns0:c r="O657" s="3" t="inlineStr">
        <ns0:is>
          <ns0:t>https://github.com/Colliam-Vermilion/FirstCodex/blob/results/ad-oxygen-literature-20261006/results/ad-oxygen-literature-20261006/original_files/R13933/fulltext/fulltext__published__fc7bd824e1f7a3d8.pdf</ns0:t>
        </ns0:is>
      </ns0:c>
    </ns0:row>
    <ns0:row r="658" ht="48" customHeight="1">
      <ns0:c r="A658" s="2" t="inlineStr">
        <ns0:is>
          <ns0:t>R13821</ns0:t>
        </ns0:is>
      </ns0:c>
      <ns0:c r="B658" s="2" t="inlineStr">
        <ns0:is>
          <ns0:t>Improvement of methane generation capacity by aerobic pre-treatment of organic waste with a cellulolytic Trichoderma viride culture</ns0:t>
        </ns0:is>
      </ns0:c>
      <ns0:c r="C658" s="2" t="inlineStr">
        <ns0:is>
          <ns0:t>10.1016/j.jenvman.2013.07.030</ns0:t>
        </ns0:is>
      </ns0:c>
      <ns0:c r="D658" s="2" t="inlineStr">
        <ns0:is>
          <ns0:t>fulltext</ns0:t>
        </ns0:is>
      </ns0:c>
      <ns0:c r="E658" s="2" t="inlineStr">
        <ns0:is>
          <ns0:t>出版版（版式及版权文字）</ns0:t>
        </ns0:is>
      </ns0:c>
      <ns0:c r="F658" s="2" t="inlineStr">
        <ns0:is>
          <ns0:t>fulltext.pdf</ns0:t>
        </ns0:is>
      </ns0:c>
      <ns0:c r="G658" s="2" t="inlineStr">
        <ns0:is>
          <ns0:t>original_files/R13821/fulltext/fulltext__published__fcad403cdcabd790.pdf</ns0:t>
        </ns0:is>
      </ns0:c>
      <ns0:c r="H658" s="2" t="inlineStr">
        <ns0:is>
          <ns0:t>local_upload</ns0:t>
        </ns0:is>
      </ns0:c>
      <ns0:c r="I658" s="2" t="inlineStr">
        <ns0:is>
          <ns0:t>localdownload/R13821/fulltext.pdf</ns0:t>
        </ns0:is>
      </ns0:c>
      <ns0:c r="J658" s="2" t="n">
        <ns0:v>425634</ns0:v>
      </ns0:c>
      <ns0:c r="K658" s="2" t="inlineStr">
        <ns0:is>
          <ns0:t>fcad403cdcabd790e62666c31f86555ccaff4f22ef665fd6e1c226823667e812</ns0:t>
        </ns0:is>
      </ns0:c>
      <ns0:c r="L658" s="2" t="inlineStr">
        <ns0:is>
          <ns0:t>identity_and_body_structure_verified</ns0:t>
        </ns0:is>
      </ns0:c>
      <ns0:c r="M658" s="2" t="inlineStr"/>
      <ns0:c r="N658" s="2" t="inlineStr">
        <ns0:is>
          <ns0:t>首页/前两页题名作者或目标DOI核对，全部页面解析及正文结构检查；不据文件名判全文。</ns0:t>
        </ns0:is>
      </ns0:c>
      <ns0:c r="O658" s="2" t="inlineStr">
        <ns0:is>
          <ns0:t>https://github.com/Colliam-Vermilion/FirstCodex/blob/results/ad-oxygen-literature-20261006/results/ad-oxygen-literature-20261006/original_files/R13821/fulltext/fulltext__published__fcad403cdcabd790.pdf</ns0:t>
        </ns0:is>
      </ns0:c>
    </ns0:row>
    <ns0:row r="659" ht="48" customHeight="1">
      <ns0:c r="A659" s="3" t="inlineStr">
        <ns0:is>
          <ns0:t>R13857</ns0:t>
        </ns0:is>
      </ns0:c>
      <ns0:c r="B659" s="3" t="inlineStr">
        <ns0:is>
          <ns0:t>Effects of biological pretreatments of microalgae on hydrolysis, biomethane potential and microbial community</ns0:t>
        </ns0:is>
      </ns0:c>
      <ns0:c r="C659" s="3" t="inlineStr">
        <ns0:is>
          <ns0:t>10.1016/j.biortech.2021.124905</ns0:t>
        </ns0:is>
      </ns0:c>
      <ns0:c r="D659" s="3" t="inlineStr">
        <ns0:is>
          <ns0:t>fulltext</ns0:t>
        </ns0:is>
      </ns0:c>
      <ns0:c r="E659" s="3" t="inlineStr">
        <ns0:is>
          <ns0:t>出版版（版式及版权文字）</ns0:t>
        </ns0:is>
      </ns0:c>
      <ns0:c r="F659" s="3" t="inlineStr">
        <ns0:is>
          <ns0:t>fulltext.pdf</ns0:t>
        </ns0:is>
      </ns0:c>
      <ns0:c r="G659" s="3" t="inlineStr">
        <ns0:is>
          <ns0:t>original_files/R13857/fulltext/fulltext__published__fd249ecb9e0d9de6.pdf</ns0:t>
        </ns0:is>
      </ns0:c>
      <ns0:c r="H659" s="3" t="inlineStr">
        <ns0:is>
          <ns0:t>local_upload</ns0:t>
        </ns0:is>
      </ns0:c>
      <ns0:c r="I659" s="3" t="inlineStr">
        <ns0:is>
          <ns0:t>localdownload/R13857/fulltext.pdf</ns0:t>
        </ns0:is>
      </ns0:c>
      <ns0:c r="J659" s="3" t="n">
        <ns0:v>2429166</ns0:v>
      </ns0:c>
      <ns0:c r="K659" s="3" t="inlineStr">
        <ns0:is>
          <ns0:t>fd249ecb9e0d9de666eed9cd0165c87704a4cc18733f25cce427d3fba2241084</ns0:t>
        </ns0:is>
      </ns0:c>
      <ns0:c r="L659" s="3" t="inlineStr">
        <ns0:is>
          <ns0:t>identity_and_body_structure_verified</ns0:t>
        </ns0:is>
      </ns0:c>
      <ns0:c r="M659" s="3" t="inlineStr"/>
      <ns0:c r="N659" s="3" t="inlineStr">
        <ns0:is>
          <ns0:t>首页/前两页题名作者或目标DOI核对，全部页面解析及正文结构检查；不据文件名判全文。</ns0:t>
        </ns0:is>
      </ns0:c>
      <ns0:c r="O659" s="3" t="inlineStr">
        <ns0:is>
          <ns0:t>https://github.com/Colliam-Vermilion/FirstCodex/blob/results/ad-oxygen-literature-20261006/results/ad-oxygen-literature-20261006/original_files/R13857/fulltext/fulltext__published__fd249ecb9e0d9de6.pdf</ns0:t>
        </ns0:is>
      </ns0:c>
    </ns0:row>
    <ns0:row r="660" ht="48" customHeight="1">
      <ns0:c r="A660" s="2" t="inlineStr">
        <ns0:is>
          <ns0:t>R13973</ns0:t>
        </ns0:is>
      </ns0:c>
      <ns0:c r="B660" s="2" t="inlineStr">
        <ns0:is>
          <ns0:t>Optimizing the anaerobic co-digestion of brown water and food waste for clean energy recovery, by phase separation and microaerotion : laboratory reactor performance and microbial community profiling</ns0:t>
        </ns0:is>
      </ns0:c>
      <ns0:c r="C660" s="2" t="inlineStr">
        <ns0:is>
          <ns0:t>10.32657/10356/65271</ns0:t>
        </ns0:is>
      </ns0:c>
      <ns0:c r="D660" s="2" t="inlineStr">
        <ns0:is>
          <ns0:t>fulltext</ns0:t>
        </ns0:is>
      </ns0:c>
      <ns0:c r="E660" s="2" t="inlineStr">
        <ns0:is>
          <ns0:t>学位/学生报告原稿（分章节者按组）</ns0:t>
        </ns0:is>
      </ns0:c>
      <ns0:c r="F660" s="2" t="inlineStr">
        <ns0:is>
          <ns0:t>fulltext.pdf</ns0:t>
        </ns0:is>
      </ns0:c>
      <ns0:c r="G660" s="2" t="inlineStr">
        <ns0:is>
          <ns0:t>original_files/R13973/fulltext/fulltext__thesis__fd2ff5b6b7fe8a44.pdf</ns0:t>
        </ns0:is>
      </ns0:c>
      <ns0:c r="H660" s="2" t="inlineStr">
        <ns0:is>
          <ns0:t>local_upload</ns0:t>
        </ns0:is>
      </ns0:c>
      <ns0:c r="I660" s="2" t="inlineStr">
        <ns0:is>
          <ns0:t>localdownload/R13973/fulltext.pdf</ns0:t>
        </ns0:is>
      </ns0:c>
      <ns0:c r="J660" s="2" t="n">
        <ns0:v>3850566</ns0:v>
      </ns0:c>
      <ns0:c r="K660" s="2" t="inlineStr">
        <ns0:is>
          <ns0:t>fd2ff5b6b7fe8a44447b820d12bcefcd9fa1ed470da864e72bf4f8d440daef9f</ns0:t>
        </ns0:is>
      </ns0:c>
      <ns0:c r="L660" s="2" t="inlineStr">
        <ns0:is>
          <ns0:t>identity_and_body_structure_verified</ns0:t>
        </ns0:is>
      </ns0:c>
      <ns0:c r="M660" s="2" t="inlineStr"/>
      <ns0:c r="N660" s="2" t="inlineStr">
        <ns0:is>
          <ns0:t>首页/前两页题名作者或目标DOI核对，全部页面解析及正文结构检查；不据文件名判全文。</ns0:t>
        </ns0:is>
      </ns0:c>
      <ns0:c r="O660" s="2" t="inlineStr">
        <ns0:is>
          <ns0:t>https://github.com/Colliam-Vermilion/FirstCodex/blob/results/ad-oxygen-literature-20261006/results/ad-oxygen-literature-20261006/original_files/R13973/fulltext/fulltext__thesis__fd2ff5b6b7fe8a44.pdf</ns0:t>
        </ns0:is>
      </ns0:c>
    </ns0:row>
    <ns0:row r="661" ht="48" customHeight="1">
      <ns0:c r="A661" s="3" t="inlineStr">
        <ns0:is>
          <ns0:t>R13831</ns0:t>
        </ns0:is>
      </ns0:c>
      <ns0:c r="B661" s="3" t="inlineStr">
        <ns0:is>
          <ns0:t>The effects of initial substrate concentration, C/N ratio, and temperature on solid-state anaerobic digestion from composting rice straw.</ns0:t>
        </ns0:is>
      </ns0:c>
      <ns0:c r="C661" s="3" t="inlineStr">
        <ns0:is>
          <ns0:t>10.1016/j.biortech.2014.11.089</ns0:t>
        </ns0:is>
      </ns0:c>
      <ns0:c r="D661" s="3" t="inlineStr">
        <ns0:is>
          <ns0:t>fulltext</ns0:t>
        </ns0:is>
      </ns0:c>
      <ns0:c r="E661" s="3" t="inlineStr">
        <ns0:is>
          <ns0:t>出版版（版式及版权文字）</ns0:t>
        </ns0:is>
      </ns0:c>
      <ns0:c r="F661" s="3" t="inlineStr">
        <ns0:is>
          <ns0:t>fulltext.pdf</ns0:t>
        </ns0:is>
      </ns0:c>
      <ns0:c r="G661" s="3" t="inlineStr">
        <ns0:is>
          <ns0:t>original_files/R13831/fulltext/fulltext__published__fd925abc8bff1767.pdf</ns0:t>
        </ns0:is>
      </ns0:c>
      <ns0:c r="H661" s="3" t="inlineStr">
        <ns0:is>
          <ns0:t>local_upload</ns0:t>
        </ns0:is>
      </ns0:c>
      <ns0:c r="I661" s="3" t="inlineStr">
        <ns0:is>
          <ns0:t>localdownload/R13831/fulltext.pdf</ns0:t>
        </ns0:is>
      </ns0:c>
      <ns0:c r="J661" s="3" t="n">
        <ns0:v>894001</ns0:v>
      </ns0:c>
      <ns0:c r="K661" s="3" t="inlineStr">
        <ns0:is>
          <ns0:t>fd925abc8bff176753196ef5a53851726d3d5b1f101b2bd28bd04ddba9589e02</ns0:t>
        </ns0:is>
      </ns0:c>
      <ns0:c r="L661" s="3" t="inlineStr">
        <ns0:is>
          <ns0:t>identity_and_body_structure_verified</ns0:t>
        </ns0:is>
      </ns0:c>
      <ns0:c r="M661" s="3" t="inlineStr"/>
      <ns0:c r="N661" s="3" t="inlineStr">
        <ns0:is>
          <ns0:t>首页/前两页题名作者或目标DOI核对，全部页面解析及正文结构检查；不据文件名判全文。</ns0:t>
        </ns0:is>
      </ns0:c>
      <ns0:c r="O661" s="3" t="inlineStr">
        <ns0:is>
          <ns0:t>https://github.com/Colliam-Vermilion/FirstCodex/blob/results/ad-oxygen-literature-20261006/results/ad-oxygen-literature-20261006/original_files/R13831/fulltext/fulltext__published__fd925abc8bff1767.pdf</ns0:t>
        </ns0:is>
      </ns0:c>
    </ns0:row>
    <ns0:row r="662" ht="48" customHeight="1">
      <ns0:c r="A662" s="2" t="inlineStr">
        <ns0:is>
          <ns0:t>R13866</ns0:t>
        </ns0:is>
      </ns0:c>
      <ns0:c r="B662" s="2" t="inlineStr">
        <ns0:is>
          <ns0:t>Coupling Iron Sludge Addition and Intermittent Aeration for Achieving Simultaneous Methanogenesis, Feammox, and Denitrification in a Single Reactor Treating Fish Sludge</ns0:t>
        </ns0:is>
      </ns0:c>
      <ns0:c r="C662" s="2" t="inlineStr">
        <ns0:is>
          <ns0:t>10.1021/acs.est.3c03009</ns0:t>
        </ns0:is>
      </ns0:c>
      <ns0:c r="D662" s="2" t="inlineStr">
        <ns0:is>
          <ns0:t>fulltext</ns0:t>
        </ns0:is>
      </ns0:c>
      <ns0:c r="E662" s="2" t="inlineStr">
        <ns0:is>
          <ns0:t>出版版（版式及版权文字）</ns0:t>
        </ns0:is>
      </ns0:c>
      <ns0:c r="F662" s="2" t="inlineStr">
        <ns0:is>
          <ns0:t>fulltext.pdf</ns0:t>
        </ns0:is>
      </ns0:c>
      <ns0:c r="G662" s="2" t="inlineStr">
        <ns0:is>
          <ns0:t>original_files/R13866/fulltext/fulltext__published__fda48f96690b9d81.pdf</ns0:t>
        </ns0:is>
      </ns0:c>
      <ns0:c r="H662" s="2" t="inlineStr">
        <ns0:is>
          <ns0:t>local_upload</ns0:t>
        </ns0:is>
      </ns0:c>
      <ns0:c r="I662" s="2" t="inlineStr">
        <ns0:is>
          <ns0:t>localdownload/R13866/fulltext.pdf</ns0:t>
        </ns0:is>
      </ns0:c>
      <ns0:c r="J662" s="2" t="n">
        <ns0:v>5450258</ns0:v>
      </ns0:c>
      <ns0:c r="K662" s="2" t="inlineStr">
        <ns0:is>
          <ns0:t>fda48f96690b9d81a4e4983d51b4e2ac633d5cf2d320292d7faa36e9290fc7f9</ns0:t>
        </ns0:is>
      </ns0:c>
      <ns0:c r="L662" s="2" t="inlineStr">
        <ns0:is>
          <ns0:t>identity_and_body_structure_verified</ns0:t>
        </ns0:is>
      </ns0:c>
      <ns0:c r="M662" s="2" t="inlineStr"/>
      <ns0:c r="N662" s="2" t="inlineStr">
        <ns0:is>
          <ns0:t>首页/前两页题名作者或目标DOI核对，全部页面解析及正文结构检查；不据文件名判全文。</ns0:t>
        </ns0:is>
      </ns0:c>
      <ns0:c r="O662" s="2" t="inlineStr">
        <ns0:is>
          <ns0:t>https://github.com/Colliam-Vermilion/FirstCodex/blob/results/ad-oxygen-literature-20261006/results/ad-oxygen-literature-20261006/original_files/R13866/fulltext/fulltext__published__fda48f96690b9d81.pdf</ns0:t>
        </ns0:is>
      </ns0:c>
    </ns0:row>
    <ns0:row r="663" ht="48" customHeight="1">
      <ns0:c r="A663" s="3" t="inlineStr">
        <ns0:is>
          <ns0:t>R13857</ns0:t>
        </ns0:is>
      </ns0:c>
      <ns0:c r="B663" s="3" t="inlineStr">
        <ns0:is>
          <ns0:t>Effects of biological pretreatments of microalgae on hydrolysis, biomethane potential and microbial community</ns0:t>
        </ns0:is>
      </ns0:c>
      <ns0:c r="C663" s="3" t="inlineStr">
        <ns0:is>
          <ns0:t>10.1016/j.biortech.2021.124905</ns0:t>
        </ns0:is>
      </ns0:c>
      <ns0:c r="D663" s="3" t="inlineStr">
        <ns0:is>
          <ns0:t>supplementary</ns0:t>
        </ns0:is>
      </ns0:c>
      <ns0:c r="E663" s="3" t="inlineStr"/>
      <ns0:c r="F663" s="3" t="inlineStr">
        <ns0:is>
          <ns0:t>supplementary2.xlsx</ns0:t>
        </ns0:is>
      </ns0:c>
      <ns0:c r="G663" s="3" t="inlineStr">
        <ns0:is>
          <ns0:t>original_files/R13857/supplementary/supplementary__fddf2286d3aa6622.xlsx</ns0:t>
        </ns0:is>
      </ns0:c>
      <ns0:c r="H663" s="3" t="inlineStr">
        <ns0:is>
          <ns0:t>local_upload</ns0:t>
        </ns0:is>
      </ns0:c>
      <ns0:c r="I663" s="3" t="inlineStr">
        <ns0:is>
          <ns0:t>localdownload/R13857/supplementary2.xlsx</ns0:t>
        </ns0:is>
      </ns0:c>
      <ns0:c r="J663" s="3" t="n">
        <ns0:v>50045</ns0:v>
      </ns0:c>
      <ns0:c r="K663" s="3" t="inlineStr">
        <ns0:is>
          <ns0:t>fddf2286d3aa66221f958be21d550da727c5b5b3a5361a3ae2278b9f6bcd5b82</ns0:t>
        </ns0:is>
      </ns0:c>
      <ns0:c r="L663" s="3" t="inlineStr">
        <ns0:is>
          <ns0:t>xlsx_open_and_zip_crc_verified</ns0:t>
        </ns0:is>
      </ns0:c>
      <ns0:c r="M663" s="3" t="inlineStr">
        <ns0:is>
          <ns0:t>directory_and_content_consistent_identity_pending</ns0:t>
        </ns0:is>
      </ns0:c>
      <ns0:c r="N663" s="3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663" s="3" t="inlineStr">
        <ns0:is>
          <ns0:t>https://github.com/Colliam-Vermilion/FirstCodex/blob/results/ad-oxygen-literature-20261006/results/ad-oxygen-literature-20261006/original_files/R13857/supplementary/supplementary__fddf2286d3aa6622.xlsx</ns0:t>
        </ns0:is>
      </ns0:c>
    </ns0:row>
    <ns0:row r="664" ht="48" customHeight="1">
      <ns0:c r="A664" s="2" t="inlineStr">
        <ns0:is>
          <ns0:t>R11094</ns0:t>
        </ns0:is>
      </ns0:c>
      <ns0:c r="B664" s="2" t="inlineStr">
        <ns0:is>
          <ns0:t>Aeration promotes Proteobacteria over Firmicutes in macerated food waste, resulting in superior anaerobic digestion efficiency</ns0:t>
        </ns0:is>
      </ns0:c>
      <ns0:c r="C664" s="2" t="inlineStr">
        <ns0:is>
          <ns0:t>10.1093/femsle/fnaf001</ns0:t>
        </ns0:is>
      </ns0:c>
      <ns0:c r="D664" s="2" t="inlineStr">
        <ns0:is>
          <ns0:t>supplementary</ns0:t>
        </ns0:is>
      </ns0:c>
      <ns0:c r="E664" s="2" t="inlineStr"/>
      <ns0:c r="F664" s="2" t="inlineStr">
        <ns0:is>
          <ns0:t>Supp figure 3.jpg</ns0:t>
        </ns0:is>
      </ns0:c>
      <ns0:c r="G664" s="2" t="inlineStr">
        <ns0:is>
          <ns0:t>original_files/R11094/supplementary/supplementary__feba3d05f4f0587d.jpg</ns0:t>
        </ns0:is>
      </ns0:c>
      <ns0:c r="H664" s="2" t="inlineStr">
        <ns0:is>
          <ns0:t>local_upload</ns0:t>
        </ns0:is>
      </ns0:c>
      <ns0:c r="I664" s="2" t="inlineStr">
        <ns0:is>
          <ns0:t>localdownload/R11094/Supp figure 3.jpg</ns0:t>
        </ns0:is>
      </ns0:c>
      <ns0:c r="J664" s="2" t="n">
        <ns0:v>153824</ns0:v>
      </ns0:c>
      <ns0:c r="K664" s="2" t="inlineStr">
        <ns0:is>
          <ns0:t>feba3d05f4f0587daff95df88b8ba84da529597004624e841aaeccc68696d50f</ns0:t>
        </ns0:is>
      </ns0:c>
      <ns0:c r="L664" s="2" t="inlineStr">
        <ns0:is>
          <ns0:t>image_decode_verified</ns0:t>
        </ns0:is>
      </ns0:c>
      <ns0:c r="M664" s="2" t="inlineStr">
        <ns0:is>
          <ns0:t>directory_and_content_consistent_identity_pending</ns0:t>
        </ns0:is>
      </ns0:c>
      <ns0:c r="N664" s="2" t="inlineStr">
        <ns0:is>
          <ns0:t xml:space="preserve"> 文件可打开且内容为表格/数据/图等补充材料；缺题名/DOI等唯一关联凭据，仅保留目录及内容关联，不能声称已核实附件身份或已收齐全部附件。</ns0:t>
        </ns0:is>
      </ns0:c>
      <ns0:c r="O664" s="2" t="inlineStr">
        <ns0:is>
          <ns0:t>https://github.com/Colliam-Vermilion/FirstCodex/blob/results/ad-oxygen-literature-20261006/results/ad-oxygen-literature-20261006/original_files/R11094/supplementary/supplementary__feba3d05f4f0587d.jpg</ns0:t>
        </ns0:is>
      </ns0:c>
    </ns0:row>
    <ns0:row r="665" ht="48" customHeight="1">
      <ns0:c r="A665" s="3" t="inlineStr">
        <ns0:is>
          <ns0:t>R13956</ns0:t>
        </ns0:is>
      </ns0:c>
      <ns0:c r="B665" s="3" t="inlineStr">
        <ns0:is>
          <ns0:t>Anaerobic digestion of mixed dried fallen leaves by mixing with cow dung</ns0:t>
        </ns0:is>
      </ns0:c>
      <ns0:c r="C665" s="3" t="inlineStr">
        <ns0:is>
          <ns0:t>10.3329/bjsir.v50i3.25579</ns0:t>
        </ns0:is>
      </ns0:c>
      <ns0:c r="D665" s="3" t="inlineStr">
        <ns0:is>
          <ns0:t>fulltext</ns0:t>
        </ns0:is>
      </ns0:c>
      <ns0:c r="E665" s="3" t="inlineStr">
        <ns0:is>
          <ns0:t>Version of Record / publisher-formatted journal PDF</ns0:t>
        </ns0:is>
      </ns0:c>
      <ns0:c r="F665" s="3" t="inlineStr">
        <ns0:is>
          <ns0:t>R13956_2015_Anaerobic_digestion_of_mixed_dried_fallen_leaves_by_mixing_with_cow_dung.pdf</ns0:t>
        </ns0:is>
      </ns0:c>
      <ns0:c r="G665" s="3" t="inlineStr">
        <ns0:is>
          <ns0:t>original_files/R13956/fulltext/fulltext__version_unverified__fedaffcdf5be81e2.pdf</ns0:t>
        </ns0:is>
      </ns0:c>
      <ns0:c r="H665" s="3" t="inlineStr">
        <ns0:is>
          <ns0:t>cloud_existing</ns0:t>
        </ns0:is>
      </ns0:c>
      <ns0:c r="I665" s="3" t="inlineStr">
        <ns0:is>
          <ns0:t>original_files/fulltext/R13956_2015_Anaerobic_digestion_of_mixed_dried_fallen_leaves_by_mixing_with_cow_dung.pdf</ns0:t>
        </ns0:is>
      </ns0:c>
      <ns0:c r="J665" s="3" t="n">
        <ns0:v>421626</ns0:v>
      </ns0:c>
      <ns0:c r="K665" s="3" t="inlineStr">
        <ns0:is>
          <ns0:t>fedaffcdf5be81e2070b7edb0531c332e423578228eeb8c55a6afc4ba8fe1e18</ns0:t>
        </ns0:is>
      </ns0:c>
      <ns0:c r="L665" s="3" t="inlineStr">
        <ns0:is>
          <ns0:t>identity_and_body_structure_verified</ns0:t>
        </ns0:is>
      </ns0:c>
      <ns0:c r="M665" s="3" t="inlineStr"/>
      <ns0:c r="N665" s="3" t="inlineStr">
        <ns0:is>
          <ns0:t>首页/前两页题名作者或目标DOI核对，全部页面解析及正文结构检查；不据文件名判全文。</ns0:t>
        </ns0:is>
      </ns0:c>
      <ns0:c r="O665" s="3" t="inlineStr">
        <ns0:is>
          <ns0:t>https://github.com/Colliam-Vermilion/FirstCodex/blob/results/ad-oxygen-literature-20261006/results/ad-oxygen-literature-20261006/original_files/R13956/fulltext/fulltext__version_unverified__fedaffcdf5be81e2.pdf</ns0:t>
        </ns0:is>
      </ns0:c>
    </ns0:row>
    <ns0:row r="666" ht="48" customHeight="1">
      <ns0:c r="A666" s="2" t="inlineStr">
        <ns0:is>
          <ns0:t>R12964</ns0:t>
        </ns0:is>
      </ns0:c>
      <ns0:c r="B666" s="2" t="inlineStr">
        <ns0:is>
          <ns0:t>Enhancing semi-continuous anaerobic digestion efficiency with nanobubble water: thermophysical properties optimization and microbial regulation</ns0:t>
        </ns0:is>
      </ns0:c>
      <ns0:c r="C666" s="2" t="inlineStr">
        <ns0:is>
          <ns0:t>10.1016/j.renene.2025.124921</ns0:t>
        </ns0:is>
      </ns0:c>
      <ns0:c r="D666" s="2" t="inlineStr">
        <ns0:is>
          <ns0:t>fulltext</ns0:t>
        </ns0:is>
      </ns0:c>
      <ns0:c r="E666" s="2" t="inlineStr">
        <ns0:is>
          <ns0:t>出版版（版式及版权文字）</ns0:t>
        </ns0:is>
      </ns0:c>
      <ns0:c r="F666" s="2" t="inlineStr">
        <ns0:is>
          <ns0:t>fulltext.pdf</ns0:t>
        </ns0:is>
      </ns0:c>
      <ns0:c r="G666" s="2" t="inlineStr">
        <ns0:is>
          <ns0:t>original_files/R12964/fulltext/fulltext__published__ff468fb292fcbb31.pdf</ns0:t>
        </ns0:is>
      </ns0:c>
      <ns0:c r="H666" s="2" t="inlineStr">
        <ns0:is>
          <ns0:t>local_upload</ns0:t>
        </ns0:is>
      </ns0:c>
      <ns0:c r="I666" s="2" t="inlineStr">
        <ns0:is>
          <ns0:t>localdownload/R12964/fulltext.pdf</ns0:t>
        </ns0:is>
      </ns0:c>
      <ns0:c r="J666" s="2" t="n">
        <ns0:v>8771524</ns0:v>
      </ns0:c>
      <ns0:c r="K666" s="2" t="inlineStr">
        <ns0:is>
          <ns0:t>ff468fb292fcbb31a90f875cf106a1c9ad9112577d924a0badcdc958ec4d1f33</ns0:t>
        </ns0:is>
      </ns0:c>
      <ns0:c r="L666" s="2" t="inlineStr">
        <ns0:is>
          <ns0:t>identity_and_body_structure_verified</ns0:t>
        </ns0:is>
      </ns0:c>
      <ns0:c r="M666" s="2" t="inlineStr"/>
      <ns0:c r="N666" s="2" t="inlineStr">
        <ns0:is>
          <ns0:t>首页/前两页题名作者或目标DOI核对，全部页面解析及正文结构检查；不据文件名判全文。</ns0:t>
        </ns0:is>
      </ns0:c>
      <ns0:c r="O666" s="2" t="inlineStr">
        <ns0:is>
          <ns0:t>https://github.com/Colliam-Vermilion/FirstCodex/blob/results/ad-oxygen-literature-20261006/results/ad-oxygen-literature-20261006/original_files/R12964/fulltext/fulltext__published__ff468fb292fcbb31.pdf</ns0:t>
        </ns0:is>
      </ns0:c>
    </ns0:row>
  </ns0:sheetData>
  <ns0:autoFilter ref="A1:O666"/>
  <ns0:pageMargins left="0.75" right="0.75" top="1" bottom="1" header="0.5" footer="0.5"/>
</ns0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30" customWidth="1" min="10" max="10"/>
    <col width="30" customWidth="1" min="11" max="11"/>
    <col width="30" customWidth="1" min="12" max="12"/>
    <col width="15" customWidth="1" min="13" max="13"/>
    <col width="15" customWidth="1" min="14" max="14"/>
    <col width="30" customWidth="1" min="15" max="15"/>
    <col width="15" customWidth="1" min="16" max="16"/>
    <col width="30" customWidth="1" min="17" max="17"/>
    <col width="15" customWidth="1" min="18" max="18"/>
    <col width="15" customWidth="1" min="19" max="19"/>
    <col width="48" customWidth="1" min="20" max="20"/>
    <col width="48" customWidth="1" min="21" max="21"/>
    <col width="15" customWidth="1" min="22" max="22"/>
    <col width="15" customWidth="1" min="23" max="23"/>
    <col width="15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</cols>
  <sheetData>
    <row r="1" ht="34" customHeight="1">
      <c r="A1" s="1" t="inlineStr">
        <is>
          <t>文献ID</t>
        </is>
      </c>
      <c r="B1" s="1" t="inlineStr">
        <is>
          <t>题名</t>
        </is>
      </c>
      <c r="C1" s="1" t="inlineStr">
        <is>
          <t>年份</t>
        </is>
      </c>
      <c r="D1" s="1" t="inlineStr">
        <is>
          <t>原总表年份</t>
        </is>
      </c>
      <c r="E1" s="1" t="inlineStr">
        <is>
          <t>DOI</t>
        </is>
      </c>
      <c r="F1" s="1" t="inlineStr">
        <is>
          <t>文献类型</t>
        </is>
      </c>
      <c r="G1" s="1" t="inlineStr">
        <is>
          <t>现有研究分类</t>
        </is>
      </c>
      <c r="H1" s="1" t="inlineStr">
        <is>
          <t>纳入范围</t>
        </is>
      </c>
      <c r="I1" s="1" t="inlineStr">
        <is>
          <t>统计文献组</t>
        </is>
      </c>
      <c r="J1" s="1" t="inlineStr">
        <is>
          <t>是否目标期刊论文</t>
        </is>
      </c>
      <c r="K1" s="1" t="inlineStr">
        <is>
          <t>期刊</t>
        </is>
      </c>
      <c r="L1" s="1" t="inlineStr">
        <is>
          <t>原期刊字段</t>
        </is>
      </c>
      <c r="M1" s="1" t="inlineStr">
        <is>
          <t>ISSN</t>
        </is>
      </c>
      <c r="N1" s="1" t="inlineStr">
        <is>
          <t>eISSN</t>
        </is>
      </c>
      <c r="O1" s="1" t="inlineStr">
        <is>
          <t>正文获取状态</t>
        </is>
      </c>
      <c r="P1" s="1" t="inlineStr">
        <is>
          <t>核验全文标志</t>
        </is>
      </c>
      <c r="Q1" s="1" t="inlineStr">
        <is>
          <t>补充材料状态</t>
        </is>
      </c>
      <c r="R1" s="1" t="inlineStr">
        <is>
          <t>JCR数据年份</t>
        </is>
      </c>
      <c r="S1" s="1" t="inlineStr">
        <is>
          <t>JCR发布版本</t>
        </is>
      </c>
      <c r="T1" s="1" t="inlineStr">
        <is>
          <t>学科类别</t>
        </is>
      </c>
      <c r="U1" s="1" t="inlineStr">
        <is>
          <t>JIF分区（逐学科）</t>
        </is>
      </c>
      <c r="V1" s="1" t="inlineStr">
        <is>
          <t>至少一学科Q1</t>
        </is>
      </c>
      <c r="W1" s="1" t="inlineStr">
        <is>
          <t>全部已核实学科均Q1</t>
        </is>
      </c>
      <c r="X1" s="1" t="inlineStr">
        <is>
          <t>JCR分区已核实</t>
        </is>
      </c>
      <c r="Y1" s="1" t="inlineStr">
        <is>
          <t>查询来源</t>
        </is>
      </c>
      <c r="Z1" s="1" t="inlineStr">
        <is>
          <t>期刊身份来源</t>
        </is>
      </c>
      <c r="AA1" s="1" t="inlineStr">
        <is>
          <t>核验备注</t>
        </is>
      </c>
      <c r="AB1" s="1" t="inlineStr">
        <is>
          <t>正文全部规范路径</t>
        </is>
      </c>
      <c r="AC1" s="1" t="inlineStr">
        <is>
          <t>补充材料路径</t>
        </is>
      </c>
      <c r="AD1" s="1" t="inlineStr">
        <is>
          <t>正文GitHub链接</t>
        </is>
      </c>
    </row>
    <row r="2" ht="48" customHeight="1">
      <c r="A2" s="2" t="inlineStr">
        <is>
          <t>R00028</t>
        </is>
      </c>
      <c r="B2" s="2" t="inlineStr">
        <is>
          <t>A study on the feasibility of micro-aeration for pre-treatment on the anaerobic co-digestion of food waste with brown water</t>
        </is>
      </c>
      <c r="C2" s="2" t="inlineStr">
        <is>
          <t>2012</t>
        </is>
      </c>
      <c r="D2" s="2" t="inlineStr">
        <is>
          <t>2012</t>
        </is>
      </c>
      <c r="E2" s="2" t="inlineStr"/>
      <c r="F2" s="2" t="inlineStr">
        <is>
          <t>学生毕业设计/FYP报告（非期刊文章）</t>
        </is>
      </c>
      <c r="G2" s="2" t="inlineStr">
        <is>
          <t>3 独立好氧或微好氧预处理</t>
        </is>
      </c>
      <c r="H2" s="2" t="inlineStr">
        <is>
          <t>是</t>
        </is>
      </c>
      <c r="I2" s="2" t="inlineStr">
        <is>
          <t>学位/学生报告</t>
        </is>
      </c>
      <c r="J2" s="2" t="inlineStr">
        <is>
          <t>否</t>
        </is>
      </c>
      <c r="K2" s="2" t="inlineStr">
        <is>
          <t>DR-NTU (Nanyang Technological University)</t>
        </is>
      </c>
      <c r="L2" s="2" t="inlineStr">
        <is>
          <t>DR-NTU (Nanyang Technological University)</t>
        </is>
      </c>
      <c r="M2" s="2" t="inlineStr"/>
      <c r="N2" s="2" t="inlineStr"/>
      <c r="O2" s="2" t="inlineStr">
        <is>
          <t>未取得全文</t>
        </is>
      </c>
      <c r="P2" s="2" t="inlineStr">
        <is>
          <t>否</t>
        </is>
      </c>
      <c r="Q2" s="2" t="inlineStr">
        <is>
          <t>当前无补充材料原件；沿用既有缺失/无附件证据，不据此认定无附件</t>
        </is>
      </c>
      <c r="R2" s="2" t="inlineStr"/>
      <c r="S2" s="2" t="inlineStr"/>
      <c r="T2" s="2" t="inlineStr"/>
      <c r="U2" s="2" t="inlineStr"/>
      <c r="V2" s="2" t="inlineStr">
        <is>
          <t>不适用</t>
        </is>
      </c>
      <c r="W2" s="2" t="inlineStr">
        <is>
          <t>不适用</t>
        </is>
      </c>
      <c r="X2" s="2" t="inlineStr">
        <is>
          <t>不适用</t>
        </is>
      </c>
      <c r="Y2" s="2" t="inlineStr"/>
      <c r="Z2" s="2" t="inlineStr"/>
      <c r="AA2" s="2" t="inlineStr">
        <is>
          <t>非目标期刊论文或类型待核实，不进入JCR分母</t>
        </is>
      </c>
      <c r="AB2" s="2" t="inlineStr"/>
      <c r="AC2" s="2" t="inlineStr"/>
      <c r="AD2" s="2" t="inlineStr"/>
    </row>
    <row r="3" ht="48" customHeight="1">
      <c r="A3" s="3" t="inlineStr">
        <is>
          <t>R00273</t>
        </is>
      </c>
      <c r="B3" s="3" t="inlineStr">
        <is>
          <t>Management of hydrogen sulfide in anaerobic digestion of enzyme pretreated marine macro-algae</t>
        </is>
      </c>
      <c r="C3" s="3" t="inlineStr">
        <is>
          <t>2012</t>
        </is>
      </c>
      <c r="D3" s="3" t="inlineStr">
        <is>
          <t>2012</t>
        </is>
      </c>
      <c r="E3" s="3" t="inlineStr"/>
      <c r="F3" s="3" t="inlineStr">
        <is>
          <t>期刊文章</t>
        </is>
      </c>
      <c r="G3" s="3" t="inlineStr">
        <is>
          <t>1 直接向 AD 反应器或内部循环系统供氧</t>
        </is>
      </c>
      <c r="H3" s="3" t="inlineStr">
        <is>
          <t>是</t>
        </is>
      </c>
      <c r="I3" s="3" t="inlineStr">
        <is>
          <t>类型待核实</t>
        </is>
      </c>
      <c r="J3" s="3" t="inlineStr">
        <is>
          <t>否</t>
        </is>
      </c>
      <c r="K3" s="3" t="inlineStr">
        <is>
          <t>Lund University Publications (Lund University)</t>
        </is>
      </c>
      <c r="L3" s="3" t="inlineStr">
        <is>
          <t>Lund University Publications (Lund University)</t>
        </is>
      </c>
      <c r="M3" s="3" t="inlineStr"/>
      <c r="N3" s="3" t="inlineStr"/>
      <c r="O3" s="3" t="inlineStr">
        <is>
          <t>已取得核验全文</t>
        </is>
      </c>
      <c r="P3" s="3" t="inlineStr">
        <is>
          <t>是</t>
        </is>
      </c>
      <c r="Q3" s="3" t="inlineStr">
        <is>
          <t>当前无补充材料原件；沿用既有缺失/无附件证据，不据此认定无附件</t>
        </is>
      </c>
      <c r="R3" s="3" t="inlineStr"/>
      <c r="S3" s="3" t="inlineStr"/>
      <c r="T3" s="3" t="inlineStr"/>
      <c r="U3" s="3" t="inlineStr"/>
      <c r="V3" s="3" t="inlineStr">
        <is>
          <t>不适用</t>
        </is>
      </c>
      <c r="W3" s="3" t="inlineStr">
        <is>
          <t>不适用</t>
        </is>
      </c>
      <c r="X3" s="3" t="inlineStr">
        <is>
          <t>不适用</t>
        </is>
      </c>
      <c r="Y3" s="3" t="inlineStr"/>
      <c r="Z3" s="3" t="inlineStr"/>
      <c r="AA3" s="3" t="inlineStr">
        <is>
          <t>期刊/会议或其他载体身份缺少足够凭据，单列待核实，不混入期刊论文分母 | 非目标期刊论文或类型待核实，不进入JCR分母</t>
        </is>
      </c>
      <c r="AB3" s="3" t="inlineStr">
        <is>
          <t>original_files/R00273/fulltext/fulltext__thesis__2059ae72be92bd0e.pdf</t>
        </is>
      </c>
      <c r="AC3" s="3" t="inlineStr"/>
      <c r="AD3" s="3" t="inlineStr">
        <is>
          <t>https://github.com/Colliam-Vermilion/FirstCodex/blob/results/ad-oxygen-literature-20261006/results/ad-oxygen-literature-20261006/original_files/R00273/fulltext/fulltext__thesis__2059ae72be92bd0e.pdf</t>
        </is>
      </c>
    </row>
    <row r="4" ht="48" customHeight="1">
      <c r="A4" s="2" t="inlineStr">
        <is>
          <t>R00363</t>
        </is>
      </c>
      <c r="B4" s="2" t="inlineStr">
        <is>
          <t>Production of High Calorific Biogas from Organic Wastewater and Enhancement of Anaerobic Digestion</t>
        </is>
      </c>
      <c r="C4" s="2" t="inlineStr">
        <is>
          <t>2012</t>
        </is>
      </c>
      <c r="D4" s="2" t="inlineStr">
        <is>
          <t>2012</t>
        </is>
      </c>
      <c r="E4" s="2" t="inlineStr">
        <is>
          <t>10.4028/www.scientific.net/amr.550-553.522</t>
        </is>
      </c>
      <c r="F4" s="2" t="inlineStr">
        <is>
          <t>综述</t>
        </is>
      </c>
      <c r="G4" s="2" t="inlineStr">
        <is>
          <t>4 综述</t>
        </is>
      </c>
      <c r="H4" s="2" t="inlineStr">
        <is>
          <t>是</t>
        </is>
      </c>
      <c r="I4" s="2" t="inlineStr">
        <is>
          <t>类型待核实</t>
        </is>
      </c>
      <c r="J4" s="2" t="inlineStr">
        <is>
          <t>否</t>
        </is>
      </c>
      <c r="K4" s="2" t="inlineStr">
        <is>
          <t>Advanced Materials Research</t>
        </is>
      </c>
      <c r="L4" s="2" t="inlineStr">
        <is>
          <t>Advanced Materials Research</t>
        </is>
      </c>
      <c r="M4" s="2" t="inlineStr"/>
      <c r="N4" s="2" t="inlineStr">
        <is>
          <t>1662-8985</t>
        </is>
      </c>
      <c r="O4" s="2" t="inlineStr">
        <is>
          <t>未取得全文</t>
        </is>
      </c>
      <c r="P4" s="2" t="inlineStr">
        <is>
          <t>否</t>
        </is>
      </c>
      <c r="Q4" s="2" t="inlineStr">
        <is>
          <t>当前无补充材料原件；沿用既有缺失/无附件证据，不据此认定无附件</t>
        </is>
      </c>
      <c r="R4" s="2" t="inlineStr"/>
      <c r="S4" s="2" t="inlineStr"/>
      <c r="T4" s="2" t="inlineStr"/>
      <c r="U4" s="2" t="inlineStr"/>
      <c r="V4" s="2" t="inlineStr">
        <is>
          <t>不适用</t>
        </is>
      </c>
      <c r="W4" s="2" t="inlineStr">
        <is>
          <t>不适用</t>
        </is>
      </c>
      <c r="X4" s="2" t="inlineStr">
        <is>
          <t>不适用</t>
        </is>
      </c>
      <c r="Y4" s="2" t="inlineStr"/>
      <c r="Z4" s="2" t="inlineStr">
        <is>
          <t>https://api.crossref.org/works/10.4028/www.scientific.net/amr.550-553.522</t>
        </is>
      </c>
      <c r="AA4" s="2" t="inlineStr">
        <is>
          <t>期刊/会议或其他载体身份缺少足够凭据，单列待核实，不混入期刊论文分母 | 非目标期刊论文或类型待核实，不进入JCR分母</t>
        </is>
      </c>
      <c r="AB4" s="2" t="inlineStr"/>
      <c r="AC4" s="2" t="inlineStr"/>
      <c r="AD4" s="2" t="inlineStr"/>
    </row>
    <row r="5" ht="48" customHeight="1">
      <c r="A5" s="3" t="inlineStr">
        <is>
          <t>R01126</t>
        </is>
      </c>
      <c r="B5" s="3" t="inlineStr">
        <is>
          <t>Biogas Potential from Vetiveria Zizaniodes (L.) Planted for Ecological Restoration in China</t>
        </is>
      </c>
      <c r="C5" s="3" t="inlineStr">
        <is>
          <t>2014</t>
        </is>
      </c>
      <c r="D5" s="3" t="inlineStr">
        <is>
          <t>2014</t>
        </is>
      </c>
      <c r="E5" s="3" t="inlineStr">
        <is>
          <t>10.1016/j.egypro.2014.12.291</t>
        </is>
      </c>
      <c r="F5" s="3" t="inlineStr">
        <is>
          <t>会议研究论文（非期刊文章）</t>
        </is>
      </c>
      <c r="G5" s="3" t="inlineStr">
        <is>
          <t>3 独立好氧或微好氧预处理</t>
        </is>
      </c>
      <c r="H5" s="3" t="inlineStr">
        <is>
          <t>是</t>
        </is>
      </c>
      <c r="I5" s="3" t="inlineStr">
        <is>
          <t>会议/非期刊</t>
        </is>
      </c>
      <c r="J5" s="3" t="inlineStr">
        <is>
          <t>否</t>
        </is>
      </c>
      <c r="K5" s="3" t="inlineStr">
        <is>
          <t>Energy Procedia</t>
        </is>
      </c>
      <c r="L5" s="3" t="inlineStr">
        <is>
          <t>Energy Procedia</t>
        </is>
      </c>
      <c r="M5" s="3" t="inlineStr">
        <is>
          <t>1876-6102</t>
        </is>
      </c>
      <c r="N5" s="3" t="inlineStr"/>
      <c r="O5" s="3" t="inlineStr">
        <is>
          <t>已取得核验全文</t>
        </is>
      </c>
      <c r="P5" s="3" t="inlineStr">
        <is>
          <t>是</t>
        </is>
      </c>
      <c r="Q5" s="3" t="inlineStr">
        <is>
          <t>当前无补充材料原件；沿用既有缺失/无附件证据，不据此认定无附件</t>
        </is>
      </c>
      <c r="R5" s="3" t="inlineStr"/>
      <c r="S5" s="3" t="inlineStr"/>
      <c r="T5" s="3" t="inlineStr"/>
      <c r="U5" s="3" t="inlineStr"/>
      <c r="V5" s="3" t="inlineStr">
        <is>
          <t>不适用</t>
        </is>
      </c>
      <c r="W5" s="3" t="inlineStr">
        <is>
          <t>不适用</t>
        </is>
      </c>
      <c r="X5" s="3" t="inlineStr">
        <is>
          <t>不适用</t>
        </is>
      </c>
      <c r="Y5" s="3" t="inlineStr"/>
      <c r="Z5" s="3" t="inlineStr">
        <is>
          <t>https://api.crossref.org/works/10.1016/j.egypro.2014.12.291</t>
        </is>
      </c>
      <c r="AA5" s="3" t="inlineStr">
        <is>
          <t>非目标期刊论文或类型待核实，不进入JCR分母</t>
        </is>
      </c>
      <c r="AB5" s="3" t="inlineStr">
        <is>
          <t>original_files/R01126/fulltext/fulltext__published__2c4123486329aa07.pdf</t>
        </is>
      </c>
      <c r="AC5" s="3" t="inlineStr"/>
      <c r="AD5" s="3" t="inlineStr">
        <is>
          <t>https://github.com/Colliam-Vermilion/FirstCodex/blob/results/ad-oxygen-literature-20261006/results/ad-oxygen-literature-20261006/original_files/R01126/fulltext/fulltext__published__2c4123486329aa07.pdf</t>
        </is>
      </c>
    </row>
    <row r="6" ht="48" customHeight="1">
      <c r="A6" s="2" t="inlineStr">
        <is>
          <t>R01680</t>
        </is>
      </c>
      <c r="B6" s="2" t="inlineStr">
        <is>
          <t>Biogas Recovery from MSW using Different Aeration Pretreatments</t>
        </is>
      </c>
      <c r="C6" s="2" t="inlineStr">
        <is>
          <t>2015</t>
        </is>
      </c>
      <c r="D6" s="2" t="inlineStr">
        <is>
          <t>2015</t>
        </is>
      </c>
      <c r="E6" s="2" t="inlineStr"/>
      <c r="F6" s="2" t="inlineStr">
        <is>
          <t>期刊文章</t>
        </is>
      </c>
      <c r="G6" s="2" t="inlineStr">
        <is>
          <t>1 直接向 AD 反应器或内部循环系统供氧</t>
        </is>
      </c>
      <c r="H6" s="2" t="inlineStr">
        <is>
          <t>是</t>
        </is>
      </c>
      <c r="I6" s="2" t="inlineStr">
        <is>
          <t>类型待核实</t>
        </is>
      </c>
      <c r="J6" s="2" t="inlineStr">
        <is>
          <t>否</t>
        </is>
      </c>
      <c r="K6" s="2" t="inlineStr"/>
      <c r="L6" s="2" t="inlineStr"/>
      <c r="M6" s="2" t="inlineStr"/>
      <c r="N6" s="2" t="inlineStr"/>
      <c r="O6" s="2" t="inlineStr">
        <is>
          <t>未取得全文</t>
        </is>
      </c>
      <c r="P6" s="2" t="inlineStr">
        <is>
          <t>否</t>
        </is>
      </c>
      <c r="Q6" s="2" t="inlineStr">
        <is>
          <t>当前无补充材料原件；沿用既有缺失/无附件证据，不据此认定无附件</t>
        </is>
      </c>
      <c r="R6" s="2" t="inlineStr"/>
      <c r="S6" s="2" t="inlineStr"/>
      <c r="T6" s="2" t="inlineStr"/>
      <c r="U6" s="2" t="inlineStr"/>
      <c r="V6" s="2" t="inlineStr">
        <is>
          <t>不适用</t>
        </is>
      </c>
      <c r="W6" s="2" t="inlineStr">
        <is>
          <t>不适用</t>
        </is>
      </c>
      <c r="X6" s="2" t="inlineStr">
        <is>
          <t>不适用</t>
        </is>
      </c>
      <c r="Y6" s="2" t="inlineStr"/>
      <c r="Z6" s="2" t="inlineStr"/>
      <c r="AA6" s="2" t="inlineStr">
        <is>
          <t>期刊/会议或其他载体身份缺少足够凭据，单列待核实，不混入期刊论文分母 | 非目标期刊论文或类型待核实，不进入JCR分母</t>
        </is>
      </c>
      <c r="AB6" s="2" t="inlineStr"/>
      <c r="AC6" s="2" t="inlineStr"/>
      <c r="AD6" s="2" t="inlineStr"/>
    </row>
    <row r="7" ht="48" customHeight="1">
      <c r="A7" s="3" t="inlineStr">
        <is>
          <t>R01805</t>
        </is>
      </c>
      <c r="B7" s="3" t="inlineStr">
        <is>
          <t>Effect of oxygen supply at initial stage of anaerobic digestion on biogas production from corn straw</t>
        </is>
      </c>
      <c r="C7" s="3" t="inlineStr">
        <is>
          <t>2015</t>
        </is>
      </c>
      <c r="D7" s="3" t="inlineStr">
        <is>
          <t>2015</t>
        </is>
      </c>
      <c r="E7" s="3" t="inlineStr"/>
      <c r="F7" s="3" t="inlineStr">
        <is>
          <t>期刊文章</t>
        </is>
      </c>
      <c r="G7" s="3" t="inlineStr">
        <is>
          <t>1 直接向 AD 反应器或内部循环系统供氧</t>
        </is>
      </c>
      <c r="H7" s="3" t="inlineStr">
        <is>
          <t>是</t>
        </is>
      </c>
      <c r="I7" s="3" t="inlineStr">
        <is>
          <t>类型待核实</t>
        </is>
      </c>
      <c r="J7" s="3" t="inlineStr">
        <is>
          <t>否</t>
        </is>
      </c>
      <c r="K7" s="3" t="inlineStr"/>
      <c r="L7" s="3" t="inlineStr"/>
      <c r="M7" s="3" t="inlineStr"/>
      <c r="N7" s="3" t="inlineStr"/>
      <c r="O7" s="3" t="inlineStr">
        <is>
          <t>未取得全文</t>
        </is>
      </c>
      <c r="P7" s="3" t="inlineStr">
        <is>
          <t>否</t>
        </is>
      </c>
      <c r="Q7" s="3" t="inlineStr">
        <is>
          <t>当前无补充材料原件；沿用既有缺失/无附件证据，不据此认定无附件</t>
        </is>
      </c>
      <c r="R7" s="3" t="inlineStr"/>
      <c r="S7" s="3" t="inlineStr"/>
      <c r="T7" s="3" t="inlineStr"/>
      <c r="U7" s="3" t="inlineStr"/>
      <c r="V7" s="3" t="inlineStr">
        <is>
          <t>不适用</t>
        </is>
      </c>
      <c r="W7" s="3" t="inlineStr">
        <is>
          <t>不适用</t>
        </is>
      </c>
      <c r="X7" s="3" t="inlineStr">
        <is>
          <t>不适用</t>
        </is>
      </c>
      <c r="Y7" s="3" t="inlineStr"/>
      <c r="Z7" s="3" t="inlineStr"/>
      <c r="AA7" s="3" t="inlineStr">
        <is>
          <t>期刊/会议或其他载体身份缺少足够凭据，单列待核实，不混入期刊论文分母 | 非目标期刊论文或类型待核实，不进入JCR分母</t>
        </is>
      </c>
      <c r="AB7" s="3" t="inlineStr"/>
      <c r="AC7" s="3" t="inlineStr"/>
      <c r="AD7" s="3" t="inlineStr"/>
    </row>
    <row r="8" ht="48" customHeight="1">
      <c r="A8" s="2" t="inlineStr">
        <is>
          <t>R03155</t>
        </is>
      </c>
      <c r="B8" s="2" t="inlineStr">
        <is>
          <t>Effect of bioaugmentation with hydrolytic bacteria and micro aeration on wheat straw biodegradability</t>
        </is>
      </c>
      <c r="C8" s="2" t="inlineStr">
        <is>
          <t>2016</t>
        </is>
      </c>
      <c r="D8" s="2" t="inlineStr">
        <is>
          <t>2016</t>
        </is>
      </c>
      <c r="E8" s="2" t="inlineStr"/>
      <c r="F8" s="2" t="inlineStr">
        <is>
          <t>硕士学位论文</t>
        </is>
      </c>
      <c r="G8" s="2" t="inlineStr">
        <is>
          <t>1 直接向 AD 反应器或内部循环系统供氧</t>
        </is>
      </c>
      <c r="H8" s="2" t="inlineStr">
        <is>
          <t>是</t>
        </is>
      </c>
      <c r="I8" s="2" t="inlineStr">
        <is>
          <t>学位/学生报告</t>
        </is>
      </c>
      <c r="J8" s="2" t="inlineStr">
        <is>
          <t>否</t>
        </is>
      </c>
      <c r="K8" s="2" t="inlineStr">
        <is>
          <t>DSpace - NTUA (National Technical University of Athens)</t>
        </is>
      </c>
      <c r="L8" s="2" t="inlineStr">
        <is>
          <t>DSpace - NTUA (National Technical University of Athens)</t>
        </is>
      </c>
      <c r="M8" s="2" t="inlineStr"/>
      <c r="N8" s="2" t="inlineStr"/>
      <c r="O8" s="2" t="inlineStr">
        <is>
          <t>未取得全文</t>
        </is>
      </c>
      <c r="P8" s="2" t="inlineStr">
        <is>
          <t>否</t>
        </is>
      </c>
      <c r="Q8" s="2" t="inlineStr">
        <is>
          <t>当前无补充材料原件；沿用既有缺失/无附件证据，不据此认定无附件</t>
        </is>
      </c>
      <c r="R8" s="2" t="inlineStr"/>
      <c r="S8" s="2" t="inlineStr"/>
      <c r="T8" s="2" t="inlineStr"/>
      <c r="U8" s="2" t="inlineStr"/>
      <c r="V8" s="2" t="inlineStr">
        <is>
          <t>不适用</t>
        </is>
      </c>
      <c r="W8" s="2" t="inlineStr">
        <is>
          <t>不适用</t>
        </is>
      </c>
      <c r="X8" s="2" t="inlineStr">
        <is>
          <t>不适用</t>
        </is>
      </c>
      <c r="Y8" s="2" t="inlineStr"/>
      <c r="Z8" s="2" t="inlineStr"/>
      <c r="AA8" s="2" t="inlineStr">
        <is>
          <t>非目标期刊论文或类型待核实，不进入JCR分母</t>
        </is>
      </c>
      <c r="AB8" s="2" t="inlineStr"/>
      <c r="AC8" s="2" t="inlineStr"/>
      <c r="AD8" s="2" t="inlineStr"/>
    </row>
    <row r="9" ht="48" customHeight="1">
      <c r="A9" s="3" t="inlineStr">
        <is>
          <t>R03965</t>
        </is>
      </c>
      <c r="B9" s="3" t="inlineStr">
        <is>
          <t>Fate of ammonia, solids, sterols, pharmaceuticals and polycyclic aromatic hydrocarbons in anaerobic digestion and intermittent aeration of mixed sludge</t>
        </is>
      </c>
      <c r="C9" s="3" t="inlineStr">
        <is>
          <t>2018</t>
        </is>
      </c>
      <c r="D9" s="3" t="inlineStr">
        <is>
          <t>2018</t>
        </is>
      </c>
      <c r="E9" s="3" t="inlineStr">
        <is>
          <t>10.2175/193864718824828948</t>
        </is>
      </c>
      <c r="F9" s="3" t="inlineStr">
        <is>
          <t>会议研究论文（非期刊文章）</t>
        </is>
      </c>
      <c r="G9" s="3" t="inlineStr">
        <is>
          <t>1 直接向 AD 反应器或内部循环系统供氧</t>
        </is>
      </c>
      <c r="H9" s="3" t="inlineStr">
        <is>
          <t>是</t>
        </is>
      </c>
      <c r="I9" s="3" t="inlineStr">
        <is>
          <t>会议/非期刊</t>
        </is>
      </c>
      <c r="J9" s="3" t="inlineStr">
        <is>
          <t>否</t>
        </is>
      </c>
      <c r="K9" s="3" t="inlineStr">
        <is>
          <t>Proceedings of the Water Environment Federation</t>
        </is>
      </c>
      <c r="L9" s="3" t="inlineStr">
        <is>
          <t>Proceedings of the Water Environment Federation</t>
        </is>
      </c>
      <c r="M9" s="3" t="inlineStr">
        <is>
          <t>1938-6478</t>
        </is>
      </c>
      <c r="N9" s="3" t="inlineStr"/>
      <c r="O9" s="3" t="inlineStr">
        <is>
          <t>未取得全文（上传件身份错配/相关版本，目标正文缺失）</t>
        </is>
      </c>
      <c r="P9" s="3" t="inlineStr">
        <is>
          <t>否</t>
        </is>
      </c>
      <c r="Q9" s="3" t="inlineStr">
        <is>
          <t>已取得1件原格式补充材料；其中1件唯一关联待核实；完整性未确认</t>
        </is>
      </c>
      <c r="R9" s="3" t="inlineStr"/>
      <c r="S9" s="3" t="inlineStr"/>
      <c r="T9" s="3" t="inlineStr"/>
      <c r="U9" s="3" t="inlineStr"/>
      <c r="V9" s="3" t="inlineStr">
        <is>
          <t>不适用</t>
        </is>
      </c>
      <c r="W9" s="3" t="inlineStr">
        <is>
          <t>不适用</t>
        </is>
      </c>
      <c r="X9" s="3" t="inlineStr">
        <is>
          <t>不适用</t>
        </is>
      </c>
      <c r="Y9" s="3" t="inlineStr"/>
      <c r="Z9" s="3" t="inlineStr">
        <is>
          <t>https://api.crossref.org/works/10.2175/193864718824828948</t>
        </is>
      </c>
      <c r="AA9" s="3" t="inlineStr">
        <is>
          <t>非目标期刊论文或类型待核实，不进入JCR分母 | 上传2019期刊文章，目标为2018会议文献；作者及主题关联，但题名和DOI不同，目标会议全文仍未取得</t>
        </is>
      </c>
      <c r="AB9" s="3" t="inlineStr"/>
      <c r="AC9" s="3" t="inlineStr">
        <is>
          <t>original_files/R03965/supplementary/supplementary__2a701df2118e05e1.docx</t>
        </is>
      </c>
      <c r="AD9" s="3" t="inlineStr"/>
    </row>
    <row r="10" ht="48" customHeight="1">
      <c r="A10" s="2" t="inlineStr">
        <is>
          <t>R04605</t>
        </is>
      </c>
      <c r="B10" s="2" t="inlineStr">
        <is>
          <t>Characteristics of Ultra-Fine Bubble Water and Its Effects on Anaerobic Digestion of Waste Activated Sludge</t>
        </is>
      </c>
      <c r="C10" s="2" t="inlineStr">
        <is>
          <t>2019</t>
        </is>
      </c>
      <c r="D10" s="2" t="inlineStr">
        <is>
          <t>2019</t>
        </is>
      </c>
      <c r="E10" s="2" t="inlineStr">
        <is>
          <t>10.15068/00158028</t>
        </is>
      </c>
      <c r="F10" s="2" t="inlineStr">
        <is>
          <t>博士学位论文</t>
        </is>
      </c>
      <c r="G10" s="2" t="inlineStr">
        <is>
          <t>1 直接向 AD 反应器或内部循环系统供氧</t>
        </is>
      </c>
      <c r="H10" s="2" t="inlineStr">
        <is>
          <t>是</t>
        </is>
      </c>
      <c r="I10" s="2" t="inlineStr">
        <is>
          <t>学位/学生报告</t>
        </is>
      </c>
      <c r="J10" s="2" t="inlineStr">
        <is>
          <t>否</t>
        </is>
      </c>
      <c r="K10" s="2" t="inlineStr"/>
      <c r="L10" s="2" t="inlineStr"/>
      <c r="M10" s="2" t="inlineStr"/>
      <c r="N10" s="2" t="inlineStr"/>
      <c r="O10" s="2" t="inlineStr">
        <is>
          <t>未取得全文（上传件身份错配/相关版本，目标正文缺失）</t>
        </is>
      </c>
      <c r="P10" s="2" t="inlineStr">
        <is>
          <t>否</t>
        </is>
      </c>
      <c r="Q10" s="2" t="inlineStr">
        <is>
          <t>当前无补充材料原件；沿用既有缺失/无附件证据，不据此认定无附件</t>
        </is>
      </c>
      <c r="R10" s="2" t="inlineStr"/>
      <c r="S10" s="2" t="inlineStr"/>
      <c r="T10" s="2" t="inlineStr"/>
      <c r="U10" s="2" t="inlineStr"/>
      <c r="V10" s="2" t="inlineStr">
        <is>
          <t>不适用</t>
        </is>
      </c>
      <c r="W10" s="2" t="inlineStr">
        <is>
          <t>不适用</t>
        </is>
      </c>
      <c r="X10" s="2" t="inlineStr">
        <is>
          <t>不适用</t>
        </is>
      </c>
      <c r="Y10" s="2" t="inlineStr"/>
      <c r="Z10" s="2" t="inlineStr"/>
      <c r="AA10" s="2" t="inlineStr">
        <is>
          <t>既有DOI未由Crossref返回可用元数据（可能为DataCite/JaLC等）；不据此否认记录身份 | 非目标期刊论文或类型待核实，不进入JCR分母 | 上传7页Bioresource Technology 273 (2019) 63–69期刊文章，不是目标Wang Di博士学位全文；同研究关联待核实，未另增文献ID</t>
        </is>
      </c>
      <c r="AB10" s="2" t="inlineStr"/>
      <c r="AC10" s="2" t="inlineStr"/>
      <c r="AD10" s="2" t="inlineStr"/>
    </row>
    <row r="11" ht="48" customHeight="1">
      <c r="A11" s="3" t="inlineStr">
        <is>
          <t>R04700</t>
        </is>
      </c>
      <c r="B11" s="3" t="inlineStr">
        <is>
          <t>Effect of aeration by micro - bubbles on methane production in anaerobic digestion</t>
        </is>
      </c>
      <c r="C11" s="3" t="inlineStr">
        <is>
          <t>2019</t>
        </is>
      </c>
      <c r="D11" s="3" t="inlineStr">
        <is>
          <t>2019</t>
        </is>
      </c>
      <c r="E11" s="3" t="inlineStr"/>
      <c r="F11" s="3" t="inlineStr">
        <is>
          <t>学位论文/Additional Thesis（非期刊文章）</t>
        </is>
      </c>
      <c r="G11" s="3" t="inlineStr">
        <is>
          <t>3 独立好氧或微好氧预处理</t>
        </is>
      </c>
      <c r="H11" s="3" t="inlineStr">
        <is>
          <t>是</t>
        </is>
      </c>
      <c r="I11" s="3" t="inlineStr">
        <is>
          <t>学位/学生报告</t>
        </is>
      </c>
      <c r="J11" s="3" t="inlineStr">
        <is>
          <t>否</t>
        </is>
      </c>
      <c r="K11" s="3" t="inlineStr">
        <is>
          <t>Research Repository (Delft University of Technology)</t>
        </is>
      </c>
      <c r="L11" s="3" t="inlineStr">
        <is>
          <t>Research Repository (Delft University of Technology)</t>
        </is>
      </c>
      <c r="M11" s="3" t="inlineStr"/>
      <c r="N11" s="3" t="inlineStr"/>
      <c r="O11" s="3" t="inlineStr">
        <is>
          <t>已取得核验全文</t>
        </is>
      </c>
      <c r="P11" s="3" t="inlineStr">
        <is>
          <t>是</t>
        </is>
      </c>
      <c r="Q11" s="3" t="inlineStr">
        <is>
          <t>当前无补充材料原件；沿用既有缺失/无附件证据，不据此认定无附件</t>
        </is>
      </c>
      <c r="R11" s="3" t="inlineStr"/>
      <c r="S11" s="3" t="inlineStr"/>
      <c r="T11" s="3" t="inlineStr"/>
      <c r="U11" s="3" t="inlineStr"/>
      <c r="V11" s="3" t="inlineStr">
        <is>
          <t>不适用</t>
        </is>
      </c>
      <c r="W11" s="3" t="inlineStr">
        <is>
          <t>不适用</t>
        </is>
      </c>
      <c r="X11" s="3" t="inlineStr">
        <is>
          <t>不适用</t>
        </is>
      </c>
      <c r="Y11" s="3" t="inlineStr"/>
      <c r="Z11" s="3" t="inlineStr"/>
      <c r="AA11" s="3" t="inlineStr">
        <is>
          <t>非目标期刊论文或类型待核实，不进入JCR分母</t>
        </is>
      </c>
      <c r="AB11" s="3" t="inlineStr">
        <is>
          <t>original_files/R04700/fulltext/fulltext__thesis__40ac0de29f75851c.pdf</t>
        </is>
      </c>
      <c r="AC11" s="3" t="inlineStr"/>
      <c r="AD11" s="3" t="inlineStr">
        <is>
          <t>https://github.com/Colliam-Vermilion/FirstCodex/blob/results/ad-oxygen-literature-20261006/results/ad-oxygen-literature-20261006/original_files/R04700/fulltext/fulltext__thesis__40ac0de29f75851c.pdf</t>
        </is>
      </c>
    </row>
    <row r="12" ht="48" customHeight="1">
      <c r="A12" s="2" t="inlineStr">
        <is>
          <t>R04958</t>
        </is>
      </c>
      <c r="B12" s="2" t="inlineStr">
        <is>
          <t>Microaeration in anaerobic digestion systems: effect of low oxygen concentrations on methanogenic communities</t>
        </is>
      </c>
      <c r="C12" s="2" t="inlineStr">
        <is>
          <t>2019</t>
        </is>
      </c>
      <c r="D12" s="2" t="inlineStr">
        <is>
          <t>2019</t>
        </is>
      </c>
      <c r="E12" s="2" t="inlineStr"/>
      <c r="F12" s="2" t="inlineStr">
        <is>
          <t>会议研究论文（非期刊文章）</t>
        </is>
      </c>
      <c r="G12" s="2" t="inlineStr">
        <is>
          <t>1 直接向 AD 反应器或内部循环系统供氧</t>
        </is>
      </c>
      <c r="H12" s="2" t="inlineStr">
        <is>
          <t>是</t>
        </is>
      </c>
      <c r="I12" s="2" t="inlineStr">
        <is>
          <t>会议/非期刊</t>
        </is>
      </c>
      <c r="J12" s="2" t="inlineStr">
        <is>
          <t>否</t>
        </is>
      </c>
      <c r="K12" s="2" t="inlineStr">
        <is>
          <t>Portuguese National Funding Agency for Science, Research and Technology (RCAAP Project by FCT)</t>
        </is>
      </c>
      <c r="L12" s="2" t="inlineStr">
        <is>
          <t>Portuguese National Funding Agency for Science, Research and Technology (RCAAP Project by FCT)</t>
        </is>
      </c>
      <c r="M12" s="2" t="inlineStr"/>
      <c r="N12" s="2" t="inlineStr"/>
      <c r="O12" s="2" t="inlineStr">
        <is>
          <t>未取得全文</t>
        </is>
      </c>
      <c r="P12" s="2" t="inlineStr">
        <is>
          <t>否</t>
        </is>
      </c>
      <c r="Q12" s="2" t="inlineStr">
        <is>
          <t>当前无补充材料原件；沿用既有缺失/无附件证据，不据此认定无附件</t>
        </is>
      </c>
      <c r="R12" s="2" t="inlineStr"/>
      <c r="S12" s="2" t="inlineStr"/>
      <c r="T12" s="2" t="inlineStr"/>
      <c r="U12" s="2" t="inlineStr"/>
      <c r="V12" s="2" t="inlineStr">
        <is>
          <t>不适用</t>
        </is>
      </c>
      <c r="W12" s="2" t="inlineStr">
        <is>
          <t>不适用</t>
        </is>
      </c>
      <c r="X12" s="2" t="inlineStr">
        <is>
          <t>不适用</t>
        </is>
      </c>
      <c r="Y12" s="2" t="inlineStr"/>
      <c r="Z12" s="2" t="inlineStr"/>
      <c r="AA12" s="2" t="inlineStr">
        <is>
          <t>非目标期刊论文或类型待核实，不进入JCR分母</t>
        </is>
      </c>
      <c r="AB12" s="2" t="inlineStr"/>
      <c r="AC12" s="2" t="inlineStr"/>
      <c r="AD12" s="2" t="inlineStr"/>
    </row>
    <row r="13" ht="48" customHeight="1">
      <c r="A13" s="3" t="inlineStr">
        <is>
          <t>R05196</t>
        </is>
      </c>
      <c r="B13" s="3" t="inlineStr">
        <is>
          <t>The effectiveness of pH adjustment and controlled oxygen injection to enhance acidogenic performance in two stage anaerobic digestion</t>
        </is>
      </c>
      <c r="C13" s="3" t="inlineStr">
        <is>
          <t>2019</t>
        </is>
      </c>
      <c r="D13" s="3" t="inlineStr">
        <is>
          <t>2019</t>
        </is>
      </c>
      <c r="E13" s="3" t="inlineStr">
        <is>
          <t>10.1063/1.5094994</t>
        </is>
      </c>
      <c r="F13" s="3" t="inlineStr">
        <is>
          <t>会议研究论文（非期刊文章）</t>
        </is>
      </c>
      <c r="G13" s="3" t="inlineStr">
        <is>
          <t>2 向厌氧水解或产酸阶段供氧</t>
        </is>
      </c>
      <c r="H13" s="3" t="inlineStr">
        <is>
          <t>是</t>
        </is>
      </c>
      <c r="I13" s="3" t="inlineStr">
        <is>
          <t>会议/非期刊</t>
        </is>
      </c>
      <c r="J13" s="3" t="inlineStr">
        <is>
          <t>否</t>
        </is>
      </c>
      <c r="K13" s="3" t="inlineStr">
        <is>
          <t>AIP Conference Proceedings</t>
        </is>
      </c>
      <c r="L13" s="3" t="inlineStr">
        <is>
          <t>AIP Conference Proceedings</t>
        </is>
      </c>
      <c r="M13" s="3" t="inlineStr">
        <is>
          <t>0094-243X</t>
        </is>
      </c>
      <c r="N13" s="3" t="inlineStr"/>
      <c r="O13" s="3" t="inlineStr">
        <is>
          <t>未取得全文</t>
        </is>
      </c>
      <c r="P13" s="3" t="inlineStr">
        <is>
          <t>否</t>
        </is>
      </c>
      <c r="Q13" s="3" t="inlineStr">
        <is>
          <t>当前无补充材料原件；沿用既有缺失/无附件证据，不据此认定无附件</t>
        </is>
      </c>
      <c r="R13" s="3" t="inlineStr"/>
      <c r="S13" s="3" t="inlineStr"/>
      <c r="T13" s="3" t="inlineStr"/>
      <c r="U13" s="3" t="inlineStr"/>
      <c r="V13" s="3" t="inlineStr">
        <is>
          <t>不适用</t>
        </is>
      </c>
      <c r="W13" s="3" t="inlineStr">
        <is>
          <t>不适用</t>
        </is>
      </c>
      <c r="X13" s="3" t="inlineStr">
        <is>
          <t>不适用</t>
        </is>
      </c>
      <c r="Y13" s="3" t="inlineStr"/>
      <c r="Z13" s="3" t="inlineStr">
        <is>
          <t>https://api.crossref.org/works/10.1063/1.5094994</t>
        </is>
      </c>
      <c r="AA13" s="3" t="inlineStr">
        <is>
          <t>非目标期刊论文或类型待核实，不进入JCR分母</t>
        </is>
      </c>
      <c r="AB13" s="3" t="inlineStr"/>
      <c r="AC13" s="3" t="inlineStr"/>
      <c r="AD13" s="3" t="inlineStr"/>
    </row>
    <row r="14" ht="48" customHeight="1">
      <c r="A14" s="2" t="inlineStr">
        <is>
          <t>R05473</t>
        </is>
      </c>
      <c r="B14" s="2" t="inlineStr">
        <is>
          <t>Comparison of Biogas Production Using Different Digester Operational Strategies</t>
        </is>
      </c>
      <c r="C14" s="2" t="inlineStr">
        <is>
          <t>2020</t>
        </is>
      </c>
      <c r="D14" s="2" t="inlineStr">
        <is>
          <t>2020</t>
        </is>
      </c>
      <c r="E14" s="2" t="inlineStr"/>
      <c r="F14" s="2" t="inlineStr">
        <is>
          <t>研究海报（非论文全文）</t>
        </is>
      </c>
      <c r="G14" s="2" t="inlineStr">
        <is>
          <t>1 直接向 AD 反应器或内部循环系统供氧</t>
        </is>
      </c>
      <c r="H14" s="2" t="inlineStr">
        <is>
          <t>是</t>
        </is>
      </c>
      <c r="I14" s="2" t="inlineStr">
        <is>
          <t>会议/非期刊</t>
        </is>
      </c>
      <c r="J14" s="2" t="inlineStr">
        <is>
          <t>否</t>
        </is>
      </c>
      <c r="K14" s="2" t="inlineStr">
        <is>
          <t>ISU Red - Research and eData (Illinois State University)</t>
        </is>
      </c>
      <c r="L14" s="2" t="inlineStr">
        <is>
          <t>ISU Red - Research and eData (Illinois State University)</t>
        </is>
      </c>
      <c r="M14" s="2" t="inlineStr"/>
      <c r="N14" s="2" t="inlineStr"/>
      <c r="O14" s="2" t="inlineStr">
        <is>
          <t>仅海报，未取得全文</t>
        </is>
      </c>
      <c r="P14" s="2" t="inlineStr">
        <is>
          <t>否</t>
        </is>
      </c>
      <c r="Q14" s="2" t="inlineStr">
        <is>
          <t>当前无补充材料原件；沿用既有缺失/无附件证据，不据此认定无附件</t>
        </is>
      </c>
      <c r="R14" s="2" t="inlineStr"/>
      <c r="S14" s="2" t="inlineStr"/>
      <c r="T14" s="2" t="inlineStr"/>
      <c r="U14" s="2" t="inlineStr"/>
      <c r="V14" s="2" t="inlineStr">
        <is>
          <t>不适用</t>
        </is>
      </c>
      <c r="W14" s="2" t="inlineStr">
        <is>
          <t>不适用</t>
        </is>
      </c>
      <c r="X14" s="2" t="inlineStr">
        <is>
          <t>不适用</t>
        </is>
      </c>
      <c r="Y14" s="2" t="inlineStr"/>
      <c r="Z14" s="2" t="inlineStr"/>
      <c r="AA14" s="2" t="inlineStr">
        <is>
          <t>非目标期刊论文或类型待核实，不进入JCR分母</t>
        </is>
      </c>
      <c r="AB14" s="2" t="inlineStr"/>
      <c r="AC14" s="2" t="inlineStr"/>
      <c r="AD14" s="2" t="inlineStr"/>
    </row>
    <row r="15" ht="48" customHeight="1">
      <c r="A15" s="3" t="inlineStr">
        <is>
          <t>R07247</t>
        </is>
      </c>
      <c r="B15" s="3" t="inlineStr">
        <is>
          <t>The protective effect of Pseudomonas in syntrophic fatty acids degradation under microaerophilic conditions</t>
        </is>
      </c>
      <c r="C15" s="3" t="inlineStr">
        <is>
          <t>2021</t>
        </is>
      </c>
      <c r="D15" s="3" t="inlineStr">
        <is>
          <t>2021</t>
        </is>
      </c>
      <c r="E15" s="3" t="inlineStr"/>
      <c r="F15" s="3" t="inlineStr">
        <is>
          <t>会议研究论文（非期刊文章）</t>
        </is>
      </c>
      <c r="G15" s="3" t="inlineStr">
        <is>
          <t>1 直接向 AD 反应器或内部循环系统供氧</t>
        </is>
      </c>
      <c r="H15" s="3" t="inlineStr">
        <is>
          <t>是</t>
        </is>
      </c>
      <c r="I15" s="3" t="inlineStr">
        <is>
          <t>会议/非期刊</t>
        </is>
      </c>
      <c r="J15" s="3" t="inlineStr">
        <is>
          <t>否</t>
        </is>
      </c>
      <c r="K15" s="3" t="inlineStr">
        <is>
          <t>Portuguese National Funding Agency for Science, Research and Technology (RCAAP Project by FCT)</t>
        </is>
      </c>
      <c r="L15" s="3" t="inlineStr">
        <is>
          <t>Portuguese National Funding Agency for Science, Research and Technology (RCAAP Project by FCT)</t>
        </is>
      </c>
      <c r="M15" s="3" t="inlineStr"/>
      <c r="N15" s="3" t="inlineStr"/>
      <c r="O15" s="3" t="inlineStr">
        <is>
          <t>仅摘要，未取得全文</t>
        </is>
      </c>
      <c r="P15" s="3" t="inlineStr">
        <is>
          <t>否</t>
        </is>
      </c>
      <c r="Q15" s="3" t="inlineStr">
        <is>
          <t>当前无补充材料原件；沿用既有缺失/无附件证据，不据此认定无附件</t>
        </is>
      </c>
      <c r="R15" s="3" t="inlineStr"/>
      <c r="S15" s="3" t="inlineStr"/>
      <c r="T15" s="3" t="inlineStr"/>
      <c r="U15" s="3" t="inlineStr"/>
      <c r="V15" s="3" t="inlineStr">
        <is>
          <t>不适用</t>
        </is>
      </c>
      <c r="W15" s="3" t="inlineStr">
        <is>
          <t>不适用</t>
        </is>
      </c>
      <c r="X15" s="3" t="inlineStr">
        <is>
          <t>不适用</t>
        </is>
      </c>
      <c r="Y15" s="3" t="inlineStr"/>
      <c r="Z15" s="3" t="inlineStr"/>
      <c r="AA15" s="3" t="inlineStr">
        <is>
          <t>非目标期刊论文或类型待核实，不进入JCR分母</t>
        </is>
      </c>
      <c r="AB15" s="3" t="inlineStr"/>
      <c r="AC15" s="3" t="inlineStr"/>
      <c r="AD15" s="3" t="inlineStr"/>
    </row>
    <row r="16" ht="48" customHeight="1">
      <c r="A16" s="2" t="inlineStr">
        <is>
          <t>R07603</t>
        </is>
      </c>
      <c r="B16" s="2" t="inlineStr">
        <is>
          <t>Considering micro-aeration strategy for enhancing methane production in anaerobic digestion of agricultural wastes</t>
        </is>
      </c>
      <c r="C16" s="2" t="inlineStr">
        <is>
          <t>2022</t>
        </is>
      </c>
      <c r="D16" s="2" t="inlineStr">
        <is>
          <t>2022</t>
        </is>
      </c>
      <c r="E16" s="2" t="inlineStr">
        <is>
          <t>10.13031/aim.202200429</t>
        </is>
      </c>
      <c r="F16" s="2" t="inlineStr">
        <is>
          <t>会议研究论文（非期刊文章）</t>
        </is>
      </c>
      <c r="G16" s="2" t="inlineStr">
        <is>
          <t>1 直接向 AD 反应器或内部循环系统供氧</t>
        </is>
      </c>
      <c r="H16" s="2" t="inlineStr">
        <is>
          <t>是</t>
        </is>
      </c>
      <c r="I16" s="2" t="inlineStr">
        <is>
          <t>会议/非期刊</t>
        </is>
      </c>
      <c r="J16" s="2" t="inlineStr">
        <is>
          <t>否</t>
        </is>
      </c>
      <c r="K16" s="2" t="inlineStr">
        <is>
          <t>2022 Houston, Texas July 17-20, 2022</t>
        </is>
      </c>
      <c r="L16" s="2" t="inlineStr">
        <is>
          <t>2022 Houston, Texas July 17-20, 2022</t>
        </is>
      </c>
      <c r="M16" s="2" t="inlineStr"/>
      <c r="N16" s="2" t="inlineStr"/>
      <c r="O16" s="2" t="inlineStr">
        <is>
          <t>未取得全文</t>
        </is>
      </c>
      <c r="P16" s="2" t="inlineStr">
        <is>
          <t>否</t>
        </is>
      </c>
      <c r="Q16" s="2" t="inlineStr">
        <is>
          <t>当前无补充材料原件；沿用既有缺失/无附件证据，不据此认定无附件</t>
        </is>
      </c>
      <c r="R16" s="2" t="inlineStr"/>
      <c r="S16" s="2" t="inlineStr"/>
      <c r="T16" s="2" t="inlineStr"/>
      <c r="U16" s="2" t="inlineStr"/>
      <c r="V16" s="2" t="inlineStr">
        <is>
          <t>不适用</t>
        </is>
      </c>
      <c r="W16" s="2" t="inlineStr">
        <is>
          <t>不适用</t>
        </is>
      </c>
      <c r="X16" s="2" t="inlineStr">
        <is>
          <t>不适用</t>
        </is>
      </c>
      <c r="Y16" s="2" t="inlineStr"/>
      <c r="Z16" s="2" t="inlineStr">
        <is>
          <t>https://api.crossref.org/works/10.13031/aim.202200429</t>
        </is>
      </c>
      <c r="AA16" s="2" t="inlineStr">
        <is>
          <t>非目标期刊论文或类型待核实，不进入JCR分母</t>
        </is>
      </c>
      <c r="AB16" s="2" t="inlineStr"/>
      <c r="AC16" s="2" t="inlineStr"/>
      <c r="AD16" s="2" t="inlineStr"/>
    </row>
    <row r="17" ht="48" customHeight="1">
      <c r="A17" s="3" t="inlineStr">
        <is>
          <t>R11845</t>
        </is>
      </c>
      <c r="B17" s="3" t="inlineStr">
        <is>
          <t>Micro-aeration to improve anaerobic digestion of cattle slurry</t>
        </is>
      </c>
      <c r="C17" s="3" t="inlineStr">
        <is>
          <t>2025</t>
        </is>
      </c>
      <c r="D17" s="3" t="inlineStr">
        <is>
          <t>2025</t>
        </is>
      </c>
      <c r="E17" s="3" t="inlineStr"/>
      <c r="F17" s="3" t="inlineStr">
        <is>
          <t>会议摘要（非论文全文）</t>
        </is>
      </c>
      <c r="G17" s="3" t="inlineStr">
        <is>
          <t>1 直接向 AD 反应器或内部循环系统供氧</t>
        </is>
      </c>
      <c r="H17" s="3" t="inlineStr">
        <is>
          <t>是</t>
        </is>
      </c>
      <c r="I17" s="3" t="inlineStr">
        <is>
          <t>会议/非期刊</t>
        </is>
      </c>
      <c r="J17" s="3" t="inlineStr">
        <is>
          <t>否</t>
        </is>
      </c>
      <c r="K17" s="3" t="inlineStr">
        <is>
          <t>7th International Conference WASTES: Solutions, Treatments and Opportunities</t>
        </is>
      </c>
      <c r="L17" s="3" t="inlineStr">
        <is>
          <t>7th International Conference WASTES: Solutions, Treatments and Opportunities</t>
        </is>
      </c>
      <c r="M17" s="3" t="inlineStr"/>
      <c r="N17" s="3" t="inlineStr"/>
      <c r="O17" s="3" t="inlineStr">
        <is>
          <t>仅摘要，未取得全文</t>
        </is>
      </c>
      <c r="P17" s="3" t="inlineStr">
        <is>
          <t>否</t>
        </is>
      </c>
      <c r="Q17" s="3" t="inlineStr">
        <is>
          <t>当前无补充材料原件；沿用既有缺失/无附件证据，不据此认定无附件</t>
        </is>
      </c>
      <c r="R17" s="3" t="inlineStr"/>
      <c r="S17" s="3" t="inlineStr"/>
      <c r="T17" s="3" t="inlineStr"/>
      <c r="U17" s="3" t="inlineStr"/>
      <c r="V17" s="3" t="inlineStr">
        <is>
          <t>不适用</t>
        </is>
      </c>
      <c r="W17" s="3" t="inlineStr">
        <is>
          <t>不适用</t>
        </is>
      </c>
      <c r="X17" s="3" t="inlineStr">
        <is>
          <t>不适用</t>
        </is>
      </c>
      <c r="Y17" s="3" t="inlineStr"/>
      <c r="Z17" s="3" t="inlineStr"/>
      <c r="AA17" s="3" t="inlineStr">
        <is>
          <t>非目标期刊论文或类型待核实，不进入JCR分母</t>
        </is>
      </c>
      <c r="AB17" s="3" t="inlineStr"/>
      <c r="AC17" s="3" t="inlineStr"/>
      <c r="AD17" s="3" t="inlineStr"/>
    </row>
    <row r="18" ht="48" customHeight="1">
      <c r="A18" s="2" t="inlineStr">
        <is>
          <t>R13852</t>
        </is>
      </c>
      <c r="B18" s="2" t="inlineStr">
        <is>
          <t>A Novel Application of Micro-Aerobic Hydrolysis and Acidification on the Treatment of Refractory Chinese Traditional Medicine Wastewater</t>
        </is>
      </c>
      <c r="C18" s="2" t="inlineStr">
        <is>
          <t>2012</t>
        </is>
      </c>
      <c r="D18" s="2" t="inlineStr">
        <is>
          <t>2012</t>
        </is>
      </c>
      <c r="E18" s="2" t="inlineStr">
        <is>
          <t>10.4028/www.scientific.net/amm.178-181.570</t>
        </is>
      </c>
      <c r="F18" s="2" t="inlineStr">
        <is>
          <t>期刊文章</t>
        </is>
      </c>
      <c r="G18" s="2" t="inlineStr">
        <is>
          <t>2 向厌氧水解或产酸阶段供氧</t>
        </is>
      </c>
      <c r="H18" s="2" t="inlineStr">
        <is>
          <t>是</t>
        </is>
      </c>
      <c r="I18" s="2" t="inlineStr">
        <is>
          <t>类型待核实</t>
        </is>
      </c>
      <c r="J18" s="2" t="inlineStr">
        <is>
          <t>否</t>
        </is>
      </c>
      <c r="K18" s="2" t="inlineStr">
        <is>
          <t>Applied Mechanics and Materials</t>
        </is>
      </c>
      <c r="L18" s="2" t="inlineStr">
        <is>
          <t>Applied Mechanics and Materials</t>
        </is>
      </c>
      <c r="M18" s="2" t="inlineStr"/>
      <c r="N18" s="2" t="inlineStr">
        <is>
          <t>1662-7482</t>
        </is>
      </c>
      <c r="O18" s="2" t="inlineStr">
        <is>
          <t>未取得全文</t>
        </is>
      </c>
      <c r="P18" s="2" t="inlineStr">
        <is>
          <t>否</t>
        </is>
      </c>
      <c r="Q18" s="2" t="inlineStr">
        <is>
          <t>当前无补充材料原件；沿用既有缺失/无附件证据，不据此认定无附件</t>
        </is>
      </c>
      <c r="R18" s="2" t="inlineStr"/>
      <c r="S18" s="2" t="inlineStr"/>
      <c r="T18" s="2" t="inlineStr"/>
      <c r="U18" s="2" t="inlineStr"/>
      <c r="V18" s="2" t="inlineStr">
        <is>
          <t>不适用</t>
        </is>
      </c>
      <c r="W18" s="2" t="inlineStr">
        <is>
          <t>不适用</t>
        </is>
      </c>
      <c r="X18" s="2" t="inlineStr">
        <is>
          <t>不适用</t>
        </is>
      </c>
      <c r="Y18" s="2" t="inlineStr"/>
      <c r="Z18" s="2" t="inlineStr">
        <is>
          <t>https://api.crossref.org/works/10.4028/www.scientific.net/amm.178-181.570</t>
        </is>
      </c>
      <c r="AA18" s="2" t="inlineStr">
        <is>
          <t>期刊/会议或其他载体身份缺少足够凭据，单列待核实，不混入期刊论文分母 | 非目标期刊论文或类型待核实，不进入JCR分母</t>
        </is>
      </c>
      <c r="AB18" s="2" t="inlineStr"/>
      <c r="AC18" s="2" t="inlineStr"/>
      <c r="AD18" s="2" t="inlineStr"/>
    </row>
    <row r="19" ht="48" customHeight="1">
      <c r="A19" s="3" t="inlineStr">
        <is>
          <t>R13867</t>
        </is>
      </c>
      <c r="B19" s="3" t="inlineStr">
        <is>
          <t>Digester Microaeration: A Comprehensive Full-Scale Case Study</t>
        </is>
      </c>
      <c r="C19" s="3" t="inlineStr">
        <is>
          <t>2025</t>
        </is>
      </c>
      <c r="D19" s="3" t="inlineStr">
        <is>
          <t>2025</t>
        </is>
      </c>
      <c r="E19" s="3" t="inlineStr">
        <is>
          <t>10.2175/193864718825159749</t>
        </is>
      </c>
      <c r="F19" s="3" t="inlineStr">
        <is>
          <t>会议研究论文（非期刊文章）</t>
        </is>
      </c>
      <c r="G19" s="3" t="inlineStr">
        <is>
          <t>1 直接向 AD 反应器或内部循环系统供氧</t>
        </is>
      </c>
      <c r="H19" s="3" t="inlineStr">
        <is>
          <t>是</t>
        </is>
      </c>
      <c r="I19" s="3" t="inlineStr">
        <is>
          <t>会议/非期刊</t>
        </is>
      </c>
      <c r="J19" s="3" t="inlineStr">
        <is>
          <t>否</t>
        </is>
      </c>
      <c r="K19" s="3" t="inlineStr">
        <is>
          <t>Proceedings of the Water Environment Federation</t>
        </is>
      </c>
      <c r="L19" s="3" t="inlineStr">
        <is>
          <t>Proceedings of the Water Environment Federation</t>
        </is>
      </c>
      <c r="M19" s="3" t="inlineStr"/>
      <c r="N19" s="3" t="inlineStr"/>
      <c r="O19" s="3" t="inlineStr">
        <is>
          <t>未取得全文</t>
        </is>
      </c>
      <c r="P19" s="3" t="inlineStr">
        <is>
          <t>否</t>
        </is>
      </c>
      <c r="Q19" s="3" t="inlineStr">
        <is>
          <t>当前无补充材料原件；沿用既有缺失/无附件证据，不据此认定无附件</t>
        </is>
      </c>
      <c r="R19" s="3" t="inlineStr"/>
      <c r="S19" s="3" t="inlineStr"/>
      <c r="T19" s="3" t="inlineStr"/>
      <c r="U19" s="3" t="inlineStr"/>
      <c r="V19" s="3" t="inlineStr">
        <is>
          <t>不适用</t>
        </is>
      </c>
      <c r="W19" s="3" t="inlineStr">
        <is>
          <t>不适用</t>
        </is>
      </c>
      <c r="X19" s="3" t="inlineStr">
        <is>
          <t>不适用</t>
        </is>
      </c>
      <c r="Y19" s="3" t="inlineStr"/>
      <c r="Z19" s="3" t="inlineStr">
        <is>
          <t>https://api.crossref.org/works/10.2175/193864718825159749</t>
        </is>
      </c>
      <c r="AA19" s="3" t="inlineStr">
        <is>
          <t>非目标期刊论文或类型待核实，不进入JCR分母</t>
        </is>
      </c>
      <c r="AB19" s="3" t="inlineStr"/>
      <c r="AC19" s="3" t="inlineStr"/>
      <c r="AD19" s="3" t="inlineStr"/>
    </row>
    <row r="20" ht="48" customHeight="1">
      <c r="A20" s="2" t="inlineStr">
        <is>
          <t>R13871</t>
        </is>
      </c>
      <c r="B20" s="2" t="inlineStr">
        <is>
          <t>Application of Microbubbles Generated by Fluidic Oscillation in the Anaerobic Digestion Process</t>
        </is>
      </c>
      <c r="C20" s="2" t="inlineStr">
        <is>
          <t>2013</t>
        </is>
      </c>
      <c r="D20" s="2" t="inlineStr">
        <is>
          <t>2013</t>
        </is>
      </c>
      <c r="E20" s="2" t="inlineStr"/>
      <c r="F20" s="2" t="inlineStr">
        <is>
          <t>博士论文（White Rose仓储索引；授予详情未读原仓储页）</t>
        </is>
      </c>
      <c r="G20" s="2" t="inlineStr">
        <is>
          <t>1 直接向 AD 反应器或内部循环系统供氧</t>
        </is>
      </c>
      <c r="H20" s="2" t="inlineStr">
        <is>
          <t>是</t>
        </is>
      </c>
      <c r="I20" s="2" t="inlineStr">
        <is>
          <t>学位/学生报告</t>
        </is>
      </c>
      <c r="J20" s="2" t="inlineStr">
        <is>
          <t>否</t>
        </is>
      </c>
      <c r="K20" s="2" t="inlineStr">
        <is>
          <t>White Rose eTheses Online (University of Leeds, The University of Sheffield, University of York)</t>
        </is>
      </c>
      <c r="L20" s="2" t="inlineStr">
        <is>
          <t>White Rose eTheses Online (University of Leeds, The University of Sheffield, University of York)</t>
        </is>
      </c>
      <c r="M20" s="2" t="inlineStr"/>
      <c r="N20" s="2" t="inlineStr"/>
      <c r="O20" s="2" t="inlineStr">
        <is>
          <t>已取得核验全文</t>
        </is>
      </c>
      <c r="P20" s="2" t="inlineStr">
        <is>
          <t>是</t>
        </is>
      </c>
      <c r="Q20" s="2" t="inlineStr">
        <is>
          <t>当前无补充材料原件；沿用既有缺失/无附件证据，不据此认定无附件</t>
        </is>
      </c>
      <c r="R20" s="2" t="inlineStr"/>
      <c r="S20" s="2" t="inlineStr"/>
      <c r="T20" s="2" t="inlineStr"/>
      <c r="U20" s="2" t="inlineStr"/>
      <c r="V20" s="2" t="inlineStr">
        <is>
          <t>不适用</t>
        </is>
      </c>
      <c r="W20" s="2" t="inlineStr">
        <is>
          <t>不适用</t>
        </is>
      </c>
      <c r="X20" s="2" t="inlineStr">
        <is>
          <t>不适用</t>
        </is>
      </c>
      <c r="Y20" s="2" t="inlineStr"/>
      <c r="Z20" s="2" t="inlineStr"/>
      <c r="AA20" s="2" t="inlineStr">
        <is>
          <t>非目标期刊论文或类型待核实，不进入JCR分母</t>
        </is>
      </c>
      <c r="AB20" s="2" t="inlineStr">
        <is>
          <t>original_files/R13871/fulltext/fulltext__thesis__aeab3126b6e68775.pdf</t>
        </is>
      </c>
      <c r="AC20" s="2" t="inlineStr"/>
      <c r="AD20" s="2" t="inlineStr">
        <is>
          <t>https://github.com/Colliam-Vermilion/FirstCodex/blob/results/ad-oxygen-literature-20261006/results/ad-oxygen-literature-20261006/original_files/R13871/fulltext/fulltext__thesis__aeab3126b6e68775.pdf</t>
        </is>
      </c>
    </row>
    <row r="21" ht="48" customHeight="1">
      <c r="A21" s="3" t="inlineStr">
        <is>
          <t>R13906</t>
        </is>
      </c>
      <c r="B21" s="3" t="inlineStr">
        <is>
          <t>Production of Biogas by Using Different Pretreatments of Rice Straw Under Aerobic and Semi Aerobic Conditions.</t>
        </is>
      </c>
      <c r="C21" s="3" t="inlineStr">
        <is>
          <t>2021</t>
        </is>
      </c>
      <c r="D21" s="3" t="inlineStr">
        <is>
          <t>2021</t>
        </is>
      </c>
      <c r="E21" s="3" t="inlineStr">
        <is>
          <t>10.21608/assjm.2021.194823</t>
        </is>
      </c>
      <c r="F21" s="3" t="inlineStr">
        <is>
          <t>期刊原始研究</t>
        </is>
      </c>
      <c r="G21" s="3" t="inlineStr">
        <is>
          <t>3 独立好氧或微好氧预处理</t>
        </is>
      </c>
      <c r="H21" s="3" t="inlineStr">
        <is>
          <t>是</t>
        </is>
      </c>
      <c r="I21" s="3" t="inlineStr">
        <is>
          <t>类型待核实</t>
        </is>
      </c>
      <c r="J21" s="3" t="inlineStr">
        <is>
          <t>否</t>
        </is>
      </c>
      <c r="K21" s="3" t="inlineStr">
        <is>
          <t>Annals of Agricultural Science, Moshtohor</t>
        </is>
      </c>
      <c r="L21" s="3" t="inlineStr">
        <is>
          <t>Annals of Agricultural Science, Moshtohor</t>
        </is>
      </c>
      <c r="M21" s="3" t="inlineStr"/>
      <c r="N21" s="3" t="inlineStr">
        <is>
          <t>1110-0419</t>
        </is>
      </c>
      <c r="O21" s="3" t="inlineStr">
        <is>
          <t>已取得核验全文</t>
        </is>
      </c>
      <c r="P21" s="3" t="inlineStr">
        <is>
          <t>是</t>
        </is>
      </c>
      <c r="Q21" s="3" t="inlineStr">
        <is>
          <t>当前无补充材料原件；沿用既有缺失/无附件证据，不据此认定无附件</t>
        </is>
      </c>
      <c r="R21" s="3" t="inlineStr"/>
      <c r="S21" s="3" t="inlineStr"/>
      <c r="T21" s="3" t="inlineStr"/>
      <c r="U21" s="3" t="inlineStr"/>
      <c r="V21" s="3" t="inlineStr">
        <is>
          <t>不适用</t>
        </is>
      </c>
      <c r="W21" s="3" t="inlineStr">
        <is>
          <t>不适用</t>
        </is>
      </c>
      <c r="X21" s="3" t="inlineStr">
        <is>
          <t>不适用</t>
        </is>
      </c>
      <c r="Y21" s="3" t="inlineStr"/>
      <c r="Z21" s="3" t="inlineStr">
        <is>
          <t>https://api.crossref.org/works/10.21608/assjm.2021.194823</t>
        </is>
      </c>
      <c r="AA21" s="3" t="inlineStr">
        <is>
          <t>期刊/会议或其他载体身份缺少足够凭据，单列待核实，不混入期刊论文分母 | PDF标注ICBAA会议，Crossref类型journal-article；会议专刊性质待核实，暂不混入期刊论文分母 | 非目标期刊论文或类型待核实，不进入JCR分母</t>
        </is>
      </c>
      <c r="AB21" s="3" t="inlineStr">
        <is>
          <t>original_files/R13906/fulltext/fulltext__version_unverified__afe47132ea57e2c3.pdf</t>
        </is>
      </c>
      <c r="AC21" s="3" t="inlineStr"/>
      <c r="AD21" s="3" t="inlineStr">
        <is>
          <t>https://github.com/Colliam-Vermilion/FirstCodex/blob/results/ad-oxygen-literature-20261006/results/ad-oxygen-literature-20261006/original_files/R13906/fulltext/fulltext__version_unverified__afe47132ea57e2c3.pdf</t>
        </is>
      </c>
    </row>
    <row r="22" ht="48" customHeight="1">
      <c r="A22" s="2" t="inlineStr">
        <is>
          <t>R13944</t>
        </is>
      </c>
      <c r="B22" s="2" t="inlineStr">
        <is>
          <t>Oxidation-Reduction Potential-Based Micro-Aeration Control System for Anaerobic Digestion.</t>
        </is>
      </c>
      <c r="C22" s="2" t="inlineStr"/>
      <c r="D22" s="2" t="inlineStr"/>
      <c r="E22" s="2" t="inlineStr"/>
      <c r="F22" s="2" t="inlineStr">
        <is>
          <t>学位论文（目录/摘要依据；详细授予信息待核验）</t>
        </is>
      </c>
      <c r="G22" s="2" t="inlineStr">
        <is>
          <t>1 直接向 AD 反应器或内部循环系统供氧</t>
        </is>
      </c>
      <c r="H22" s="2" t="inlineStr">
        <is>
          <t>是</t>
        </is>
      </c>
      <c r="I22" s="2" t="inlineStr">
        <is>
          <t>学位/学生报告</t>
        </is>
      </c>
      <c r="J22" s="2" t="inlineStr">
        <is>
          <t>否</t>
        </is>
      </c>
      <c r="K22" s="2" t="inlineStr"/>
      <c r="L22" s="2" t="inlineStr"/>
      <c r="M22" s="2" t="inlineStr"/>
      <c r="N22" s="2" t="inlineStr"/>
      <c r="O22" s="2" t="inlineStr">
        <is>
          <t>已取得核验全文</t>
        </is>
      </c>
      <c r="P22" s="2" t="inlineStr">
        <is>
          <t>是</t>
        </is>
      </c>
      <c r="Q22" s="2" t="inlineStr">
        <is>
          <t>当前无补充材料原件；沿用既有缺失/无附件证据，不据此认定无附件</t>
        </is>
      </c>
      <c r="R22" s="2" t="inlineStr"/>
      <c r="S22" s="2" t="inlineStr"/>
      <c r="T22" s="2" t="inlineStr"/>
      <c r="U22" s="2" t="inlineStr"/>
      <c r="V22" s="2" t="inlineStr">
        <is>
          <t>不适用</t>
        </is>
      </c>
      <c r="W22" s="2" t="inlineStr">
        <is>
          <t>不适用</t>
        </is>
      </c>
      <c r="X22" s="2" t="inlineStr">
        <is>
          <t>不适用</t>
        </is>
      </c>
      <c r="Y22" s="2" t="inlineStr"/>
      <c r="Z22" s="2" t="inlineStr"/>
      <c r="AA22" s="2" t="inlineStr">
        <is>
          <t>非目标期刊论文或类型待核实，不进入JCR分母</t>
        </is>
      </c>
      <c r="AB22" s="2" t="inlineStr">
        <is>
          <t>original_files/R13944/fulltext/fulltext__thesis__7e22fbfd39ddfed0.pdf</t>
        </is>
      </c>
      <c r="AC22" s="2" t="inlineStr"/>
      <c r="AD22" s="2" t="inlineStr">
        <is>
          <t>https://github.com/Colliam-Vermilion/FirstCodex/blob/results/ad-oxygen-literature-20261006/results/ad-oxygen-literature-20261006/original_files/R13944/fulltext/fulltext__thesis__7e22fbfd39ddfed0.pdf</t>
        </is>
      </c>
    </row>
    <row r="23" ht="48" customHeight="1">
      <c r="A23" s="3" t="inlineStr">
        <is>
          <t>R13945</t>
        </is>
      </c>
      <c r="B23" s="3" t="inlineStr">
        <is>
          <t>Effect of Low Aeration and Heat Drying on Anaerobic Digester Performance and Microbial Community</t>
        </is>
      </c>
      <c r="C23" s="3" t="inlineStr"/>
      <c r="D23" s="3" t="inlineStr"/>
      <c r="E23" s="3" t="inlineStr"/>
      <c r="F23" s="3" t="inlineStr">
        <is>
          <t>学位论文（目录/摘要依据；详细授予信息待核验）</t>
        </is>
      </c>
      <c r="G23" s="3" t="inlineStr">
        <is>
          <t>1 直接向 AD 反应器或内部循环系统供氧</t>
        </is>
      </c>
      <c r="H23" s="3" t="inlineStr">
        <is>
          <t>是</t>
        </is>
      </c>
      <c r="I23" s="3" t="inlineStr">
        <is>
          <t>学位/学生报告</t>
        </is>
      </c>
      <c r="J23" s="3" t="inlineStr">
        <is>
          <t>否</t>
        </is>
      </c>
      <c r="K23" s="3" t="inlineStr"/>
      <c r="L23" s="3" t="inlineStr"/>
      <c r="M23" s="3" t="inlineStr"/>
      <c r="N23" s="3" t="inlineStr"/>
      <c r="O23" s="3" t="inlineStr">
        <is>
          <t>已取得核验全文</t>
        </is>
      </c>
      <c r="P23" s="3" t="inlineStr">
        <is>
          <t>是</t>
        </is>
      </c>
      <c r="Q23" s="3" t="inlineStr">
        <is>
          <t>当前无补充材料原件；沿用既有缺失/无附件证据，不据此认定无附件</t>
        </is>
      </c>
      <c r="R23" s="3" t="inlineStr"/>
      <c r="S23" s="3" t="inlineStr"/>
      <c r="T23" s="3" t="inlineStr"/>
      <c r="U23" s="3" t="inlineStr"/>
      <c r="V23" s="3" t="inlineStr">
        <is>
          <t>不适用</t>
        </is>
      </c>
      <c r="W23" s="3" t="inlineStr">
        <is>
          <t>不适用</t>
        </is>
      </c>
      <c r="X23" s="3" t="inlineStr">
        <is>
          <t>不适用</t>
        </is>
      </c>
      <c r="Y23" s="3" t="inlineStr"/>
      <c r="Z23" s="3" t="inlineStr"/>
      <c r="AA23" s="3" t="inlineStr">
        <is>
          <t>非目标期刊论文或类型待核实，不进入JCR分母</t>
        </is>
      </c>
      <c r="AB23" s="3" t="inlineStr">
        <is>
          <t>original_files/R13945/fulltext/fulltext__thesis__67309ea094d2f9bb.pdf</t>
        </is>
      </c>
      <c r="AC23" s="3" t="inlineStr"/>
      <c r="AD23" s="3" t="inlineStr">
        <is>
          <t>https://github.com/Colliam-Vermilion/FirstCodex/blob/results/ad-oxygen-literature-20261006/results/ad-oxygen-literature-20261006/original_files/R13945/fulltext/fulltext__thesis__67309ea094d2f9bb.pdf</t>
        </is>
      </c>
    </row>
    <row r="24" ht="48" customHeight="1">
      <c r="A24" s="2" t="inlineStr">
        <is>
          <t>R13946</t>
        </is>
      </c>
      <c r="B24" s="2" t="inlineStr">
        <is>
          <t>Review of the Effects of Microaeration on Methanogens in the Anaerobic Digestion Systems</t>
        </is>
      </c>
      <c r="C24" s="2" t="inlineStr">
        <is>
          <t>2023</t>
        </is>
      </c>
      <c r="D24" s="2" t="inlineStr">
        <is>
          <t>2023</t>
        </is>
      </c>
      <c r="E24" s="2" t="inlineStr">
        <is>
          <t>10.1007/978-3-031-28193-8_5</t>
        </is>
      </c>
      <c r="F24" s="2" t="inlineStr">
        <is>
          <t>综述章节（非期刊）</t>
        </is>
      </c>
      <c r="G24" s="2" t="inlineStr">
        <is>
          <t>4 综述</t>
        </is>
      </c>
      <c r="H24" s="2" t="inlineStr">
        <is>
          <t>是</t>
        </is>
      </c>
      <c r="I24" s="2" t="inlineStr">
        <is>
          <t>会议/非期刊</t>
        </is>
      </c>
      <c r="J24" s="2" t="inlineStr">
        <is>
          <t>否</t>
        </is>
      </c>
      <c r="K24" s="2" t="inlineStr">
        <is>
          <t>Environmental Science and Engineering</t>
        </is>
      </c>
      <c r="L24" s="2" t="inlineStr">
        <is>
          <t>Environmental Science and Engineering</t>
        </is>
      </c>
      <c r="M24" s="2" t="inlineStr">
        <is>
          <t>1863-5520</t>
        </is>
      </c>
      <c r="N24" s="2" t="inlineStr">
        <is>
          <t>1863-5539</t>
        </is>
      </c>
      <c r="O24" s="2" t="inlineStr">
        <is>
          <t>已取得核验全文</t>
        </is>
      </c>
      <c r="P24" s="2" t="inlineStr">
        <is>
          <t>是</t>
        </is>
      </c>
      <c r="Q24" s="2" t="inlineStr">
        <is>
          <t>当前无补充材料原件；沿用既有缺失/无附件证据，不据此认定无附件</t>
        </is>
      </c>
      <c r="R24" s="2" t="inlineStr"/>
      <c r="S24" s="2" t="inlineStr"/>
      <c r="T24" s="2" t="inlineStr"/>
      <c r="U24" s="2" t="inlineStr"/>
      <c r="V24" s="2" t="inlineStr">
        <is>
          <t>不适用</t>
        </is>
      </c>
      <c r="W24" s="2" t="inlineStr">
        <is>
          <t>不适用</t>
        </is>
      </c>
      <c r="X24" s="2" t="inlineStr">
        <is>
          <t>不适用</t>
        </is>
      </c>
      <c r="Y24" s="2" t="inlineStr"/>
      <c r="Z24" s="2" t="inlineStr">
        <is>
          <t>https://api.crossref.org/works/10.1007/978-3-031-28193-8_5</t>
        </is>
      </c>
      <c r="AA24" s="2" t="inlineStr">
        <is>
          <t>非目标期刊论文或类型待核实，不进入JCR分母</t>
        </is>
      </c>
      <c r="AB24" s="2" t="inlineStr">
        <is>
          <t>original_files/R13946/fulltext/fulltext__book_chapter__243ae302f0c89f50.pdf</t>
        </is>
      </c>
      <c r="AC24" s="2" t="inlineStr"/>
      <c r="AD24" s="2" t="inlineStr">
        <is>
          <t>https://github.com/Colliam-Vermilion/FirstCodex/blob/results/ad-oxygen-literature-20261006/results/ad-oxygen-literature-20261006/original_files/R13946/fulltext/fulltext__book_chapter__243ae302f0c89f50.pdf</t>
        </is>
      </c>
    </row>
    <row r="25" ht="48" customHeight="1">
      <c r="A25" s="3" t="inlineStr">
        <is>
          <t>R13947</t>
        </is>
      </c>
      <c r="B25" s="3" t="inlineStr">
        <is>
          <t>Microaerobic removal of hydrogen sulphide from biogas</t>
        </is>
      </c>
      <c r="C25" s="3" t="inlineStr"/>
      <c r="D25" s="3" t="inlineStr"/>
      <c r="E25" s="3" t="inlineStr">
        <is>
          <t>10.35376/10324/4850</t>
        </is>
      </c>
      <c r="F25" s="3" t="inlineStr">
        <is>
          <t>学位论文（目录/摘要依据；详细授予信息待核验）</t>
        </is>
      </c>
      <c r="G25" s="3" t="inlineStr">
        <is>
          <t>1 直接向 AD 反应器或内部循环系统供氧</t>
        </is>
      </c>
      <c r="H25" s="3" t="inlineStr">
        <is>
          <t>是</t>
        </is>
      </c>
      <c r="I25" s="3" t="inlineStr">
        <is>
          <t>学位/学生报告</t>
        </is>
      </c>
      <c r="J25" s="3" t="inlineStr">
        <is>
          <t>否</t>
        </is>
      </c>
      <c r="K25" s="3" t="inlineStr"/>
      <c r="L25" s="3" t="inlineStr"/>
      <c r="M25" s="3" t="inlineStr"/>
      <c r="N25" s="3" t="inlineStr"/>
      <c r="O25" s="3" t="inlineStr">
        <is>
          <t>未取得全文（上传件身份错配/相关版本，目标正文缺失）</t>
        </is>
      </c>
      <c r="P25" s="3" t="inlineStr">
        <is>
          <t>否</t>
        </is>
      </c>
      <c r="Q25" s="3" t="inlineStr">
        <is>
          <t>当前无补充材料原件；沿用既有缺失/无附件证据，不据此认定无附件</t>
        </is>
      </c>
      <c r="R25" s="3" t="inlineStr"/>
      <c r="S25" s="3" t="inlineStr"/>
      <c r="T25" s="3" t="inlineStr"/>
      <c r="U25" s="3" t="inlineStr"/>
      <c r="V25" s="3" t="inlineStr">
        <is>
          <t>不适用</t>
        </is>
      </c>
      <c r="W25" s="3" t="inlineStr">
        <is>
          <t>不适用</t>
        </is>
      </c>
      <c r="X25" s="3" t="inlineStr">
        <is>
          <t>不适用</t>
        </is>
      </c>
      <c r="Y25" s="3" t="inlineStr"/>
      <c r="Z25" s="3" t="inlineStr">
        <is>
          <t>https://api.crossref.org/works/10.35376/10324/4850</t>
        </is>
      </c>
      <c r="AA25" s="3" t="inlineStr">
        <is>
          <t>非目标期刊论文或类型待核实，不进入JCR分母 | 上传3页University of Maryland Extension推广资料草稿，不是Iris Ramos Castaño目标学位论文</t>
        </is>
      </c>
      <c r="AB25" s="3" t="inlineStr"/>
      <c r="AC25" s="3" t="inlineStr"/>
      <c r="AD25" s="3" t="inlineStr"/>
    </row>
    <row r="26" ht="48" customHeight="1">
      <c r="A26" s="2" t="inlineStr">
        <is>
          <t>R13948</t>
        </is>
      </c>
      <c r="B26" s="2" t="inlineStr">
        <is>
          <t>Anaerobic treatment of post-hydrothermal liquefaction wastewater from Spirulina associated with microaeration and photocatalysis</t>
        </is>
      </c>
      <c r="C26" s="2" t="inlineStr"/>
      <c r="D26" s="2" t="inlineStr"/>
      <c r="E26" s="2" t="inlineStr">
        <is>
          <t>10.11606/t.74.2021.tde-16082022-143011</t>
        </is>
      </c>
      <c r="F26" s="2" t="inlineStr">
        <is>
          <t>学位论文（目录/摘要依据；详细授予信息待核验）</t>
        </is>
      </c>
      <c r="G26" s="2" t="inlineStr">
        <is>
          <t>1 直接向 AD 反应器或内部循环系统供氧</t>
        </is>
      </c>
      <c r="H26" s="2" t="inlineStr">
        <is>
          <t>是</t>
        </is>
      </c>
      <c r="I26" s="2" t="inlineStr">
        <is>
          <t>学位/学生报告</t>
        </is>
      </c>
      <c r="J26" s="2" t="inlineStr">
        <is>
          <t>否</t>
        </is>
      </c>
      <c r="K26" s="2" t="inlineStr"/>
      <c r="L26" s="2" t="inlineStr"/>
      <c r="M26" s="2" t="inlineStr"/>
      <c r="N26" s="2" t="inlineStr"/>
      <c r="O26" s="2" t="inlineStr">
        <is>
          <t>已取得核验全文</t>
        </is>
      </c>
      <c r="P26" s="2" t="inlineStr">
        <is>
          <t>是</t>
        </is>
      </c>
      <c r="Q26" s="2" t="inlineStr">
        <is>
          <t>当前无补充材料原件；沿用既有缺失/无附件证据，不据此认定无附件</t>
        </is>
      </c>
      <c r="R26" s="2" t="inlineStr"/>
      <c r="S26" s="2" t="inlineStr"/>
      <c r="T26" s="2" t="inlineStr"/>
      <c r="U26" s="2" t="inlineStr"/>
      <c r="V26" s="2" t="inlineStr">
        <is>
          <t>不适用</t>
        </is>
      </c>
      <c r="W26" s="2" t="inlineStr">
        <is>
          <t>不适用</t>
        </is>
      </c>
      <c r="X26" s="2" t="inlineStr">
        <is>
          <t>不适用</t>
        </is>
      </c>
      <c r="Y26" s="2" t="inlineStr"/>
      <c r="Z26" s="2" t="inlineStr">
        <is>
          <t>https://api.crossref.org/works/10.11606/t.74.2021.tde-16082022-143011</t>
        </is>
      </c>
      <c r="AA26" s="2" t="inlineStr">
        <is>
          <t>非目标期刊论文或类型待核实，不进入JCR分母</t>
        </is>
      </c>
      <c r="AB26" s="2" t="inlineStr">
        <is>
          <t>original_files/R13948/fulltext/fulltext__thesis__8ae093e70cce8a05.pdf</t>
        </is>
      </c>
      <c r="AC26" s="2" t="inlineStr"/>
      <c r="AD26" s="2" t="inlineStr">
        <is>
          <t>https://github.com/Colliam-Vermilion/FirstCodex/blob/results/ad-oxygen-literature-20261006/results/ad-oxygen-literature-20261006/original_files/R13948/fulltext/fulltext__thesis__8ae093e70cce8a05.pdf</t>
        </is>
      </c>
    </row>
    <row r="27" ht="48" customHeight="1">
      <c r="A27" s="3" t="inlineStr">
        <is>
          <t>R13949</t>
        </is>
      </c>
      <c r="B27" s="3" t="inlineStr">
        <is>
          <t>Aerobic Pre-treatment for Performance Enhancement of Batch Anaerobic Digestion of Napier Grass</t>
        </is>
      </c>
      <c r="C27" s="3" t="inlineStr">
        <is>
          <t>2013</t>
        </is>
      </c>
      <c r="D27" s="3" t="inlineStr">
        <is>
          <t>2013</t>
        </is>
      </c>
      <c r="E27" s="3" t="inlineStr">
        <is>
          <t>10.5071/21steubce2013-2dv.4.23</t>
        </is>
      </c>
      <c r="F27" s="3" t="inlineStr">
        <is>
          <t>会议论文/会议资料（单列）</t>
        </is>
      </c>
      <c r="G27" s="3" t="inlineStr">
        <is>
          <t>3 独立好氧或微好氧预处理</t>
        </is>
      </c>
      <c r="H27" s="3" t="inlineStr">
        <is>
          <t>是</t>
        </is>
      </c>
      <c r="I27" s="3" t="inlineStr">
        <is>
          <t>会议/非期刊</t>
        </is>
      </c>
      <c r="J27" s="3" t="inlineStr">
        <is>
          <t>否</t>
        </is>
      </c>
      <c r="K27" s="3" t="inlineStr">
        <is>
          <t>ETA Florence</t>
        </is>
      </c>
      <c r="L27" s="3" t="inlineStr">
        <is>
          <t>ETA Florence</t>
        </is>
      </c>
      <c r="M27" s="3" t="inlineStr"/>
      <c r="N27" s="3" t="inlineStr"/>
      <c r="O27" s="3" t="inlineStr">
        <is>
          <t>未取得全文（上传件身份错配/相关版本，目标正文缺失）</t>
        </is>
      </c>
      <c r="P27" s="3" t="inlineStr">
        <is>
          <t>否</t>
        </is>
      </c>
      <c r="Q27" s="3" t="inlineStr">
        <is>
          <t>当前无补充材料原件；沿用既有缺失/无附件证据，不据此认定无附件</t>
        </is>
      </c>
      <c r="R27" s="3" t="inlineStr"/>
      <c r="S27" s="3" t="inlineStr"/>
      <c r="T27" s="3" t="inlineStr"/>
      <c r="U27" s="3" t="inlineStr"/>
      <c r="V27" s="3" t="inlineStr">
        <is>
          <t>不适用</t>
        </is>
      </c>
      <c r="W27" s="3" t="inlineStr">
        <is>
          <t>不适用</t>
        </is>
      </c>
      <c r="X27" s="3" t="inlineStr">
        <is>
          <t>不适用</t>
        </is>
      </c>
      <c r="Y27" s="3" t="inlineStr"/>
      <c r="Z27" s="3" t="inlineStr"/>
      <c r="AA27" s="3" t="inlineStr">
        <is>
          <t>既有DOI未由Crossref返回可用元数据（可能为DataCite/JaLC等）；不据此否认记录身份 | 非目标期刊论文或类型待核实，不进入JCR分母 | 上传Int. J. ChemTech Research 5(2) 558–564 (2013)碱预处理文章；目标为好氧预处理会议论文，处理方法及题名不一致</t>
        </is>
      </c>
      <c r="AB27" s="3" t="inlineStr"/>
      <c r="AC27" s="3" t="inlineStr"/>
      <c r="AD27" s="3" t="inlineStr"/>
    </row>
    <row r="28" ht="48" customHeight="1">
      <c r="A28" s="2" t="inlineStr">
        <is>
          <t>R13950</t>
        </is>
      </c>
      <c r="B28" s="2" t="inlineStr">
        <is>
          <t>Enhancement of hydrogen and methane production through anaerobic digestion using pre-treatments</t>
        </is>
      </c>
      <c r="C28" s="2" t="inlineStr"/>
      <c r="D28" s="2" t="inlineStr"/>
      <c r="E28" s="2" t="inlineStr"/>
      <c r="F28" s="2" t="inlineStr">
        <is>
          <t>学位论文（目录/摘要依据；详细授予信息待核验）</t>
        </is>
      </c>
      <c r="G28" s="2" t="inlineStr">
        <is>
          <t>3 独立好氧或微好氧预处理</t>
        </is>
      </c>
      <c r="H28" s="2" t="inlineStr">
        <is>
          <t>是</t>
        </is>
      </c>
      <c r="I28" s="2" t="inlineStr">
        <is>
          <t>学位/学生报告</t>
        </is>
      </c>
      <c r="J28" s="2" t="inlineStr">
        <is>
          <t>否</t>
        </is>
      </c>
      <c r="K28" s="2" t="inlineStr"/>
      <c r="L28" s="2" t="inlineStr"/>
      <c r="M28" s="2" t="inlineStr"/>
      <c r="N28" s="2" t="inlineStr"/>
      <c r="O28" s="2" t="inlineStr">
        <is>
          <t>已取得核验全文</t>
        </is>
      </c>
      <c r="P28" s="2" t="inlineStr">
        <is>
          <t>是</t>
        </is>
      </c>
      <c r="Q28" s="2" t="inlineStr">
        <is>
          <t>当前无补充材料原件；沿用既有缺失/无附件证据，不据此认定无附件</t>
        </is>
      </c>
      <c r="R28" s="2" t="inlineStr"/>
      <c r="S28" s="2" t="inlineStr"/>
      <c r="T28" s="2" t="inlineStr"/>
      <c r="U28" s="2" t="inlineStr"/>
      <c r="V28" s="2" t="inlineStr">
        <is>
          <t>不适用</t>
        </is>
      </c>
      <c r="W28" s="2" t="inlineStr">
        <is>
          <t>不适用</t>
        </is>
      </c>
      <c r="X28" s="2" t="inlineStr">
        <is>
          <t>不适用</t>
        </is>
      </c>
      <c r="Y28" s="2" t="inlineStr"/>
      <c r="Z28" s="2" t="inlineStr"/>
      <c r="AA28" s="2" t="inlineStr">
        <is>
          <t>非目标期刊论文或类型待核实，不进入JCR分母</t>
        </is>
      </c>
      <c r="AB28" s="2" t="inlineStr">
        <is>
          <t>original_files/R13950/fulltext/fulltext__thesis__2bf9b46c448685b9.pdf</t>
        </is>
      </c>
      <c r="AC28" s="2" t="inlineStr"/>
      <c r="AD28" s="2" t="inlineStr">
        <is>
          <t>https://github.com/Colliam-Vermilion/FirstCodex/blob/results/ad-oxygen-literature-20261006/results/ad-oxygen-literature-20261006/original_files/R13950/fulltext/fulltext__thesis__2bf9b46c448685b9.pdf</t>
        </is>
      </c>
    </row>
    <row r="29" ht="48" customHeight="1">
      <c r="A29" s="3" t="inlineStr">
        <is>
          <t>R13952</t>
        </is>
      </c>
      <c r="B29" s="3" t="inlineStr">
        <is>
          <t>Pretreatment in Anaerobic Treatment</t>
        </is>
      </c>
      <c r="C29" s="3" t="inlineStr">
        <is>
          <t>2018</t>
        </is>
      </c>
      <c r="D29" s="3" t="inlineStr">
        <is>
          <t>2018</t>
        </is>
      </c>
      <c r="E29" s="3" t="inlineStr">
        <is>
          <t>10.1201/9781351170529-4</t>
        </is>
      </c>
      <c r="F29" s="3" t="inlineStr">
        <is>
          <t>综述章节（非期刊）</t>
        </is>
      </c>
      <c r="G29" s="3" t="inlineStr">
        <is>
          <t>4 综述</t>
        </is>
      </c>
      <c r="H29" s="3" t="inlineStr">
        <is>
          <t>是</t>
        </is>
      </c>
      <c r="I29" s="3" t="inlineStr">
        <is>
          <t>会议/非期刊</t>
        </is>
      </c>
      <c r="J29" s="3" t="inlineStr">
        <is>
          <t>否</t>
        </is>
      </c>
      <c r="K29" s="3" t="inlineStr">
        <is>
          <t>Anaerobic Waste-Wastewater Treatment and Biogas Plants</t>
        </is>
      </c>
      <c r="L29" s="3" t="inlineStr">
        <is>
          <t>Anaerobic Waste-Wastewater Treatment and Biogas Plants</t>
        </is>
      </c>
      <c r="M29" s="3" t="inlineStr"/>
      <c r="N29" s="3" t="inlineStr"/>
      <c r="O29" s="3" t="inlineStr">
        <is>
          <t>未取得全文</t>
        </is>
      </c>
      <c r="P29" s="3" t="inlineStr">
        <is>
          <t>否</t>
        </is>
      </c>
      <c r="Q29" s="3" t="inlineStr">
        <is>
          <t>当前无补充材料原件；沿用既有缺失/无附件证据，不据此认定无附件</t>
        </is>
      </c>
      <c r="R29" s="3" t="inlineStr"/>
      <c r="S29" s="3" t="inlineStr"/>
      <c r="T29" s="3" t="inlineStr"/>
      <c r="U29" s="3" t="inlineStr"/>
      <c r="V29" s="3" t="inlineStr">
        <is>
          <t>不适用</t>
        </is>
      </c>
      <c r="W29" s="3" t="inlineStr">
        <is>
          <t>不适用</t>
        </is>
      </c>
      <c r="X29" s="3" t="inlineStr">
        <is>
          <t>不适用</t>
        </is>
      </c>
      <c r="Y29" s="3" t="inlineStr"/>
      <c r="Z29" s="3" t="inlineStr">
        <is>
          <t>https://api.crossref.org/works/10.1201/9781351170529-4</t>
        </is>
      </c>
      <c r="AA29" s="3" t="inlineStr">
        <is>
          <t>非目标期刊论文或类型待核实，不进入JCR分母</t>
        </is>
      </c>
      <c r="AB29" s="3" t="inlineStr"/>
      <c r="AC29" s="3" t="inlineStr"/>
      <c r="AD29" s="3" t="inlineStr"/>
    </row>
    <row r="30" ht="48" customHeight="1">
      <c r="A30" s="2" t="inlineStr">
        <is>
          <t>R13955</t>
        </is>
      </c>
      <c r="B30" s="2" t="inlineStr">
        <is>
          <t>Biogas Production from Lignocellulosic Biomass : Impact of pre-treatment, co-digestion, harvest time and inoculation</t>
        </is>
      </c>
      <c r="C30" s="2" t="inlineStr"/>
      <c r="D30" s="2" t="inlineStr"/>
      <c r="E30" s="2" t="inlineStr"/>
      <c r="F30" s="2" t="inlineStr">
        <is>
          <t>学位论文（目录/摘要依据；详细授予信息待核验）</t>
        </is>
      </c>
      <c r="G30" s="2" t="inlineStr">
        <is>
          <t>3 独立好氧或微好氧预处理</t>
        </is>
      </c>
      <c r="H30" s="2" t="inlineStr">
        <is>
          <t>是</t>
        </is>
      </c>
      <c r="I30" s="2" t="inlineStr">
        <is>
          <t>学位/学生报告</t>
        </is>
      </c>
      <c r="J30" s="2" t="inlineStr">
        <is>
          <t>否</t>
        </is>
      </c>
      <c r="K30" s="2" t="inlineStr"/>
      <c r="L30" s="2" t="inlineStr"/>
      <c r="M30" s="2" t="inlineStr"/>
      <c r="N30" s="2" t="inlineStr"/>
      <c r="O30" s="2" t="inlineStr">
        <is>
          <t>已取得核验全文</t>
        </is>
      </c>
      <c r="P30" s="2" t="inlineStr">
        <is>
          <t>是</t>
        </is>
      </c>
      <c r="Q30" s="2" t="inlineStr">
        <is>
          <t>当前无补充材料原件；沿用既有缺失/无附件证据，不据此认定无附件</t>
        </is>
      </c>
      <c r="R30" s="2" t="inlineStr"/>
      <c r="S30" s="2" t="inlineStr"/>
      <c r="T30" s="2" t="inlineStr"/>
      <c r="U30" s="2" t="inlineStr"/>
      <c r="V30" s="2" t="inlineStr">
        <is>
          <t>不适用</t>
        </is>
      </c>
      <c r="W30" s="2" t="inlineStr">
        <is>
          <t>不适用</t>
        </is>
      </c>
      <c r="X30" s="2" t="inlineStr">
        <is>
          <t>不适用</t>
        </is>
      </c>
      <c r="Y30" s="2" t="inlineStr"/>
      <c r="Z30" s="2" t="inlineStr"/>
      <c r="AA30" s="2" t="inlineStr">
        <is>
          <t>非目标期刊论文或类型待核实，不进入JCR分母</t>
        </is>
      </c>
      <c r="AB30" s="2" t="inlineStr">
        <is>
          <t>original_files/R13955/fulltext/fulltext__thesis__536763265cdc087f.pdf; original_files/R13955/fulltext/fulltext__thesis__82d3dd4c7af3e63a.pdf</t>
        </is>
      </c>
      <c r="AC30" s="2" t="inlineStr"/>
      <c r="AD30" s="2" t="inlineStr">
        <is>
          <t>https://github.com/Colliam-Vermilion/FirstCodex/blob/results/ad-oxygen-literature-20261006/results/ad-oxygen-literature-20261006/original_files/R13955/fulltext/fulltext__thesis__536763265cdc087f.pdf; https://github.com/Colliam-Vermilion/FirstCodex/blob/results/ad-oxygen-literature-20261006/results/ad-oxygen-literature-20261006/original_files/R13955/fulltext/fulltext__thesis__82d3dd4c7af3e63a.pdf</t>
        </is>
      </c>
    </row>
    <row r="31" ht="48" customHeight="1">
      <c r="A31" s="3" t="inlineStr">
        <is>
          <t>R13957</t>
        </is>
      </c>
      <c r="B31" s="3" t="inlineStr">
        <is>
          <t>Microaeration for biogas desulfurization : experimental and simulation study of various reactor types</t>
        </is>
      </c>
      <c r="C31" s="3" t="inlineStr"/>
      <c r="D31" s="3" t="inlineStr"/>
      <c r="E31" s="3" t="inlineStr"/>
      <c r="F31" s="3" t="inlineStr">
        <is>
          <t>学位论文（目录/摘要依据；详细授予信息待核验）</t>
        </is>
      </c>
      <c r="G31" s="3" t="inlineStr">
        <is>
          <t>1 直接向 AD 反应器或内部循环系统供氧</t>
        </is>
      </c>
      <c r="H31" s="3" t="inlineStr">
        <is>
          <t>是</t>
        </is>
      </c>
      <c r="I31" s="3" t="inlineStr">
        <is>
          <t>学位/学生报告</t>
        </is>
      </c>
      <c r="J31" s="3" t="inlineStr">
        <is>
          <t>否</t>
        </is>
      </c>
      <c r="K31" s="3" t="inlineStr"/>
      <c r="L31" s="3" t="inlineStr"/>
      <c r="M31" s="3" t="inlineStr"/>
      <c r="N31" s="3" t="inlineStr"/>
      <c r="O31" s="3" t="inlineStr">
        <is>
          <t>已取得核验全文</t>
        </is>
      </c>
      <c r="P31" s="3" t="inlineStr">
        <is>
          <t>是</t>
        </is>
      </c>
      <c r="Q31" s="3" t="inlineStr">
        <is>
          <t>当前无补充材料原件；沿用既有缺失/无附件证据，不据此认定无附件</t>
        </is>
      </c>
      <c r="R31" s="3" t="inlineStr"/>
      <c r="S31" s="3" t="inlineStr"/>
      <c r="T31" s="3" t="inlineStr"/>
      <c r="U31" s="3" t="inlineStr"/>
      <c r="V31" s="3" t="inlineStr">
        <is>
          <t>不适用</t>
        </is>
      </c>
      <c r="W31" s="3" t="inlineStr">
        <is>
          <t>不适用</t>
        </is>
      </c>
      <c r="X31" s="3" t="inlineStr">
        <is>
          <t>不适用</t>
        </is>
      </c>
      <c r="Y31" s="3" t="inlineStr"/>
      <c r="Z31" s="3" t="inlineStr"/>
      <c r="AA31" s="3" t="inlineStr">
        <is>
          <t>非目标期刊论文或类型待核实，不进入JCR分母</t>
        </is>
      </c>
      <c r="AB31" s="3" t="inlineStr">
        <is>
          <t>original_files/R13957/fulltext/fulltext__thesis__3db804dcdefb7608.pdf</t>
        </is>
      </c>
      <c r="AC31" s="3" t="inlineStr"/>
      <c r="AD31" s="3" t="inlineStr">
        <is>
          <t>https://github.com/Colliam-Vermilion/FirstCodex/blob/results/ad-oxygen-literature-20261006/results/ad-oxygen-literature-20261006/original_files/R13957/fulltext/fulltext__thesis__3db804dcdefb7608.pdf</t>
        </is>
      </c>
    </row>
    <row r="32" ht="48" customHeight="1">
      <c r="A32" s="2" t="inlineStr">
        <is>
          <t>R13958</t>
        </is>
      </c>
      <c r="B32" s="2" t="inlineStr">
        <is>
          <t>Effects of Cell Lysis in Gas Yield and Sludge Stabilization by Combined Process of Thermophilic Aerobic and Anaerobic Digestion</t>
        </is>
      </c>
      <c r="C32" s="2" t="inlineStr">
        <is>
          <t>2016</t>
        </is>
      </c>
      <c r="D32" s="2" t="inlineStr">
        <is>
          <t>2016</t>
        </is>
      </c>
      <c r="E32" s="2" t="inlineStr">
        <is>
          <t>10.1016/j.proenv.2016.02.007</t>
        </is>
      </c>
      <c r="F32" s="2" t="inlineStr">
        <is>
          <t>期刊原始研究</t>
        </is>
      </c>
      <c r="G32" s="2" t="inlineStr">
        <is>
          <t>3 独立好氧或微好氧预处理</t>
        </is>
      </c>
      <c r="H32" s="2" t="inlineStr">
        <is>
          <t>是</t>
        </is>
      </c>
      <c r="I32" s="2" t="inlineStr">
        <is>
          <t>类型待核实</t>
        </is>
      </c>
      <c r="J32" s="2" t="inlineStr">
        <is>
          <t>否</t>
        </is>
      </c>
      <c r="K32" s="2" t="inlineStr">
        <is>
          <t>Procedia Environmental Sciences</t>
        </is>
      </c>
      <c r="L32" s="2" t="inlineStr">
        <is>
          <t>Procedia Environmental Sciences</t>
        </is>
      </c>
      <c r="M32" s="2" t="inlineStr">
        <is>
          <t>1878-0296</t>
        </is>
      </c>
      <c r="N32" s="2" t="inlineStr"/>
      <c r="O32" s="2" t="inlineStr">
        <is>
          <t>已取得核验全文</t>
        </is>
      </c>
      <c r="P32" s="2" t="inlineStr">
        <is>
          <t>是</t>
        </is>
      </c>
      <c r="Q32" s="2" t="inlineStr">
        <is>
          <t>当前无补充材料原件；沿用既有缺失/无附件证据，不据此认定无附件</t>
        </is>
      </c>
      <c r="R32" s="2" t="inlineStr"/>
      <c r="S32" s="2" t="inlineStr"/>
      <c r="T32" s="2" t="inlineStr"/>
      <c r="U32" s="2" t="inlineStr"/>
      <c r="V32" s="2" t="inlineStr">
        <is>
          <t>不适用</t>
        </is>
      </c>
      <c r="W32" s="2" t="inlineStr">
        <is>
          <t>不适用</t>
        </is>
      </c>
      <c r="X32" s="2" t="inlineStr">
        <is>
          <t>不适用</t>
        </is>
      </c>
      <c r="Y32" s="2" t="inlineStr"/>
      <c r="Z32" s="2" t="inlineStr">
        <is>
          <t>https://api.crossref.org/works/10.1016/j.proenv.2016.02.007</t>
        </is>
      </c>
      <c r="AA32" s="2" t="inlineStr">
        <is>
          <t>期刊/会议或其他载体身份缺少足够凭据，单列待核实，不混入期刊论文分母 | 非目标期刊论文或类型待核实，不进入JCR分母</t>
        </is>
      </c>
      <c r="AB32" s="2" t="inlineStr">
        <is>
          <t>original_files/R13958/fulltext/fulltext__published__599e1d0536c7a33e.pdf</t>
        </is>
      </c>
      <c r="AC32" s="2" t="inlineStr"/>
      <c r="AD32" s="2" t="inlineStr">
        <is>
          <t>https://github.com/Colliam-Vermilion/FirstCodex/blob/results/ad-oxygen-literature-20261006/results/ad-oxygen-literature-20261006/original_files/R13958/fulltext/fulltext__published__599e1d0536c7a33e.pdf</t>
        </is>
      </c>
    </row>
    <row r="33" ht="48" customHeight="1">
      <c r="A33" s="3" t="inlineStr">
        <is>
          <t>R13960</t>
        </is>
      </c>
      <c r="B33" s="3" t="inlineStr">
        <is>
          <t>Nitrogen mass balance and biogas production in innovative semiaerobic-anaerobic-aerobic (S.An.A.) landfill</t>
        </is>
      </c>
      <c r="C33" s="3" t="inlineStr"/>
      <c r="D33" s="3" t="inlineStr"/>
      <c r="E33" s="3" t="inlineStr"/>
      <c r="F33" s="3" t="inlineStr">
        <is>
          <t>学位论文（目录/摘要依据；详细授予信息待核验）</t>
        </is>
      </c>
      <c r="G33" s="3" t="inlineStr">
        <is>
          <t>3 独立好氧或微好氧预处理</t>
        </is>
      </c>
      <c r="H33" s="3" t="inlineStr">
        <is>
          <t>是</t>
        </is>
      </c>
      <c r="I33" s="3" t="inlineStr">
        <is>
          <t>学位/学生报告</t>
        </is>
      </c>
      <c r="J33" s="3" t="inlineStr">
        <is>
          <t>否</t>
        </is>
      </c>
      <c r="K33" s="3" t="inlineStr"/>
      <c r="L33" s="3" t="inlineStr"/>
      <c r="M33" s="3" t="inlineStr"/>
      <c r="N33" s="3" t="inlineStr"/>
      <c r="O33" s="3" t="inlineStr">
        <is>
          <t>已取得核验全文</t>
        </is>
      </c>
      <c r="P33" s="3" t="inlineStr">
        <is>
          <t>是</t>
        </is>
      </c>
      <c r="Q33" s="3" t="inlineStr">
        <is>
          <t>当前无补充材料原件；沿用既有缺失/无附件证据，不据此认定无附件</t>
        </is>
      </c>
      <c r="R33" s="3" t="inlineStr"/>
      <c r="S33" s="3" t="inlineStr"/>
      <c r="T33" s="3" t="inlineStr"/>
      <c r="U33" s="3" t="inlineStr"/>
      <c r="V33" s="3" t="inlineStr">
        <is>
          <t>不适用</t>
        </is>
      </c>
      <c r="W33" s="3" t="inlineStr">
        <is>
          <t>不适用</t>
        </is>
      </c>
      <c r="X33" s="3" t="inlineStr">
        <is>
          <t>不适用</t>
        </is>
      </c>
      <c r="Y33" s="3" t="inlineStr"/>
      <c r="Z33" s="3" t="inlineStr"/>
      <c r="AA33" s="3" t="inlineStr">
        <is>
          <t>非目标期刊论文或类型待核实，不进入JCR分母</t>
        </is>
      </c>
      <c r="AB33" s="3" t="inlineStr">
        <is>
          <t>original_files/R13960/fulltext/fulltext__thesis__47d0f183004cfe45.pdf</t>
        </is>
      </c>
      <c r="AC33" s="3" t="inlineStr"/>
      <c r="AD33" s="3" t="inlineStr">
        <is>
          <t>https://github.com/Colliam-Vermilion/FirstCodex/blob/results/ad-oxygen-literature-20261006/results/ad-oxygen-literature-20261006/original_files/R13960/fulltext/fulltext__thesis__47d0f183004cfe45.pdf</t>
        </is>
      </c>
    </row>
    <row r="34" ht="48" customHeight="1">
      <c r="A34" s="2" t="inlineStr">
        <is>
          <t>R13961</t>
        </is>
      </c>
      <c r="B34" s="2" t="inlineStr">
        <is>
          <t>Comparison of oleate conversion under microaerophilic and anaerobic conditions</t>
        </is>
      </c>
      <c r="C34" s="2" t="inlineStr">
        <is>
          <t>2015</t>
        </is>
      </c>
      <c r="D34" s="2" t="inlineStr">
        <is>
          <t>2015</t>
        </is>
      </c>
      <c r="E34" s="2" t="inlineStr"/>
      <c r="F34" s="2" t="inlineStr">
        <is>
          <t>会议论文/会议资料（单列）</t>
        </is>
      </c>
      <c r="G34" s="2" t="inlineStr">
        <is>
          <t>1 直接向 AD 反应器或内部循环系统供氧</t>
        </is>
      </c>
      <c r="H34" s="2" t="inlineStr">
        <is>
          <t>是</t>
        </is>
      </c>
      <c r="I34" s="2" t="inlineStr">
        <is>
          <t>会议/非期刊</t>
        </is>
      </c>
      <c r="J34" s="2" t="inlineStr">
        <is>
          <t>否</t>
        </is>
      </c>
      <c r="K34" s="2" t="inlineStr">
        <is>
          <t>Portuguese National Funding Agency for Science, Research and Technology (RCAAP Project by FCT)</t>
        </is>
      </c>
      <c r="L34" s="2" t="inlineStr">
        <is>
          <t>Portuguese National Funding Agency for Science, Research and Technology (RCAAP Project by FCT)</t>
        </is>
      </c>
      <c r="M34" s="2" t="inlineStr"/>
      <c r="N34" s="2" t="inlineStr"/>
      <c r="O34" s="2" t="inlineStr">
        <is>
          <t>仅摘要，未取得全文</t>
        </is>
      </c>
      <c r="P34" s="2" t="inlineStr">
        <is>
          <t>否</t>
        </is>
      </c>
      <c r="Q34" s="2" t="inlineStr">
        <is>
          <t>当前无补充材料原件；沿用既有缺失/无附件证据，不据此认定无附件</t>
        </is>
      </c>
      <c r="R34" s="2" t="inlineStr"/>
      <c r="S34" s="2" t="inlineStr"/>
      <c r="T34" s="2" t="inlineStr"/>
      <c r="U34" s="2" t="inlineStr"/>
      <c r="V34" s="2" t="inlineStr">
        <is>
          <t>不适用</t>
        </is>
      </c>
      <c r="W34" s="2" t="inlineStr">
        <is>
          <t>不适用</t>
        </is>
      </c>
      <c r="X34" s="2" t="inlineStr">
        <is>
          <t>不适用</t>
        </is>
      </c>
      <c r="Y34" s="2" t="inlineStr"/>
      <c r="Z34" s="2" t="inlineStr"/>
      <c r="AA34" s="2" t="inlineStr">
        <is>
          <t>非目标期刊论文或类型待核实，不进入JCR分母</t>
        </is>
      </c>
      <c r="AB34" s="2" t="inlineStr"/>
      <c r="AC34" s="2" t="inlineStr"/>
      <c r="AD34" s="2" t="inlineStr"/>
    </row>
    <row r="35" ht="48" customHeight="1">
      <c r="A35" s="3" t="inlineStr">
        <is>
          <t>R13963</t>
        </is>
      </c>
      <c r="B35" s="3" t="inlineStr">
        <is>
          <t>Experimental study on biogas production through anaerobic digestion of wheat straw and urban fallen leaves</t>
        </is>
      </c>
      <c r="C35" s="3" t="inlineStr">
        <is>
          <t>2013</t>
        </is>
      </c>
      <c r="D35" s="3" t="inlineStr">
        <is>
          <t>2013</t>
        </is>
      </c>
      <c r="E35" s="3" t="inlineStr">
        <is>
          <t>10.1109/icmree.2013.6893662</t>
        </is>
      </c>
      <c r="F35" s="3" t="inlineStr">
        <is>
          <t>会议论文/会议资料（单列）</t>
        </is>
      </c>
      <c r="G35" s="3" t="inlineStr">
        <is>
          <t>3 独立好氧或微好氧预处理</t>
        </is>
      </c>
      <c r="H35" s="3" t="inlineStr">
        <is>
          <t>是</t>
        </is>
      </c>
      <c r="I35" s="3" t="inlineStr">
        <is>
          <t>会议/非期刊</t>
        </is>
      </c>
      <c r="J35" s="3" t="inlineStr">
        <is>
          <t>否</t>
        </is>
      </c>
      <c r="K35" s="3" t="inlineStr">
        <is>
          <t>2013 International Conference on Materials for Renewable Energy and Environment</t>
        </is>
      </c>
      <c r="L35" s="3" t="inlineStr">
        <is>
          <t>2013 International Conference on Materials for Renewable Energy and Environment</t>
        </is>
      </c>
      <c r="M35" s="3" t="inlineStr"/>
      <c r="N35" s="3" t="inlineStr"/>
      <c r="O35" s="3" t="inlineStr">
        <is>
          <t>已取得核验全文</t>
        </is>
      </c>
      <c r="P35" s="3" t="inlineStr">
        <is>
          <t>是</t>
        </is>
      </c>
      <c r="Q35" s="3" t="inlineStr">
        <is>
          <t>当前无补充材料原件；沿用既有缺失/无附件证据，不据此认定无附件</t>
        </is>
      </c>
      <c r="R35" s="3" t="inlineStr"/>
      <c r="S35" s="3" t="inlineStr"/>
      <c r="T35" s="3" t="inlineStr"/>
      <c r="U35" s="3" t="inlineStr"/>
      <c r="V35" s="3" t="inlineStr">
        <is>
          <t>不适用</t>
        </is>
      </c>
      <c r="W35" s="3" t="inlineStr">
        <is>
          <t>不适用</t>
        </is>
      </c>
      <c r="X35" s="3" t="inlineStr">
        <is>
          <t>不适用</t>
        </is>
      </c>
      <c r="Y35" s="3" t="inlineStr"/>
      <c r="Z35" s="3" t="inlineStr">
        <is>
          <t>https://api.crossref.org/works/10.1109/icmree.2013.6893662</t>
        </is>
      </c>
      <c r="AA35" s="3" t="inlineStr">
        <is>
          <t>非目标期刊论文或类型待核实，不进入JCR分母</t>
        </is>
      </c>
      <c r="AB35" s="3" t="inlineStr">
        <is>
          <t>original_files/R13963/fulltext/fulltext__published__f9ae26e34ee8cdcc.pdf</t>
        </is>
      </c>
      <c r="AC35" s="3" t="inlineStr"/>
      <c r="AD35" s="3" t="inlineStr">
        <is>
          <t>https://github.com/Colliam-Vermilion/FirstCodex/blob/results/ad-oxygen-literature-20261006/results/ad-oxygen-literature-20261006/original_files/R13963/fulltext/fulltext__published__f9ae26e34ee8cdcc.pdf</t>
        </is>
      </c>
    </row>
    <row r="36" ht="48" customHeight="1">
      <c r="A36" s="2" t="inlineStr">
        <is>
          <t>R13967</t>
        </is>
      </c>
      <c r="B36" s="2" t="inlineStr">
        <is>
          <t>An Improved Biomass Waste Anaerobic Degradation Technology for Producing Bio-gas Energy and Bio-fertilizers</t>
        </is>
      </c>
      <c r="C36" s="2" t="inlineStr">
        <is>
          <t>2012</t>
        </is>
      </c>
      <c r="D36" s="2" t="inlineStr">
        <is>
          <t>2012</t>
        </is>
      </c>
      <c r="E36" s="2" t="inlineStr"/>
      <c r="F36" s="2" t="inlineStr">
        <is>
          <t>会议论文/会议资料（单列）</t>
        </is>
      </c>
      <c r="G36" s="2" t="inlineStr">
        <is>
          <t>3 独立好氧或微好氧预处理</t>
        </is>
      </c>
      <c r="H36" s="2" t="inlineStr">
        <is>
          <t>是</t>
        </is>
      </c>
      <c r="I36" s="2" t="inlineStr">
        <is>
          <t>会议/非期刊</t>
        </is>
      </c>
      <c r="J36" s="2" t="inlineStr">
        <is>
          <t>否</t>
        </is>
      </c>
      <c r="K36" s="2" t="inlineStr"/>
      <c r="L36" s="2" t="inlineStr"/>
      <c r="M36" s="2" t="inlineStr"/>
      <c r="N36" s="2" t="inlineStr"/>
      <c r="O36" s="2" t="inlineStr">
        <is>
          <t>已取得核验全文</t>
        </is>
      </c>
      <c r="P36" s="2" t="inlineStr">
        <is>
          <t>是</t>
        </is>
      </c>
      <c r="Q36" s="2" t="inlineStr">
        <is>
          <t>当前无补充材料原件；沿用既有缺失/无附件证据，不据此认定无附件</t>
        </is>
      </c>
      <c r="R36" s="2" t="inlineStr"/>
      <c r="S36" s="2" t="inlineStr"/>
      <c r="T36" s="2" t="inlineStr"/>
      <c r="U36" s="2" t="inlineStr"/>
      <c r="V36" s="2" t="inlineStr">
        <is>
          <t>不适用</t>
        </is>
      </c>
      <c r="W36" s="2" t="inlineStr">
        <is>
          <t>不适用</t>
        </is>
      </c>
      <c r="X36" s="2" t="inlineStr">
        <is>
          <t>不适用</t>
        </is>
      </c>
      <c r="Y36" s="2" t="inlineStr"/>
      <c r="Z36" s="2" t="inlineStr"/>
      <c r="AA36" s="2" t="inlineStr">
        <is>
          <t>非目标期刊论文或类型待核实，不进入JCR分母</t>
        </is>
      </c>
      <c r="AB36" s="2" t="inlineStr">
        <is>
          <t>original_files/R13967/fulltext/fulltext__published__5e9f84dbaf01dd19.pdf</t>
        </is>
      </c>
      <c r="AC36" s="2" t="inlineStr"/>
      <c r="AD36" s="2" t="inlineStr">
        <is>
          <t>https://github.com/Colliam-Vermilion/FirstCodex/blob/results/ad-oxygen-literature-20261006/results/ad-oxygen-literature-20261006/original_files/R13967/fulltext/fulltext__published__5e9f84dbaf01dd19.pdf</t>
        </is>
      </c>
    </row>
    <row r="37" ht="48" customHeight="1">
      <c r="A37" s="3" t="inlineStr">
        <is>
          <t>R13968</t>
        </is>
      </c>
      <c r="B37" s="3" t="inlineStr">
        <is>
          <t>Enhancement of separate hydrogen and methane production from ethanol wastewater by Microaeration</t>
        </is>
      </c>
      <c r="C37" s="3" t="inlineStr"/>
      <c r="D37" s="3" t="inlineStr"/>
      <c r="E37" s="3" t="inlineStr">
        <is>
          <t>10.58837/chula.the.2015.1957</t>
        </is>
      </c>
      <c r="F37" s="3" t="inlineStr">
        <is>
          <t>学位论文（目录/摘要依据；详细授予信息待核验）</t>
        </is>
      </c>
      <c r="G37" s="3" t="inlineStr">
        <is>
          <t>1 直接向 AD 反应器或内部循环系统供氧</t>
        </is>
      </c>
      <c r="H37" s="3" t="inlineStr">
        <is>
          <t>是</t>
        </is>
      </c>
      <c r="I37" s="3" t="inlineStr">
        <is>
          <t>学位/学生报告</t>
        </is>
      </c>
      <c r="J37" s="3" t="inlineStr">
        <is>
          <t>否</t>
        </is>
      </c>
      <c r="K37" s="3" t="inlineStr"/>
      <c r="L37" s="3" t="inlineStr"/>
      <c r="M37" s="3" t="inlineStr"/>
      <c r="N37" s="3" t="inlineStr"/>
      <c r="O37" s="3" t="inlineStr">
        <is>
          <t>已取得核验全文</t>
        </is>
      </c>
      <c r="P37" s="3" t="inlineStr">
        <is>
          <t>是</t>
        </is>
      </c>
      <c r="Q37" s="3" t="inlineStr">
        <is>
          <t>当前无补充材料原件；沿用既有缺失/无附件证据，不据此认定无附件</t>
        </is>
      </c>
      <c r="R37" s="3" t="inlineStr"/>
      <c r="S37" s="3" t="inlineStr"/>
      <c r="T37" s="3" t="inlineStr"/>
      <c r="U37" s="3" t="inlineStr"/>
      <c r="V37" s="3" t="inlineStr">
        <is>
          <t>不适用</t>
        </is>
      </c>
      <c r="W37" s="3" t="inlineStr">
        <is>
          <t>不适用</t>
        </is>
      </c>
      <c r="X37" s="3" t="inlineStr">
        <is>
          <t>不适用</t>
        </is>
      </c>
      <c r="Y37" s="3" t="inlineStr"/>
      <c r="Z37" s="3" t="inlineStr">
        <is>
          <t>https://api.crossref.org/works/10.58837/chula.the.2015.1957</t>
        </is>
      </c>
      <c r="AA37" s="3" t="inlineStr">
        <is>
          <t>非目标期刊论文或类型待核实，不进入JCR分母</t>
        </is>
      </c>
      <c r="AB37" s="3" t="inlineStr">
        <is>
          <t>original_files/R13968/fulltext/fulltext__thesis__a98ded9fe4a3b73c.pdf; original_files/R13968/fulltext/fulltext__thesis__ed6af2c70fa34cca.pdf; original_files/R13968/fulltext/fulltext__thesis__db164a7cb44673e9.pdf; original_files/R13968/fulltext/fulltext__thesis__a58d9c0c6dccab4f.pdf; original_files/R13968/fulltext/fulltext__thesis__31fee06cf27de2a2.pdf; original_files/R13968/fulltext/fulltext__thesis__a97b06850912d4a8.pdf; original_files/R13968/fulltext/fulltext__thesis__1eeabd66eb09e704.pdf</t>
        </is>
      </c>
      <c r="AC37" s="3" t="inlineStr"/>
      <c r="AD37" s="3" t="inlineStr">
        <is>
          <t>https://github.com/Colliam-Vermilion/FirstCodex/blob/results/ad-oxygen-literature-20261006/results/ad-oxygen-literature-20261006/original_files/R13968/fulltext/fulltext__thesis__a98ded9fe4a3b73c.pdf; https://github.com/Colliam-Vermilion/FirstCodex/blob/results/ad-oxygen-literature-20261006/results/ad-oxygen-literature-20261006/original_files/R13968/fulltext/fulltext__thesis__ed6af2c70fa34cca.pdf; https://github.com/Colliam-Vermilion/FirstCodex/blob/results/ad-oxygen-literature-20261006/results/ad-oxygen-literature-20261006/original_files/R13968/fulltext/fulltext__thesis__db164a7cb44673e9.pdf; https://github.com/Colliam-Vermilion/FirstCodex/blob/results/ad-oxygen-literature-20261006/results/ad-oxygen-literature-20261006/original_files/R13968/fulltext/fulltext__thesis__a58d9c0c6dccab4f.pdf; https://github.com/Colliam-Vermilion/FirstCodex/blob/results/ad-oxygen-literature-20261006/results/ad-oxygen-literature-20261006/original_files/R13968/fulltext/fulltext__thesis__31fee06cf27de2a2.pdf; https://github.com/Colliam-Vermilion/FirstCodex/blob/results/ad-oxygen-literature-20261006/results/ad-oxygen-literature-20261006/original_files/R13968/fulltext/fulltext__thesis__a97b06850912d4a8.pdf; https://github.com/Colliam-Vermilion/FirstCodex/blob/results/ad-oxygen-literature-20261006/results/ad-oxygen-literature-20261006/original_files/R13968/fulltext/fulltext__thesis__1eeabd66eb09e704.pdf</t>
        </is>
      </c>
    </row>
    <row r="38" ht="48" customHeight="1">
      <c r="A38" s="2" t="inlineStr">
        <is>
          <t>R13969</t>
        </is>
      </c>
      <c r="B38" s="2" t="inlineStr">
        <is>
          <t>Effects of microaeration on hydrogen and methane production from cassava wastewater using a two-stage UASB system</t>
        </is>
      </c>
      <c r="C38" s="2" t="inlineStr"/>
      <c r="D38" s="2" t="inlineStr"/>
      <c r="E38" s="2" t="inlineStr">
        <is>
          <t>10.58837/chula.the.2015.1953</t>
        </is>
      </c>
      <c r="F38" s="2" t="inlineStr">
        <is>
          <t>学位论文（目录/摘要依据；详细授予信息待核验）</t>
        </is>
      </c>
      <c r="G38" s="2" t="inlineStr">
        <is>
          <t>1 直接向 AD 反应器或内部循环系统供氧</t>
        </is>
      </c>
      <c r="H38" s="2" t="inlineStr">
        <is>
          <t>是</t>
        </is>
      </c>
      <c r="I38" s="2" t="inlineStr">
        <is>
          <t>学位/学生报告</t>
        </is>
      </c>
      <c r="J38" s="2" t="inlineStr">
        <is>
          <t>否</t>
        </is>
      </c>
      <c r="K38" s="2" t="inlineStr"/>
      <c r="L38" s="2" t="inlineStr"/>
      <c r="M38" s="2" t="inlineStr"/>
      <c r="N38" s="2" t="inlineStr"/>
      <c r="O38" s="2" t="inlineStr">
        <is>
          <t>已取得核验全文</t>
        </is>
      </c>
      <c r="P38" s="2" t="inlineStr">
        <is>
          <t>是</t>
        </is>
      </c>
      <c r="Q38" s="2" t="inlineStr">
        <is>
          <t>当前无补充材料原件；沿用既有缺失/无附件证据，不据此认定无附件</t>
        </is>
      </c>
      <c r="R38" s="2" t="inlineStr"/>
      <c r="S38" s="2" t="inlineStr"/>
      <c r="T38" s="2" t="inlineStr"/>
      <c r="U38" s="2" t="inlineStr"/>
      <c r="V38" s="2" t="inlineStr">
        <is>
          <t>不适用</t>
        </is>
      </c>
      <c r="W38" s="2" t="inlineStr">
        <is>
          <t>不适用</t>
        </is>
      </c>
      <c r="X38" s="2" t="inlineStr">
        <is>
          <t>不适用</t>
        </is>
      </c>
      <c r="Y38" s="2" t="inlineStr"/>
      <c r="Z38" s="2" t="inlineStr">
        <is>
          <t>https://api.crossref.org/works/10.58837/chula.the.2015.1953</t>
        </is>
      </c>
      <c r="AA38" s="2" t="inlineStr">
        <is>
          <t>非目标期刊论文或类型待核实，不进入JCR分母</t>
        </is>
      </c>
      <c r="AB38" s="2" t="inlineStr">
        <is>
          <t>original_files/R13969/fulltext/fulltext__thesis__82240174e4cc091f.pdf; original_files/R13969/fulltext/fulltext__thesis__239995a5c23d7580.pdf; original_files/R13969/fulltext/fulltext__thesis__e243a1071df26efb.pdf; original_files/R13969/fulltext/fulltext__thesis__32ca8cbb364b193d.pdf; original_files/R13969/fulltext/fulltext__thesis__61359ef0b77b9afe.pdf; original_files/R13969/fulltext/fulltext__thesis__546cae968d98e8de.pdf; original_files/R13969/fulltext/fulltext__thesis__cd34536c2889613d.pdf</t>
        </is>
      </c>
      <c r="AC38" s="2" t="inlineStr"/>
      <c r="AD38" s="2" t="inlineStr">
        <is>
          <t>https://github.com/Colliam-Vermilion/FirstCodex/blob/results/ad-oxygen-literature-20261006/results/ad-oxygen-literature-20261006/original_files/R13969/fulltext/fulltext__thesis__82240174e4cc091f.pdf; https://github.com/Colliam-Vermilion/FirstCodex/blob/results/ad-oxygen-literature-20261006/results/ad-oxygen-literature-20261006/original_files/R13969/fulltext/fulltext__thesis__239995a5c23d7580.pdf; https://github.com/Colliam-Vermilion/FirstCodex/blob/results/ad-oxygen-literature-20261006/results/ad-oxygen-literature-20261006/original_files/R13969/fulltext/fulltext__thesis__e243a1071df26efb.pdf; https://github.com/Colliam-Vermilion/FirstCodex/blob/results/ad-oxygen-literature-20261006/results/ad-oxygen-literature-20261006/original_files/R13969/fulltext/fulltext__thesis__32ca8cbb364b193d.pdf; https://github.com/Colliam-Vermilion/FirstCodex/blob/results/ad-oxygen-literature-20261006/results/ad-oxygen-literature-20261006/original_files/R13969/fulltext/fulltext__thesis__61359ef0b77b9afe.pdf; https://github.com/Colliam-Vermilion/FirstCodex/blob/results/ad-oxygen-literature-20261006/results/ad-oxygen-literature-20261006/original_files/R13969/fulltext/fulltext__thesis__546cae968d98e8de.pdf; https://github.com/Colliam-Vermilion/FirstCodex/blob/results/ad-oxygen-literature-20261006/results/ad-oxygen-literature-20261006/original_files/R13969/fulltext/fulltext__thesis__cd34536c2889613d.pdf</t>
        </is>
      </c>
    </row>
    <row r="39" ht="48" customHeight="1">
      <c r="A39" s="3" t="inlineStr">
        <is>
          <t>R13970</t>
        </is>
      </c>
      <c r="B39" s="3" t="inlineStr">
        <is>
          <t>Anaerobic and microaerobic treatment of synthetic BTEX contaminated waters</t>
        </is>
      </c>
      <c r="C39" s="3" t="inlineStr"/>
      <c r="D39" s="3" t="inlineStr"/>
      <c r="E39" s="3" t="inlineStr"/>
      <c r="F39" s="3" t="inlineStr">
        <is>
          <t>学位论文（目录/摘要依据；详细授予信息待核验）</t>
        </is>
      </c>
      <c r="G39" s="3" t="inlineStr">
        <is>
          <t>1 直接向 AD 反应器或内部循环系统供氧</t>
        </is>
      </c>
      <c r="H39" s="3" t="inlineStr">
        <is>
          <t>是</t>
        </is>
      </c>
      <c r="I39" s="3" t="inlineStr">
        <is>
          <t>学位/学生报告</t>
        </is>
      </c>
      <c r="J39" s="3" t="inlineStr">
        <is>
          <t>否</t>
        </is>
      </c>
      <c r="K39" s="3" t="inlineStr"/>
      <c r="L39" s="3" t="inlineStr"/>
      <c r="M39" s="3" t="inlineStr"/>
      <c r="N39" s="3" t="inlineStr"/>
      <c r="O39" s="3" t="inlineStr">
        <is>
          <t>未取得全文</t>
        </is>
      </c>
      <c r="P39" s="3" t="inlineStr">
        <is>
          <t>否</t>
        </is>
      </c>
      <c r="Q39" s="3" t="inlineStr">
        <is>
          <t>当前无补充材料原件；沿用既有缺失/无附件证据，不据此认定无附件</t>
        </is>
      </c>
      <c r="R39" s="3" t="inlineStr"/>
      <c r="S39" s="3" t="inlineStr"/>
      <c r="T39" s="3" t="inlineStr"/>
      <c r="U39" s="3" t="inlineStr"/>
      <c r="V39" s="3" t="inlineStr">
        <is>
          <t>不适用</t>
        </is>
      </c>
      <c r="W39" s="3" t="inlineStr">
        <is>
          <t>不适用</t>
        </is>
      </c>
      <c r="X39" s="3" t="inlineStr">
        <is>
          <t>不适用</t>
        </is>
      </c>
      <c r="Y39" s="3" t="inlineStr"/>
      <c r="Z39" s="3" t="inlineStr"/>
      <c r="AA39" s="3" t="inlineStr">
        <is>
          <t>非目标期刊论文或类型待核实，不进入JCR分母</t>
        </is>
      </c>
      <c r="AB39" s="3" t="inlineStr"/>
      <c r="AC39" s="3" t="inlineStr"/>
      <c r="AD39" s="3" t="inlineStr"/>
    </row>
    <row r="40" ht="48" customHeight="1">
      <c r="A40" s="2" t="inlineStr">
        <is>
          <t>R13971</t>
        </is>
      </c>
      <c r="B40" s="2" t="inlineStr">
        <is>
          <t>Evaluation of the removal of emergent micropollutants and nitrogen in anaerobic and microaerobic systems followed by percolating biological filters subjected to natural and forced aeration</t>
        </is>
      </c>
      <c r="C40" s="2" t="inlineStr"/>
      <c r="D40" s="2" t="inlineStr"/>
      <c r="E40" s="2" t="inlineStr"/>
      <c r="F40" s="2" t="inlineStr">
        <is>
          <t>学位论文（目录/摘要依据；详细授予信息待核验）</t>
        </is>
      </c>
      <c r="G40" s="2" t="inlineStr">
        <is>
          <t>1 直接向 AD 反应器或内部循环系统供氧</t>
        </is>
      </c>
      <c r="H40" s="2" t="inlineStr">
        <is>
          <t>是</t>
        </is>
      </c>
      <c r="I40" s="2" t="inlineStr">
        <is>
          <t>学位/学生报告</t>
        </is>
      </c>
      <c r="J40" s="2" t="inlineStr">
        <is>
          <t>否</t>
        </is>
      </c>
      <c r="K40" s="2" t="inlineStr"/>
      <c r="L40" s="2" t="inlineStr"/>
      <c r="M40" s="2" t="inlineStr"/>
      <c r="N40" s="2" t="inlineStr"/>
      <c r="O40" s="2" t="inlineStr">
        <is>
          <t>未取得全文</t>
        </is>
      </c>
      <c r="P40" s="2" t="inlineStr">
        <is>
          <t>否</t>
        </is>
      </c>
      <c r="Q40" s="2" t="inlineStr">
        <is>
          <t>当前无补充材料原件；沿用既有缺失/无附件证据，不据此认定无附件</t>
        </is>
      </c>
      <c r="R40" s="2" t="inlineStr"/>
      <c r="S40" s="2" t="inlineStr"/>
      <c r="T40" s="2" t="inlineStr"/>
      <c r="U40" s="2" t="inlineStr"/>
      <c r="V40" s="2" t="inlineStr">
        <is>
          <t>不适用</t>
        </is>
      </c>
      <c r="W40" s="2" t="inlineStr">
        <is>
          <t>不适用</t>
        </is>
      </c>
      <c r="X40" s="2" t="inlineStr">
        <is>
          <t>不适用</t>
        </is>
      </c>
      <c r="Y40" s="2" t="inlineStr"/>
      <c r="Z40" s="2" t="inlineStr"/>
      <c r="AA40" s="2" t="inlineStr">
        <is>
          <t>非目标期刊论文或类型待核实，不进入JCR分母</t>
        </is>
      </c>
      <c r="AB40" s="2" t="inlineStr"/>
      <c r="AC40" s="2" t="inlineStr"/>
      <c r="AD40" s="2" t="inlineStr"/>
    </row>
    <row r="41" ht="48" customHeight="1">
      <c r="A41" s="3" t="inlineStr">
        <is>
          <t>R13973</t>
        </is>
      </c>
      <c r="B41" s="3" t="inlineStr">
        <is>
          <t>Optimizing the anaerobic co-digestion of brown water and food waste for clean energy recovery, by phase separation and microaerotion : laboratory reactor performance and microbial community profiling</t>
        </is>
      </c>
      <c r="C41" s="3" t="inlineStr"/>
      <c r="D41" s="3" t="inlineStr"/>
      <c r="E41" s="3" t="inlineStr">
        <is>
          <t>10.32657/10356/65271</t>
        </is>
      </c>
      <c r="F41" s="3" t="inlineStr">
        <is>
          <t>学位论文（目录/摘要依据；详细授予信息待核验）</t>
        </is>
      </c>
      <c r="G41" s="3" t="inlineStr">
        <is>
          <t>1 直接向 AD 反应器或内部循环系统供氧</t>
        </is>
      </c>
      <c r="H41" s="3" t="inlineStr">
        <is>
          <t>是</t>
        </is>
      </c>
      <c r="I41" s="3" t="inlineStr">
        <is>
          <t>学位/学生报告</t>
        </is>
      </c>
      <c r="J41" s="3" t="inlineStr">
        <is>
          <t>否</t>
        </is>
      </c>
      <c r="K41" s="3" t="inlineStr"/>
      <c r="L41" s="3" t="inlineStr"/>
      <c r="M41" s="3" t="inlineStr"/>
      <c r="N41" s="3" t="inlineStr"/>
      <c r="O41" s="3" t="inlineStr">
        <is>
          <t>已取得核验全文</t>
        </is>
      </c>
      <c r="P41" s="3" t="inlineStr">
        <is>
          <t>是</t>
        </is>
      </c>
      <c r="Q41" s="3" t="inlineStr">
        <is>
          <t>当前无补充材料原件；沿用既有缺失/无附件证据，不据此认定无附件</t>
        </is>
      </c>
      <c r="R41" s="3" t="inlineStr"/>
      <c r="S41" s="3" t="inlineStr"/>
      <c r="T41" s="3" t="inlineStr"/>
      <c r="U41" s="3" t="inlineStr"/>
      <c r="V41" s="3" t="inlineStr">
        <is>
          <t>不适用</t>
        </is>
      </c>
      <c r="W41" s="3" t="inlineStr">
        <is>
          <t>不适用</t>
        </is>
      </c>
      <c r="X41" s="3" t="inlineStr">
        <is>
          <t>不适用</t>
        </is>
      </c>
      <c r="Y41" s="3" t="inlineStr"/>
      <c r="Z41" s="3" t="inlineStr">
        <is>
          <t>https://api.crossref.org/works/10.32657/10356/65271</t>
        </is>
      </c>
      <c r="AA41" s="3" t="inlineStr">
        <is>
          <t>非目标期刊论文或类型待核实，不进入JCR分母</t>
        </is>
      </c>
      <c r="AB41" s="3" t="inlineStr">
        <is>
          <t>original_files/R13973/fulltext/fulltext__thesis__fd2ff5b6b7fe8a44.pdf</t>
        </is>
      </c>
      <c r="AC41" s="3" t="inlineStr"/>
      <c r="AD41" s="3" t="inlineStr">
        <is>
          <t>https://github.com/Colliam-Vermilion/FirstCodex/blob/results/ad-oxygen-literature-20261006/results/ad-oxygen-literature-20261006/original_files/R13973/fulltext/fulltext__thesis__fd2ff5b6b7fe8a44.pdf</t>
        </is>
      </c>
    </row>
  </sheetData>
  <autoFilter ref="A1:AD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34" customHeight="1">
      <c r="A1" s="1" t="inlineStr">
        <is>
          <t>事项</t>
        </is>
      </c>
      <c r="B1" s="1" t="inlineStr">
        <is>
          <t>结果</t>
        </is>
      </c>
    </row>
    <row r="2" ht="48" customHeight="1">
      <c r="A2" s="2" t="inlineStr">
        <is>
          <t>保全提交</t>
        </is>
      </c>
      <c r="B2" s="2" t="inlineStr">
        <is>
          <t>b739c0e78507bc13db8d4a149ad7c34d07bfdbbf</t>
        </is>
      </c>
    </row>
    <row r="3" ht="48" customHeight="1">
      <c r="A3" s="3" t="inlineStr">
        <is>
          <t>main清理提交</t>
        </is>
      </c>
      <c r="B3" s="3" t="inlineStr">
        <is>
          <t>0bdf0b9933b1a628d8b49561fdf3e35bbc7f6223</t>
        </is>
      </c>
    </row>
    <row r="4" ht="48" customHeight="1">
      <c r="A4" s="2" t="inlineStr">
        <is>
          <t>独立读回</t>
        </is>
      </c>
      <c r="B4" s="2" t="inlineStr">
        <is>
          <t>30文件全部大小、SHA256一致，读回完成后才清理</t>
        </is>
      </c>
    </row>
    <row r="5" ht="48" customHeight="1">
      <c r="A5" s="3" t="inlineStr">
        <is>
          <t>范围</t>
        </is>
      </c>
      <c r="B5" s="3" t="inlineStr">
        <is>
          <t>只删除ab8353c误传30文件；其他main文件/README未改；Git历史不重写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2026-10-23T04:27:16Z</dcterms:created>
  <dcterms:modified xmlns:dcterms="http://purl.org/dc/terms/" xmlns:xsi="http://www.w3.org/2001/XMLSchema-instance" xsi:type="dcterms:W3CDTF">2026-10-23T04:27:17Z</dcterms:modified>
</cp:coreProperties>
</file>